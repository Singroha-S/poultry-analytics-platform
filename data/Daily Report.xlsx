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rd Weight" sheetId="1" r:id="rId5"/>
    <sheet state="visible" name="TRAY WEIGHT" sheetId="2" r:id="rId6"/>
    <sheet state="visible" name="Sheet20" sheetId="3" r:id="rId7"/>
    <sheet state="visible" name="Sheet21" sheetId="4" r:id="rId8"/>
    <sheet state="visible" name="Sheet13" sheetId="5" r:id="rId9"/>
    <sheet state="visible" name="Report_Aug25" sheetId="6" r:id="rId10"/>
    <sheet state="visible" name="Report_Sep-Oct25" sheetId="7" r:id="rId11"/>
    <sheet state="visible" name="Report_Nov25" sheetId="8" r:id="rId12"/>
    <sheet state="visible" name="Dec.25" sheetId="9" r:id="rId13"/>
    <sheet state="visible" name="Jan26" sheetId="10" r:id="rId14"/>
    <sheet state="visible" name="feb 26" sheetId="11" r:id="rId15"/>
    <sheet state="visible" name="april26" sheetId="12" r:id="rId16"/>
    <sheet state="visible" name="june26" sheetId="13" r:id="rId17"/>
    <sheet state="visible" name="Sheet18" sheetId="14" r:id="rId18"/>
    <sheet state="visible" name="Sheet17" sheetId="15" r:id="rId19"/>
    <sheet state="visible" name="Sheet16" sheetId="16" r:id="rId20"/>
    <sheet state="visible" name="Sheet15" sheetId="17" r:id="rId21"/>
    <sheet state="visible" name="Sale" sheetId="18" r:id="rId22"/>
    <sheet state="visible" name="Final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97">
      <text>
        <t xml:space="preserve">Bird transfer to 5
</t>
      </text>
    </comment>
  </commentList>
</comments>
</file>

<file path=xl/sharedStrings.xml><?xml version="1.0" encoding="utf-8"?>
<sst xmlns="http://schemas.openxmlformats.org/spreadsheetml/2006/main" count="9425" uniqueCount="1406">
  <si>
    <t>Bird Weight (08/07/2025)</t>
  </si>
  <si>
    <t>Bird Weight (15/07/2025)</t>
  </si>
  <si>
    <t>Bird Weight (21/07/2025)</t>
  </si>
  <si>
    <t>Bird Weight (28/07/2025)</t>
  </si>
  <si>
    <t>Shed 1</t>
  </si>
  <si>
    <t>Shed 2</t>
  </si>
  <si>
    <t>Shed 3</t>
  </si>
  <si>
    <t>Shed 4</t>
  </si>
  <si>
    <t>Bird Weight (04/08/2025)</t>
  </si>
  <si>
    <t>Bird Weight (11/08/2025)</t>
  </si>
  <si>
    <t>Bird Weight (18/08/2025)</t>
  </si>
  <si>
    <t>Bird Weight (25/08/2025)</t>
  </si>
  <si>
    <t>Bird Weight (01/09/2025)</t>
  </si>
  <si>
    <t>Bird Weight (15/09/2025)</t>
  </si>
  <si>
    <t>Bird Weight (22/09/2025)</t>
  </si>
  <si>
    <t>Bird Weight (29/09/2025)</t>
  </si>
  <si>
    <t>Bird Weight (06/10/2025)</t>
  </si>
  <si>
    <t>Bird Weight (13/10/2025)</t>
  </si>
  <si>
    <t>Bird Weight (20/10/2025)</t>
  </si>
  <si>
    <t>Bird Weight (27/10/2025)</t>
  </si>
  <si>
    <t>27/10/2025</t>
  </si>
  <si>
    <t>Bird weight (10/11/2025)</t>
  </si>
  <si>
    <t>Bird weight (17/11/2025)</t>
  </si>
  <si>
    <t>Bird weight (24/11/2025)</t>
  </si>
  <si>
    <t>Bird weight (01/12/2025)</t>
  </si>
  <si>
    <t>Bird weight (08/12/2025)</t>
  </si>
  <si>
    <t>Bird weight (15/12/2025)</t>
  </si>
  <si>
    <t>Bird weight (22/12/2025)</t>
  </si>
  <si>
    <t xml:space="preserve">Shed 1 </t>
  </si>
  <si>
    <t>Bird weight (29/12/2025)</t>
  </si>
  <si>
    <t>Bird weight (05/01/2026)</t>
  </si>
  <si>
    <t>Bird Weight (12/01/2026)</t>
  </si>
  <si>
    <t>Bird Weight (17/01/2026)</t>
  </si>
  <si>
    <t>Bird Weight (19/01/2026)</t>
  </si>
  <si>
    <t>Bird Weight (26/01/2026)</t>
  </si>
  <si>
    <t>Bird Weight (02/02/2026)</t>
  </si>
  <si>
    <t>Bird Weight (09/02/2026)</t>
  </si>
  <si>
    <t>Bird Weight (16/02/2026)</t>
  </si>
  <si>
    <t>Bird Weight (23/02/2026)</t>
  </si>
  <si>
    <t>Bird Weight (2/03/2026)</t>
  </si>
  <si>
    <t>Bird Weight (23/03/2026)</t>
  </si>
  <si>
    <t>Bird Weight (30/03/2026)</t>
  </si>
  <si>
    <t>Bird Weight (06/04/2026)</t>
  </si>
  <si>
    <t>Bird Weight (13/04/2026)</t>
  </si>
  <si>
    <t>Bird Weight (20/04/2026)</t>
  </si>
  <si>
    <t>Bird Weight (27/04/2026)</t>
  </si>
  <si>
    <t>Bird Weight (4/05/2026)</t>
  </si>
  <si>
    <t>Bird Weight (11/05/2026)</t>
  </si>
  <si>
    <t>Bird Weight (18/05/2026)</t>
  </si>
  <si>
    <t>Bird Weight (25/05/2026)</t>
  </si>
  <si>
    <t xml:space="preserve"> </t>
  </si>
  <si>
    <t>Bird Weight (01/06/2026)</t>
  </si>
  <si>
    <t>EGG TRAY Weight (24/08/2025)</t>
  </si>
  <si>
    <t>EGG TRAY Weight (01/09/2025)</t>
  </si>
  <si>
    <t>EGG TRAY Weight (15/09/2025)</t>
  </si>
  <si>
    <t>EGG TRAY Weight (22/09/2025)</t>
  </si>
  <si>
    <t>EGG TRAY Weight (29/09/2025)</t>
  </si>
  <si>
    <t>EGG TRAY Weight (06/10/2025)</t>
  </si>
  <si>
    <t>EGG TRAY Weight (13/10/2025)</t>
  </si>
  <si>
    <t>EGG TRAY Weight (20/10/2025)</t>
  </si>
  <si>
    <t>EGG TRAY Weight (27/10/2025)</t>
  </si>
  <si>
    <t>EGG TRAY Weight (03/11/2025)</t>
  </si>
  <si>
    <t>EGG TRAY Weight (10/11/2025)</t>
  </si>
  <si>
    <t>EGG TRAY Weight (17/11/2025)</t>
  </si>
  <si>
    <t>EGG TRAY Weight (24/11/2025)</t>
  </si>
  <si>
    <t>EGG TRAY Weight (01/12/2025)</t>
  </si>
  <si>
    <t>EGG TRAY Weight (08/12/2025)</t>
  </si>
  <si>
    <t>EGG TRAY Weight (15/12/2025)</t>
  </si>
  <si>
    <t>EGG TRAY Weight (22/12/2025)</t>
  </si>
  <si>
    <t>EGG TRAY Weight (29/12/2025)</t>
  </si>
  <si>
    <t>EGG TRAY Weight (05/01/2026)</t>
  </si>
  <si>
    <t>EGG TRAY Weight (12/01/2026)</t>
  </si>
  <si>
    <t>EGG TRAY Weight (19/01/2026)</t>
  </si>
  <si>
    <t>EGG TRAY Weight (26/01/2026)</t>
  </si>
  <si>
    <t>EGG TRAY Weight (02/02/2026)</t>
  </si>
  <si>
    <t>EGG TRAY Weight (09/02/2026)</t>
  </si>
  <si>
    <t>EGG TRAY Weight (16/02/2026)</t>
  </si>
  <si>
    <t>EGG TRAY Weight (23/02/2026)</t>
  </si>
  <si>
    <t>EGG TRAY Weight (2/03/2026)</t>
  </si>
  <si>
    <t>EGG TRAY Weight (23/03/2026)</t>
  </si>
  <si>
    <t>EGG TRAY Weight (30/03/2026)</t>
  </si>
  <si>
    <t>EGG TRAY Weight (06/04/2026)</t>
  </si>
  <si>
    <t>EGG TRAY Weight (13/04/2026)</t>
  </si>
  <si>
    <t>EGG TRAY Weight (20/04/2026)</t>
  </si>
  <si>
    <t>EGG TRAY Weight (27/04/2026)</t>
  </si>
  <si>
    <t>EGG TRAY Weight (04/05/2026)</t>
  </si>
  <si>
    <t>EGG TRAY Weight (11/05/2026)</t>
  </si>
  <si>
    <t>EGG TRAY Weight (18/05/2026)</t>
  </si>
  <si>
    <t>EGG TRAY Weight (25/05/2026)</t>
  </si>
  <si>
    <t>EGG TRAY Weight (01/06/2026)</t>
  </si>
  <si>
    <t>22-06-2025</t>
  </si>
  <si>
    <t>Age</t>
  </si>
  <si>
    <t>Mortality</t>
  </si>
  <si>
    <t>Bird Balance</t>
  </si>
  <si>
    <t>Fresh Eggs</t>
  </si>
  <si>
    <t>Crack Eggs</t>
  </si>
  <si>
    <t>Leaker Eggs</t>
  </si>
  <si>
    <t>Pather Use</t>
  </si>
  <si>
    <t>Jumbo Tray</t>
  </si>
  <si>
    <t>Production</t>
  </si>
  <si>
    <t>Fresh Tray</t>
  </si>
  <si>
    <t>Store</t>
  </si>
  <si>
    <t>8 Bird</t>
  </si>
  <si>
    <t>Stock</t>
  </si>
  <si>
    <r>
      <rPr>
        <rFont val="Arial"/>
        <b val="0"/>
        <color theme="1"/>
        <sz val="10.0"/>
      </rPr>
      <t>5405 + 2674 - 2500 - 5320 (sale) - 47 (crack) - 2  -1 =</t>
    </r>
    <r>
      <rPr>
        <rFont val="Arial"/>
        <b/>
        <color theme="1"/>
        <sz val="10.0"/>
      </rPr>
      <t xml:space="preserve"> 209</t>
    </r>
  </si>
  <si>
    <t>23-06-2025</t>
  </si>
  <si>
    <t>8+16+24 = 48</t>
  </si>
  <si>
    <t>Mortality = 13</t>
  </si>
  <si>
    <t>Bird Bal = 35</t>
  </si>
  <si>
    <r>
      <rPr>
        <rFont val="Arial"/>
        <b val="0"/>
        <color theme="1"/>
        <sz val="10.0"/>
      </rPr>
      <t>5405 + 2674 + 2685 - 2500 - 5320 - 47 (c) - 3 (c) =</t>
    </r>
    <r>
      <rPr>
        <rFont val="Arial"/>
        <b/>
        <color theme="1"/>
        <sz val="10.0"/>
      </rPr>
      <t xml:space="preserve"> 2894</t>
    </r>
  </si>
  <si>
    <t>24-06-2025</t>
  </si>
  <si>
    <t>Pather Use Kg</t>
  </si>
  <si>
    <t>Production %</t>
  </si>
  <si>
    <r>
      <rPr>
        <rFont val="Arial"/>
        <b val="0"/>
        <color theme="1"/>
      </rPr>
      <t>2894 +  2662 - 1850 - 7 =</t>
    </r>
    <r>
      <rPr>
        <rFont val="Arial"/>
        <b/>
        <color theme="1"/>
      </rPr>
      <t xml:space="preserve"> 3699</t>
    </r>
  </si>
  <si>
    <t>25-06-2025</t>
  </si>
  <si>
    <r>
      <rPr>
        <rFont val="Arial"/>
        <b val="0"/>
        <color theme="1"/>
      </rPr>
      <t>3699 + 2670 - 2752 - 15 =</t>
    </r>
    <r>
      <rPr>
        <rFont val="Arial"/>
        <b/>
        <color theme="1"/>
      </rPr>
      <t xml:space="preserve"> 3602</t>
    </r>
  </si>
  <si>
    <t>26-06-2025</t>
  </si>
  <si>
    <r>
      <rPr>
        <rFont val="Arial"/>
        <b val="0"/>
        <color theme="1"/>
      </rPr>
      <t>3602 + 2672 - 1320 - 5 =</t>
    </r>
    <r>
      <rPr>
        <rFont val="Arial"/>
        <b/>
        <color theme="1"/>
      </rPr>
      <t xml:space="preserve"> 4949</t>
    </r>
  </si>
  <si>
    <t>27-06-2025</t>
  </si>
  <si>
    <t>6 eggs</t>
  </si>
  <si>
    <r>
      <rPr>
        <rFont val="Arial"/>
        <b val="0"/>
        <color theme="1"/>
      </rPr>
      <t>4949 + 2674 - 1800 - 4 =</t>
    </r>
    <r>
      <rPr>
        <rFont val="Arial"/>
        <b/>
        <color theme="1"/>
      </rPr>
      <t xml:space="preserve"> 5819</t>
    </r>
  </si>
  <si>
    <t>28-06-2025</t>
  </si>
  <si>
    <r>
      <rPr>
        <rFont val="Arial"/>
        <b val="0"/>
        <color theme="1"/>
      </rPr>
      <t>5819 + 2650 - 4050 - 10 =</t>
    </r>
    <r>
      <rPr>
        <rFont val="Arial"/>
        <b/>
        <color theme="1"/>
      </rPr>
      <t xml:space="preserve"> 4409</t>
    </r>
  </si>
  <si>
    <t>29-06-2025</t>
  </si>
  <si>
    <t>40 eggs</t>
  </si>
  <si>
    <t>26+14+11 = 51</t>
  </si>
  <si>
    <t>Mortality = 3</t>
  </si>
  <si>
    <t>Bird Bal = 48</t>
  </si>
  <si>
    <r>
      <rPr>
        <rFont val="Arial"/>
        <b val="0"/>
        <color theme="1"/>
      </rPr>
      <t>4409 + 2655 - 1850 - 4960 - 5(local sale) - 4 - 9 =</t>
    </r>
    <r>
      <rPr>
        <rFont val="Arial"/>
        <b/>
        <color theme="1"/>
      </rPr>
      <t xml:space="preserve"> 236</t>
    </r>
  </si>
  <si>
    <t>30-06-2025</t>
  </si>
  <si>
    <r>
      <rPr>
        <rFont val="Arial"/>
        <b val="0"/>
        <color theme="1"/>
      </rPr>
      <t>236 + 2650 - 2452 - 6 =</t>
    </r>
    <r>
      <rPr>
        <rFont val="Arial"/>
        <b/>
        <color theme="1"/>
      </rPr>
      <t xml:space="preserve"> 428</t>
    </r>
  </si>
  <si>
    <t xml:space="preserve">            </t>
  </si>
  <si>
    <t xml:space="preserve">           </t>
  </si>
  <si>
    <t>20 p</t>
  </si>
  <si>
    <r>
      <rPr>
        <rFont val="Arial"/>
        <b val="0"/>
        <color theme="1"/>
      </rPr>
      <t>428 + 2649 - 1920 - 2 =</t>
    </r>
    <r>
      <rPr>
        <rFont val="Arial"/>
        <b/>
        <color theme="1"/>
      </rPr>
      <t xml:space="preserve"> 1155</t>
    </r>
  </si>
  <si>
    <t>13 p</t>
  </si>
  <si>
    <r>
      <rPr>
        <rFont val="Arial"/>
        <b val="0"/>
        <color theme="1"/>
      </rPr>
      <t>1155 + 2652 - 1800 - 4 =</t>
    </r>
    <r>
      <rPr>
        <rFont val="Arial"/>
        <b/>
        <color theme="1"/>
      </rPr>
      <t xml:space="preserve"> 2003</t>
    </r>
  </si>
  <si>
    <t>2T,25P</t>
  </si>
  <si>
    <t>1T, 20P</t>
  </si>
  <si>
    <t>1T,8P</t>
  </si>
  <si>
    <t>-18 to hospital</t>
  </si>
  <si>
    <r>
      <rPr>
        <rFont val="Arial"/>
        <b val="0"/>
        <color theme="1"/>
      </rPr>
      <t>2003 + 2638 + 4400 - 10 =</t>
    </r>
    <r>
      <rPr>
        <rFont val="Arial"/>
        <b/>
        <color theme="1"/>
      </rPr>
      <t xml:space="preserve"> 231</t>
    </r>
  </si>
  <si>
    <t>-7 store</t>
  </si>
  <si>
    <t>48+26(sh.4) = 74</t>
  </si>
  <si>
    <t>Mortality = 24</t>
  </si>
  <si>
    <t>Bird Bal = 50</t>
  </si>
  <si>
    <r>
      <rPr>
        <rFont val="Arial"/>
        <b val="0"/>
        <color theme="1"/>
      </rPr>
      <t>231 + 2644 - 1800 - 5 =</t>
    </r>
    <r>
      <rPr>
        <rFont val="Arial"/>
        <b/>
        <color theme="1"/>
      </rPr>
      <t xml:space="preserve"> 1070</t>
    </r>
  </si>
  <si>
    <t>1+20</t>
  </si>
  <si>
    <t>-5 store</t>
  </si>
  <si>
    <r>
      <rPr>
        <rFont val="Arial"/>
        <b val="0"/>
        <color theme="1"/>
      </rPr>
      <t>1070 + 2649 - 2066 - 6 =</t>
    </r>
    <r>
      <rPr>
        <rFont val="Arial"/>
        <b/>
        <color theme="1"/>
      </rPr>
      <t xml:space="preserve"> 1647</t>
    </r>
  </si>
  <si>
    <t>32 present</t>
  </si>
  <si>
    <t>5 mort</t>
  </si>
  <si>
    <t>5 trans</t>
  </si>
  <si>
    <t>Date</t>
  </si>
  <si>
    <t>Tray</t>
  </si>
  <si>
    <t>Person</t>
  </si>
  <si>
    <t>20/6/2025</t>
  </si>
  <si>
    <t>Scraper Mohit</t>
  </si>
  <si>
    <t>22/6/2025</t>
  </si>
  <si>
    <t>Virender Chacha</t>
  </si>
  <si>
    <t>28/6/2025</t>
  </si>
  <si>
    <t>Sunil Driver</t>
  </si>
  <si>
    <t>Ajay Labour</t>
  </si>
  <si>
    <t>Local Sale</t>
  </si>
  <si>
    <t>Sunil Driver Jumbo</t>
  </si>
  <si>
    <t>-22 birds</t>
  </si>
  <si>
    <r>
      <rPr>
        <rFont val="Arial"/>
        <b val="0"/>
        <color theme="1"/>
      </rPr>
      <t>1647 + 2642 - 800 - 1500 - 1960 - 18 - 11 =</t>
    </r>
    <r>
      <rPr>
        <rFont val="Arial"/>
        <b/>
        <color theme="1"/>
      </rPr>
      <t xml:space="preserve"> 0</t>
    </r>
  </si>
  <si>
    <t>13/07/2025</t>
  </si>
  <si>
    <t>Rambir Jii</t>
  </si>
  <si>
    <t>-15 bird</t>
  </si>
  <si>
    <r>
      <rPr>
        <rFont val="Arial"/>
        <b val="0"/>
        <color theme="1"/>
      </rPr>
      <t>2652 - 500 - 1800 - 10 - 4 =</t>
    </r>
    <r>
      <rPr>
        <rFont val="Arial"/>
        <b/>
        <color theme="1"/>
      </rPr>
      <t xml:space="preserve"> 338</t>
    </r>
  </si>
  <si>
    <t>25p</t>
  </si>
  <si>
    <t>-26 bird</t>
  </si>
  <si>
    <r>
      <rPr>
        <rFont val="Arial"/>
        <b val="0"/>
        <color theme="1"/>
      </rPr>
      <t>338 + 2639 - 2967 - 5 =</t>
    </r>
    <r>
      <rPr>
        <rFont val="Arial"/>
        <b/>
        <color theme="1"/>
      </rPr>
      <t xml:space="preserve"> 5</t>
    </r>
  </si>
  <si>
    <t>5p</t>
  </si>
  <si>
    <t>Birds transfer</t>
  </si>
  <si>
    <r>
      <rPr>
        <rFont val="Arial"/>
        <b val="0"/>
        <color theme="1"/>
      </rPr>
      <t>5 + 2640 - 839 - 1800 - 6 =</t>
    </r>
    <r>
      <rPr>
        <rFont val="Arial"/>
        <b/>
        <color theme="1"/>
      </rPr>
      <t xml:space="preserve"> 0</t>
    </r>
  </si>
  <si>
    <t>1+5p</t>
  </si>
  <si>
    <t>Shed 5</t>
  </si>
  <si>
    <r>
      <rPr>
        <rFont val="Arial"/>
        <color theme="1"/>
        <sz val="10.0"/>
      </rPr>
      <t xml:space="preserve">Bird Bal = </t>
    </r>
    <r>
      <rPr>
        <rFont val="Arial"/>
        <b/>
        <color theme="1"/>
        <sz val="10.0"/>
      </rPr>
      <t>102</t>
    </r>
  </si>
  <si>
    <t>Mortality = 25</t>
  </si>
  <si>
    <t>Fresh eggs = 41</t>
  </si>
  <si>
    <t>-</t>
  </si>
  <si>
    <t>1+7p</t>
  </si>
  <si>
    <r>
      <rPr>
        <rFont val="Arial"/>
        <b val="0"/>
        <color theme="1"/>
      </rPr>
      <t>2658 + 2603 - 2650 - 600 - 2000 - 10(crack) =</t>
    </r>
    <r>
      <rPr>
        <rFont val="Arial"/>
        <b/>
        <color theme="1"/>
      </rPr>
      <t xml:space="preserve"> 1</t>
    </r>
  </si>
  <si>
    <t>Mortality = 6</t>
  </si>
  <si>
    <t>Fresh eggs = 40</t>
  </si>
  <si>
    <r>
      <rPr>
        <rFont val="Arial"/>
        <color theme="1"/>
      </rPr>
      <t xml:space="preserve">Sale = </t>
    </r>
    <r>
      <rPr>
        <rFont val="Arial"/>
        <b/>
        <color theme="1"/>
      </rPr>
      <t>1800</t>
    </r>
    <r>
      <rPr>
        <rFont val="Arial"/>
        <color theme="1"/>
      </rPr>
      <t xml:space="preserve"> (5 crack+short)</t>
    </r>
  </si>
  <si>
    <r>
      <rPr>
        <rFont val="Arial"/>
        <color theme="1"/>
      </rPr>
      <t xml:space="preserve">Stock = </t>
    </r>
    <r>
      <rPr>
        <rFont val="Arial"/>
        <b/>
        <color theme="1"/>
      </rPr>
      <t>864</t>
    </r>
    <r>
      <rPr>
        <rFont val="Arial"/>
        <color theme="1"/>
      </rPr>
      <t xml:space="preserve"> + </t>
    </r>
    <r>
      <rPr>
        <rFont val="Arial"/>
        <b/>
        <color theme="1"/>
      </rPr>
      <t>5</t>
    </r>
    <r>
      <rPr>
        <rFont val="Arial"/>
        <color theme="1"/>
      </rPr>
      <t xml:space="preserve"> jumbo</t>
    </r>
  </si>
  <si>
    <t>13-07-2025</t>
  </si>
  <si>
    <t>1+12p</t>
  </si>
  <si>
    <t>18p</t>
  </si>
  <si>
    <r>
      <rPr>
        <rFont val="Arial"/>
        <color theme="1"/>
      </rPr>
      <t xml:space="preserve">869 + 2651 = </t>
    </r>
    <r>
      <rPr>
        <rFont val="Arial"/>
        <b/>
        <color theme="1"/>
      </rPr>
      <t>3520</t>
    </r>
  </si>
  <si>
    <t>14-07-2025</t>
  </si>
  <si>
    <t>Mort - 5</t>
  </si>
  <si>
    <r>
      <rPr>
        <rFont val="Arial"/>
        <color theme="1"/>
        <sz val="10.0"/>
      </rPr>
      <t xml:space="preserve">Sale = 5000 </t>
    </r>
    <r>
      <rPr>
        <rFont val="Arial"/>
        <color theme="1"/>
        <sz val="9.0"/>
      </rPr>
      <t>(36 crack+short)</t>
    </r>
  </si>
  <si>
    <r>
      <rPr>
        <rFont val="Arial"/>
        <color theme="1"/>
      </rPr>
      <t xml:space="preserve">Left = </t>
    </r>
    <r>
      <rPr>
        <rFont val="Arial"/>
        <b/>
        <color theme="1"/>
      </rPr>
      <t>1142</t>
    </r>
  </si>
  <si>
    <t>15-07-2025</t>
  </si>
  <si>
    <t>1+15p</t>
  </si>
  <si>
    <t>1+20p</t>
  </si>
  <si>
    <t>Mort - 6</t>
  </si>
  <si>
    <t>Fresh eggs - 61</t>
  </si>
  <si>
    <t>Sale = 1232</t>
  </si>
  <si>
    <r>
      <rPr>
        <rFont val="Arial"/>
        <color theme="1"/>
      </rPr>
      <t xml:space="preserve">Left = </t>
    </r>
    <r>
      <rPr>
        <rFont val="Arial"/>
        <b/>
        <color theme="1"/>
      </rPr>
      <t>2577</t>
    </r>
  </si>
  <si>
    <t>16-07-2025</t>
  </si>
  <si>
    <t>10 p</t>
  </si>
  <si>
    <t>24 p</t>
  </si>
  <si>
    <t>Sale = 4300 (9 crack+short)</t>
  </si>
  <si>
    <r>
      <rPr>
        <rFont val="Arial"/>
        <color theme="1"/>
      </rPr>
      <t xml:space="preserve">Left = </t>
    </r>
    <r>
      <rPr>
        <rFont val="Arial"/>
        <b/>
        <color theme="1"/>
      </rPr>
      <t>906</t>
    </r>
  </si>
  <si>
    <t>17-07-2025</t>
  </si>
  <si>
    <t>110 kg</t>
  </si>
  <si>
    <t>110kg</t>
  </si>
  <si>
    <t>14p</t>
  </si>
  <si>
    <t>stock-906+2649=3555</t>
  </si>
  <si>
    <t>18-07-2025</t>
  </si>
  <si>
    <t>shed no.5</t>
  </si>
  <si>
    <t>mort -13</t>
  </si>
  <si>
    <t>fresh egg -3 tray</t>
  </si>
  <si>
    <t>sale=300+1900(6 tray crack+short)</t>
  </si>
  <si>
    <t>stock 4000</t>
  </si>
  <si>
    <t>19-07-2025</t>
  </si>
  <si>
    <t>1+10p</t>
  </si>
  <si>
    <t>23p</t>
  </si>
  <si>
    <t>mort -2</t>
  </si>
  <si>
    <t>fresh egg -37p</t>
  </si>
  <si>
    <t>sale 1780(6crack+short)</t>
  </si>
  <si>
    <t>stock 4858</t>
  </si>
  <si>
    <t>20-07-2025</t>
  </si>
  <si>
    <t>30 p</t>
  </si>
  <si>
    <t>27 p</t>
  </si>
  <si>
    <t>mort-3</t>
  </si>
  <si>
    <t>sale 1800(5crack+short)</t>
  </si>
  <si>
    <t>stock 5709</t>
  </si>
  <si>
    <t>21-07-2025</t>
  </si>
  <si>
    <t>11p</t>
  </si>
  <si>
    <t>2 p</t>
  </si>
  <si>
    <t>mort 6</t>
  </si>
  <si>
    <t>fresh 38</t>
  </si>
  <si>
    <t>sale 2700+4000+1624(22 crack+short)</t>
  </si>
  <si>
    <t>stock 0000</t>
  </si>
  <si>
    <t>22-07-2025</t>
  </si>
  <si>
    <t>1+18p</t>
  </si>
  <si>
    <t>1+4p</t>
  </si>
  <si>
    <t>fresh 40 p</t>
  </si>
  <si>
    <t>sale 2400(crack +short=2)</t>
  </si>
  <si>
    <t>stock 248</t>
  </si>
  <si>
    <t>23-07-2025</t>
  </si>
  <si>
    <t>mort 2</t>
  </si>
  <si>
    <t>sale 1870 +1025(crack +short=5)</t>
  </si>
  <si>
    <t>24-07-2025</t>
  </si>
  <si>
    <t>1+15 p</t>
  </si>
  <si>
    <t>1+23p</t>
  </si>
  <si>
    <t>fresh 48 p</t>
  </si>
  <si>
    <t>sale 1900 +747(crack +short=8)</t>
  </si>
  <si>
    <t>stock 0</t>
  </si>
  <si>
    <t>25-07-2025</t>
  </si>
  <si>
    <t>27 P</t>
  </si>
  <si>
    <t>1+3P</t>
  </si>
  <si>
    <t>mort 4</t>
  </si>
  <si>
    <t>fresh 50 p</t>
  </si>
  <si>
    <t>26-07-2025</t>
  </si>
  <si>
    <t>2 tray  bihari khet wale</t>
  </si>
  <si>
    <t>haripal ji</t>
  </si>
  <si>
    <t xml:space="preserve">1 tray ritesh ji </t>
  </si>
  <si>
    <t>26 p</t>
  </si>
  <si>
    <t>SALE 1000+4260 (crack +short 6)</t>
  </si>
  <si>
    <t>stock 4 tray</t>
  </si>
  <si>
    <t>27-07-2025</t>
  </si>
  <si>
    <t xml:space="preserve">1 tray kala chokidar </t>
  </si>
  <si>
    <t>2 tray bihari haripal ji</t>
  </si>
  <si>
    <t>11 p</t>
  </si>
  <si>
    <t>fresh 30 p</t>
  </si>
  <si>
    <t>SALE 1800 (crack +short =5)</t>
  </si>
  <si>
    <t>stock 825 tray</t>
  </si>
  <si>
    <t>28-07-2025</t>
  </si>
  <si>
    <t>0110 kg</t>
  </si>
  <si>
    <t>8 p</t>
  </si>
  <si>
    <t>fresh 38 p</t>
  </si>
  <si>
    <t>SALE 1850+958 (crack +short =11)</t>
  </si>
  <si>
    <t>stock 628 tray</t>
  </si>
  <si>
    <t>29-07-2025</t>
  </si>
  <si>
    <t>15 p</t>
  </si>
  <si>
    <t>mort 10</t>
  </si>
  <si>
    <t>fresh 47 p</t>
  </si>
  <si>
    <t>stock 3235 tray</t>
  </si>
  <si>
    <t>30-07-2025</t>
  </si>
  <si>
    <t>18 p</t>
  </si>
  <si>
    <t>fresh 46 p</t>
  </si>
  <si>
    <t>sale 1000+4550 (crck +short =22)</t>
  </si>
  <si>
    <t>stock 265 tray</t>
  </si>
  <si>
    <t>31-07-2025</t>
  </si>
  <si>
    <t>2 tray sunil driver</t>
  </si>
  <si>
    <t>2 tray local sale (ritesh ji)</t>
  </si>
  <si>
    <t>1 tray kala chokidar</t>
  </si>
  <si>
    <t>1 tray parmod labour (haripal ji)</t>
  </si>
  <si>
    <t xml:space="preserve">4 tray aman brah </t>
  </si>
  <si>
    <t>5 tray local sale</t>
  </si>
  <si>
    <t>fresh 42 p</t>
  </si>
  <si>
    <t>sale 1880 (4 crack)</t>
  </si>
  <si>
    <t>stock 977 tray</t>
  </si>
  <si>
    <t>fresh 57 p</t>
  </si>
  <si>
    <t>sale 1880 (6 crack+short</t>
  </si>
  <si>
    <t>stock 1673 tray</t>
  </si>
  <si>
    <t xml:space="preserve"> 1 P</t>
  </si>
  <si>
    <t>mort 3</t>
  </si>
  <si>
    <t>stock 4222 tray</t>
  </si>
  <si>
    <t>mort 1</t>
  </si>
  <si>
    <t>fresh 45 p</t>
  </si>
  <si>
    <t>sale 955+5(6 tray crack +short)</t>
  </si>
  <si>
    <t>stock 5871 tray</t>
  </si>
  <si>
    <t>sale 1000+1800=2800(crack+short 7)</t>
  </si>
  <si>
    <t>stock 5645 tray</t>
  </si>
  <si>
    <t xml:space="preserve">  </t>
  </si>
  <si>
    <t>1TRAY BIHARI KHET WALA (RITESH JI)</t>
  </si>
  <si>
    <t>1+8P</t>
  </si>
  <si>
    <t>28 P</t>
  </si>
  <si>
    <t>SALE 4050+1500=5550(18 crack +short )</t>
  </si>
  <si>
    <t>stock 2648tray</t>
  </si>
  <si>
    <t>fresh 35 p</t>
  </si>
  <si>
    <t>Today Total Tray</t>
  </si>
  <si>
    <t>SALE 1800+1500 =3300(6 crack +short )</t>
  </si>
  <si>
    <t>stock 1934tray</t>
  </si>
  <si>
    <t>1 TRAY BIHARI KHET (SACHIN JI)</t>
  </si>
  <si>
    <t>110 KG</t>
  </si>
  <si>
    <t>41 P</t>
  </si>
  <si>
    <t>SALE 1750 (11 CRACK +SHORT)</t>
  </si>
  <si>
    <t>stock 2740 tray</t>
  </si>
  <si>
    <t>fresh  51</t>
  </si>
  <si>
    <t>SALE 1850 (5 CRACK +SHORT)</t>
  </si>
  <si>
    <t>stock 3483 tray</t>
  </si>
  <si>
    <t>3 tray local sale</t>
  </si>
  <si>
    <t>4 tray police wala (sachin ji)</t>
  </si>
  <si>
    <t>2 tray kala chokidar</t>
  </si>
  <si>
    <t>2 tray kapil accontant</t>
  </si>
  <si>
    <t>1 tray local sale</t>
  </si>
  <si>
    <t>SALE 800( 1 tray crack+short)+8 tray crack night me</t>
  </si>
  <si>
    <t>stock 5220 tray</t>
  </si>
  <si>
    <t>16 p</t>
  </si>
  <si>
    <t>fresh 63</t>
  </si>
  <si>
    <t>sale 1500+3570+2705=7775 (27 tray crack+short)</t>
  </si>
  <si>
    <t xml:space="preserve">stock 4 </t>
  </si>
  <si>
    <t>19 p</t>
  </si>
  <si>
    <t>STOCK 2584</t>
  </si>
  <si>
    <t xml:space="preserve">fresh 90 </t>
  </si>
  <si>
    <t>SALE 2550+1850=4350 (16 CRACK +SHORT)</t>
  </si>
  <si>
    <t>STOCK 778</t>
  </si>
  <si>
    <t>13-08-2025</t>
  </si>
  <si>
    <t>STOCK 3332</t>
  </si>
  <si>
    <t>14-08-2025</t>
  </si>
  <si>
    <t>mort 8</t>
  </si>
  <si>
    <t>fresh 66</t>
  </si>
  <si>
    <t>SALE 3286+1900 (22 TRAY CRAC +SHORT)</t>
  </si>
  <si>
    <t>STOCK 708</t>
  </si>
  <si>
    <t>15-08-2025</t>
  </si>
  <si>
    <t>2 TRAY VIRENDER UNCLE JI</t>
  </si>
  <si>
    <t>2 TRAY KALA CHOKIDAR</t>
  </si>
  <si>
    <t>fresh 50</t>
  </si>
  <si>
    <t>SALE 1800</t>
  </si>
  <si>
    <t>STOCK 1446</t>
  </si>
  <si>
    <t>16-08-2025</t>
  </si>
  <si>
    <t>mort  0</t>
  </si>
  <si>
    <t>fresh 54 p</t>
  </si>
  <si>
    <t xml:space="preserve">SALE 2147+1840 +2(7 crack +short) </t>
  </si>
  <si>
    <t>STOCK 5 TRAY</t>
  </si>
  <si>
    <t>17-08-2025</t>
  </si>
  <si>
    <t>1+20 p</t>
  </si>
  <si>
    <t>fresh 56</t>
  </si>
  <si>
    <t>STOCK 2565 tray</t>
  </si>
  <si>
    <t>18-08-2025</t>
  </si>
  <si>
    <t>1 TRAY OFFICE USE</t>
  </si>
  <si>
    <t>55 kg</t>
  </si>
  <si>
    <t>mort  02</t>
  </si>
  <si>
    <t>fresh 52</t>
  </si>
  <si>
    <t>SALE =4050  (22 TRAY CRACK +SHORT)</t>
  </si>
  <si>
    <t>STOCK 1030</t>
  </si>
  <si>
    <t>19-08-2025</t>
  </si>
  <si>
    <t>17 p</t>
  </si>
  <si>
    <t>mort  1</t>
  </si>
  <si>
    <t>fresh 41</t>
  </si>
  <si>
    <t>SALE =1900 (5 tray crack +short)</t>
  </si>
  <si>
    <t>STOCK 1668</t>
  </si>
  <si>
    <t>20-08-2025</t>
  </si>
  <si>
    <t>SALE =1900 (5 tray crack +short) +1100.</t>
  </si>
  <si>
    <t>STOCK 1184</t>
  </si>
  <si>
    <t>21-08-2025</t>
  </si>
  <si>
    <t>1 TRAY LOCAL SALE</t>
  </si>
  <si>
    <t>3 p</t>
  </si>
  <si>
    <t>mort  2</t>
  </si>
  <si>
    <t>fresh 61</t>
  </si>
  <si>
    <t>STOCK 3711</t>
  </si>
  <si>
    <t>22-08-2025</t>
  </si>
  <si>
    <t>1 TRAY KALA CHOKIDAR</t>
  </si>
  <si>
    <t xml:space="preserve">5 TRAY LOCAL SALE </t>
  </si>
  <si>
    <t>mort  4</t>
  </si>
  <si>
    <t>fresh 45</t>
  </si>
  <si>
    <t>SALE 3687+1900 (22 TRAY CRACK +SHORT)</t>
  </si>
  <si>
    <t>STOCK 618</t>
  </si>
  <si>
    <t>23-08-2025</t>
  </si>
  <si>
    <t>2 tray local sale</t>
  </si>
  <si>
    <t>14 p</t>
  </si>
  <si>
    <t>fresh 49</t>
  </si>
  <si>
    <t>SALE 300+2500 (9 TRAY CRACK +SHORT)</t>
  </si>
  <si>
    <t>STOCK 321</t>
  </si>
  <si>
    <t>24-08-2025</t>
  </si>
  <si>
    <t>2 tray virender uncle ji</t>
  </si>
  <si>
    <t>fresh 46</t>
  </si>
  <si>
    <t>SALE 2820 (9 TRAY CRACK +SHORT)</t>
  </si>
  <si>
    <t>STOCK 8</t>
  </si>
  <si>
    <t>25-08-2025</t>
  </si>
  <si>
    <t xml:space="preserve">4 tray sachin ji </t>
  </si>
  <si>
    <t xml:space="preserve">110 kg </t>
  </si>
  <si>
    <t>mort  6</t>
  </si>
  <si>
    <t>SALE 2500(7TRAY CRACK +SHORT)</t>
  </si>
  <si>
    <t>STOCK 14</t>
  </si>
  <si>
    <t>26-08-2025</t>
  </si>
  <si>
    <t>mort  5</t>
  </si>
  <si>
    <t>fresh 59</t>
  </si>
  <si>
    <t>SALE 2056(6 TRAY CRACK +SHORT)</t>
  </si>
  <si>
    <t>STOCK 436</t>
  </si>
  <si>
    <t>27-08-2025</t>
  </si>
  <si>
    <t>1 tray ritesh ji</t>
  </si>
  <si>
    <t>1 local sale</t>
  </si>
  <si>
    <t>fresh 53</t>
  </si>
  <si>
    <t>SALE 2500(7 TRAY CRACK +SHORT)</t>
  </si>
  <si>
    <t>28-08-2025</t>
  </si>
  <si>
    <t>4 TRAY LOCAL SALE</t>
  </si>
  <si>
    <t>mort  8</t>
  </si>
  <si>
    <t>fresh 30</t>
  </si>
  <si>
    <t>SALE 2730 ( 1tray crack)</t>
  </si>
  <si>
    <t>29-08-2025</t>
  </si>
  <si>
    <t>12 P</t>
  </si>
  <si>
    <t>SALE 2500( 6 tray crack)</t>
  </si>
  <si>
    <t>30-08-2025</t>
  </si>
  <si>
    <t>SALE 2670 (3 tray crack +short)</t>
  </si>
  <si>
    <t>STOCK 80 TRAY</t>
  </si>
  <si>
    <t>31-08-2025</t>
  </si>
  <si>
    <t>1 tray office use</t>
  </si>
  <si>
    <t>fresh 37</t>
  </si>
  <si>
    <t>SALE 2500(5 tray crack +short)</t>
  </si>
  <si>
    <t>STOCK 103 TRAY</t>
  </si>
  <si>
    <t>fresh 33</t>
  </si>
  <si>
    <t>SALE 300(2 tray crack +short)</t>
  </si>
  <si>
    <t>STOCK 2329 TRAY</t>
  </si>
  <si>
    <t>12 p</t>
  </si>
  <si>
    <t xml:space="preserve">Bird transfer to 5 </t>
  </si>
  <si>
    <t>(mort14)</t>
  </si>
  <si>
    <t>(fresh 36 ).     -8 bird</t>
  </si>
  <si>
    <t xml:space="preserve">            -2 Birds</t>
  </si>
  <si>
    <t xml:space="preserve">             -3 Birds</t>
  </si>
  <si>
    <t>Today Total Trayp</t>
  </si>
  <si>
    <t>SALE 2800(7 tray crack)</t>
  </si>
  <si>
    <t>STOCK 618 TRAY</t>
  </si>
  <si>
    <t>(mort13)</t>
  </si>
  <si>
    <t xml:space="preserve">(fresh 36 </t>
  </si>
  <si>
    <t>SALE 2454 (6 tray crack)</t>
  </si>
  <si>
    <t>STOCK 715 TRAY</t>
  </si>
  <si>
    <t>fresh 39</t>
  </si>
  <si>
    <t>SALE=300+ 2500 (8tray crack)</t>
  </si>
  <si>
    <t>STOCK 466 TRAY</t>
  </si>
  <si>
    <t>13 tray night me crack gir gyi</t>
  </si>
  <si>
    <t>side no.5</t>
  </si>
  <si>
    <t>SALE=2500 (6 tray crack)</t>
  </si>
  <si>
    <t>STOCK 474 TRAY</t>
  </si>
  <si>
    <t>2 tray rajat ji feed meel</t>
  </si>
  <si>
    <t>1 tray office use(ritesh ji)</t>
  </si>
  <si>
    <t>2 tray ritesh ji</t>
  </si>
  <si>
    <t>fresh 51</t>
  </si>
  <si>
    <t>SALE=2500 (9tray crack+short)</t>
  </si>
  <si>
    <t>STOCK 502 TRAY</t>
  </si>
  <si>
    <t>SALE=2500 (7tray crack+short)</t>
  </si>
  <si>
    <t>110 k</t>
  </si>
  <si>
    <t>Birds transfer to 5</t>
  </si>
  <si>
    <t>Fresh eggs = 39</t>
  </si>
  <si>
    <t>Mortality = 11</t>
  </si>
  <si>
    <t>Sale = 4000 (15 crack)                                         Stock = 819 tray</t>
  </si>
  <si>
    <t>Fresh eggs = 34</t>
  </si>
  <si>
    <t>Mortality = 7</t>
  </si>
  <si>
    <t>Sale = 2500 (4 crack)                                           Stock = 822 tray</t>
  </si>
  <si>
    <t>35p</t>
  </si>
  <si>
    <t>Fresh eggs = 30</t>
  </si>
  <si>
    <t>Mortality = 8</t>
  </si>
  <si>
    <t>Sale = 2500 (9 crack)     5 local sale                   Stock = 840 tray</t>
  </si>
  <si>
    <t>Sale = 2500 (6 crack)                                       Stock = 903 tray</t>
  </si>
  <si>
    <t>Fresh eggs = 36</t>
  </si>
  <si>
    <t>Mortality = 14</t>
  </si>
  <si>
    <t>SALE 2500 (7tray crack)</t>
  </si>
  <si>
    <t>Mortality = 4</t>
  </si>
  <si>
    <t>Fresh eggs = 51</t>
  </si>
  <si>
    <t>Fresh eggs = 58</t>
  </si>
  <si>
    <t>Sale = 2500 (6 crack+short)</t>
  </si>
  <si>
    <t>Stock = 529 trays</t>
  </si>
  <si>
    <t>Fresh eggs = 60</t>
  </si>
  <si>
    <t>Mortality = 5</t>
  </si>
  <si>
    <t>Sale = 300 (1 crack+short)</t>
  </si>
  <si>
    <t>Stock = 2741 trays</t>
  </si>
  <si>
    <t>13-09-2025</t>
  </si>
  <si>
    <t xml:space="preserve">Mortality = </t>
  </si>
  <si>
    <t>Sale = 2709+2500 (17+6 crack+short)</t>
  </si>
  <si>
    <t>Stock = 20 trays</t>
  </si>
  <si>
    <t>14-09-2025</t>
  </si>
  <si>
    <t>Fresh eggs = 61</t>
  </si>
  <si>
    <t>Stock = 2541 tray</t>
  </si>
  <si>
    <t>15-09-2025</t>
  </si>
  <si>
    <t>1 TRAY RITESH JI</t>
  </si>
  <si>
    <t>Fresh eggs = 74</t>
  </si>
  <si>
    <t>Sale=2500+1900 (19 crack+short)</t>
  </si>
  <si>
    <t>Stock = 630 trays</t>
  </si>
  <si>
    <t>16-09-2025</t>
  </si>
  <si>
    <t>Fresh eggs = 63</t>
  </si>
  <si>
    <t>Mortality = 2</t>
  </si>
  <si>
    <t>Sale=500 (3 crack+short)</t>
  </si>
  <si>
    <t>Stock = 2641trays</t>
  </si>
  <si>
    <t>17-09-2025</t>
  </si>
  <si>
    <t>Fresh eggs = 64</t>
  </si>
  <si>
    <t>Sale=5100(11+6 crack+short)</t>
  </si>
  <si>
    <t>Stock = 81 trays</t>
  </si>
  <si>
    <t>18-09-2025</t>
  </si>
  <si>
    <t>1 tray ritesh ji (jind le gye)</t>
  </si>
  <si>
    <t>1 tray spray bihari (ritesh ji)</t>
  </si>
  <si>
    <t>Fresh eggs = 76</t>
  </si>
  <si>
    <t>Stock =2629 trays</t>
  </si>
  <si>
    <t>19-09-2025</t>
  </si>
  <si>
    <t>Fresh eggs = 94</t>
  </si>
  <si>
    <t>sale =5103 (19crack+short)</t>
  </si>
  <si>
    <t>Stock =52  trays</t>
  </si>
  <si>
    <t>20-09-2025</t>
  </si>
  <si>
    <t xml:space="preserve">           -18 birds</t>
  </si>
  <si>
    <t>Fresh eggs = 70</t>
  </si>
  <si>
    <t>Stock =2597  trays</t>
  </si>
  <si>
    <t>21-09-2025</t>
  </si>
  <si>
    <t>sale 2572+2550 (22 crack +short)</t>
  </si>
  <si>
    <t>Stock =5 trays</t>
  </si>
  <si>
    <t>22-09-2025</t>
  </si>
  <si>
    <t>Fresh eggs = 84</t>
  </si>
  <si>
    <t>Stock =2550 trays</t>
  </si>
  <si>
    <t>23-09-2025</t>
  </si>
  <si>
    <t>Fresh eggs = 85</t>
  </si>
  <si>
    <t>sale 2530+2520(19 crack )</t>
  </si>
  <si>
    <t>Stock =25 trays</t>
  </si>
  <si>
    <t>24-09-2025</t>
  </si>
  <si>
    <t>Stock =2541 trays</t>
  </si>
  <si>
    <t>25-09-2025</t>
  </si>
  <si>
    <t xml:space="preserve">           -12 birds</t>
  </si>
  <si>
    <t xml:space="preserve">             -6 birds</t>
  </si>
  <si>
    <t>Fresh eggs = 99</t>
  </si>
  <si>
    <t>Mortality = 10</t>
  </si>
  <si>
    <t>sale 2515 (12 tray crack )</t>
  </si>
  <si>
    <t>Stock =2515 trays</t>
  </si>
  <si>
    <t>26-09-2025</t>
  </si>
  <si>
    <t>Fresh eggs = 81</t>
  </si>
  <si>
    <t>sale 2500 (7tray crack )</t>
  </si>
  <si>
    <t>Stock =2517 trays</t>
  </si>
  <si>
    <t>27-09-2025</t>
  </si>
  <si>
    <t>sale 2500 (9 tray crack )</t>
  </si>
  <si>
    <t>Stock =2536 trays</t>
  </si>
  <si>
    <t>28-09-2025</t>
  </si>
  <si>
    <t>Fresh eggs = 68</t>
  </si>
  <si>
    <t>sale 300+2500 (8 tray crack )</t>
  </si>
  <si>
    <t>Stock =2261 trays</t>
  </si>
  <si>
    <t>29-09-2025</t>
  </si>
  <si>
    <t>Fresh eggs = 66</t>
  </si>
  <si>
    <t>sale 2220 (15 tray crack+short )</t>
  </si>
  <si>
    <t>Stock =2564 trays</t>
  </si>
  <si>
    <t>30-09-2025</t>
  </si>
  <si>
    <t>Fresh eggs = 55</t>
  </si>
  <si>
    <t>Stock =5077 trays</t>
  </si>
  <si>
    <t>2 tray office me gyi</t>
  </si>
  <si>
    <t>Sale=5020(30 tray crack+short)</t>
  </si>
  <si>
    <t>Stock =2556 trays</t>
  </si>
  <si>
    <t>10 tray local sale 1700</t>
  </si>
  <si>
    <t>Sale=300(1 tray crack+short)</t>
  </si>
  <si>
    <t>Stock =4779 trays</t>
  </si>
  <si>
    <t>Fresh eggs = 59</t>
  </si>
  <si>
    <t>Sale=500(1 tray crack+short)</t>
  </si>
  <si>
    <t>Stock =6815 trays</t>
  </si>
  <si>
    <t>Fresh eggs = 49</t>
  </si>
  <si>
    <t>Sale=300+6530(7 tray crack+short)</t>
  </si>
  <si>
    <t>Stock =2512 trays</t>
  </si>
  <si>
    <t>Fresh eggs = 35</t>
  </si>
  <si>
    <t>Sale=1344+2500(8tray crack+short)</t>
  </si>
  <si>
    <t>Stock =1192trays</t>
  </si>
  <si>
    <t>Sale=303(1tray crack+short)</t>
  </si>
  <si>
    <t>Stock =3430 trays</t>
  </si>
  <si>
    <t>Sale=3420+2500(8 tray crack+short)</t>
  </si>
  <si>
    <t>Stock =41trays</t>
  </si>
  <si>
    <t>Fresh eggs = 46</t>
  </si>
  <si>
    <t>Sale=510 (2 tray crack)</t>
  </si>
  <si>
    <t>Stock =2076 trays</t>
  </si>
  <si>
    <t xml:space="preserve">           -10 birds</t>
  </si>
  <si>
    <t>Fresh eggs = 42</t>
  </si>
  <si>
    <t>Mortality = 1</t>
  </si>
  <si>
    <t>Sale=2060+2500(15 tray crack)</t>
  </si>
  <si>
    <t>Stock =48 trays</t>
  </si>
  <si>
    <t>Fresh eggs = 45</t>
  </si>
  <si>
    <t>Sale=804(3 tray crack)</t>
  </si>
  <si>
    <t>Stock =1785 trays</t>
  </si>
  <si>
    <t>Fresh eggs = 52</t>
  </si>
  <si>
    <t>Sale=1770+10(10 tray crack)</t>
  </si>
  <si>
    <t>Stock =2531trays</t>
  </si>
  <si>
    <t>Sale=3000( 5 tray crack)</t>
  </si>
  <si>
    <t>Stock =2062 trays</t>
  </si>
  <si>
    <t>13-10-2025</t>
  </si>
  <si>
    <t xml:space="preserve">3 tray haripal ji friend </t>
  </si>
  <si>
    <t xml:space="preserve">1 tray office </t>
  </si>
  <si>
    <t xml:space="preserve">3 tray local sale </t>
  </si>
  <si>
    <t>1 tray local sale (sachin ji)</t>
  </si>
  <si>
    <t>Sale=2215 (2tray crack)</t>
  </si>
  <si>
    <t>Stock =2370 trays</t>
  </si>
  <si>
    <t>14-10-2025</t>
  </si>
  <si>
    <t>Fresh eggs = 50</t>
  </si>
  <si>
    <t>Sale=2500 (3tray crack)</t>
  </si>
  <si>
    <t>Stock =2385 trays</t>
  </si>
  <si>
    <t>15-10-2025</t>
  </si>
  <si>
    <t xml:space="preserve">Fresh eggs = </t>
  </si>
  <si>
    <t>Sale=300+2143 (3tray crack)</t>
  </si>
  <si>
    <t>Stock =2465 trays</t>
  </si>
  <si>
    <t>16-10-2025</t>
  </si>
  <si>
    <t>Sale=2500(5 tray crack)</t>
  </si>
  <si>
    <t>Stock =2491trays</t>
  </si>
  <si>
    <t>17-10-2025</t>
  </si>
  <si>
    <t>Fresh eggs = 47</t>
  </si>
  <si>
    <t>Mortality = 9</t>
  </si>
  <si>
    <t>Sale=300+1895(1 tray crack)</t>
  </si>
  <si>
    <t>Stock =2816 rays</t>
  </si>
  <si>
    <t>18-10-2025</t>
  </si>
  <si>
    <t>2 tray bihari khet (sachin ji)</t>
  </si>
  <si>
    <t>Fresh eggs = 38</t>
  </si>
  <si>
    <t>Sale=300+2500(8 tray crack)</t>
  </si>
  <si>
    <t>Stock =2523 rays</t>
  </si>
  <si>
    <t>19-10-2025</t>
  </si>
  <si>
    <t>Fresh eggs = 37</t>
  </si>
  <si>
    <t>Sale=300(1 tray crack)</t>
  </si>
  <si>
    <t>Stock =4738 rays</t>
  </si>
  <si>
    <t>20-10-2025</t>
  </si>
  <si>
    <t>Stock =7180 rays</t>
  </si>
  <si>
    <t>21-10-2025</t>
  </si>
  <si>
    <t>2 tray virender ji</t>
  </si>
  <si>
    <t>1 office use</t>
  </si>
  <si>
    <t xml:space="preserve">           -11 birds</t>
  </si>
  <si>
    <t>sale=300+4410+2500(35 crack)</t>
  </si>
  <si>
    <t>Stock =2520rays</t>
  </si>
  <si>
    <t>22-10-2025</t>
  </si>
  <si>
    <t>4 tray kapil a/c</t>
  </si>
  <si>
    <t>Stock =5030 rays</t>
  </si>
  <si>
    <t>23-10-2025</t>
  </si>
  <si>
    <t>1 tray wazir baet misty</t>
  </si>
  <si>
    <t>Stock =7537 rays</t>
  </si>
  <si>
    <t>24-10-2025</t>
  </si>
  <si>
    <t xml:space="preserve">2 sachin chokidar </t>
  </si>
  <si>
    <t>4 tray local sale</t>
  </si>
  <si>
    <t>sale=300+7225+2500(28 crack)</t>
  </si>
  <si>
    <t>25-10-2025</t>
  </si>
  <si>
    <t>4 tray rajat ji</t>
  </si>
  <si>
    <t xml:space="preserve">5 tray local sale </t>
  </si>
  <si>
    <t>2 tray pawan ji</t>
  </si>
  <si>
    <t>lasotta diya</t>
  </si>
  <si>
    <t>Fresh eggs = 33</t>
  </si>
  <si>
    <t>sale=300(1crack)</t>
  </si>
  <si>
    <t>Stock =2215 trays</t>
  </si>
  <si>
    <t>26-10-2025</t>
  </si>
  <si>
    <t>2 tray haripal ji</t>
  </si>
  <si>
    <t>2 tray office (ritesh ji)</t>
  </si>
  <si>
    <t xml:space="preserve">           .</t>
  </si>
  <si>
    <t>Fresh eggs = 26</t>
  </si>
  <si>
    <t>sale=4294(27crack)</t>
  </si>
  <si>
    <t>Stock =404 trays</t>
  </si>
  <si>
    <t>27-10-2025</t>
  </si>
  <si>
    <t>2 tray office ( ritesh ji )</t>
  </si>
  <si>
    <t>cid 2000 medicine suru 4days</t>
  </si>
  <si>
    <t>Fresh eggs = 29</t>
  </si>
  <si>
    <t>sale 2100+100(3 crack)</t>
  </si>
  <si>
    <t xml:space="preserve">stock 719 trays </t>
  </si>
  <si>
    <t>28-10-2025</t>
  </si>
  <si>
    <t>Fresh eggs = 27</t>
  </si>
  <si>
    <t>stock 3220</t>
  </si>
  <si>
    <t>29-10-2025</t>
  </si>
  <si>
    <t>Fresh eggs = 28</t>
  </si>
  <si>
    <t>sale 300 (1crack)</t>
  </si>
  <si>
    <t>stock 5421</t>
  </si>
  <si>
    <t>30-10-2025</t>
  </si>
  <si>
    <t>1 tray spray wala bihari</t>
  </si>
  <si>
    <t>sale 1640+3800(15crack)</t>
  </si>
  <si>
    <t>stock 2485</t>
  </si>
  <si>
    <t>31-10-2025</t>
  </si>
  <si>
    <t>2 tray office me gyi ritesh ji</t>
  </si>
  <si>
    <t>stock 4997</t>
  </si>
  <si>
    <t>2 tray kapil a/c</t>
  </si>
  <si>
    <t>2 tray office (sachin ji)</t>
  </si>
  <si>
    <t>Fresh eggs = 25</t>
  </si>
  <si>
    <t>sale 6500(33 crack )</t>
  </si>
  <si>
    <t>sale 1410(5 crack )</t>
  </si>
  <si>
    <t>Stock 2033 trays</t>
  </si>
  <si>
    <t>Fresh eggs = 23</t>
  </si>
  <si>
    <t>sale 309+1800(14crack )</t>
  </si>
  <si>
    <t>Stock 2403 trays</t>
  </si>
  <si>
    <t>1 tray jumbo crack hui</t>
  </si>
  <si>
    <t>3 tray washing me crack hui</t>
  </si>
  <si>
    <t>Fresh eggs = 22</t>
  </si>
  <si>
    <t>sale=4410 (16crack)</t>
  </si>
  <si>
    <t>Stock 449 trays</t>
  </si>
  <si>
    <t>4 tray haripal ji</t>
  </si>
  <si>
    <t>3 ranbir asan</t>
  </si>
  <si>
    <t>Fresh eggs = 24</t>
  </si>
  <si>
    <t>sale=300+10+2500+ (6+4crack)</t>
  </si>
  <si>
    <t>Stock 98 trays</t>
  </si>
  <si>
    <t>Fresh eggs = 20</t>
  </si>
  <si>
    <t xml:space="preserve">Stock 2570 trays </t>
  </si>
  <si>
    <t>sale 4410(crack 16)</t>
  </si>
  <si>
    <t xml:space="preserve">Stock 623 trays </t>
  </si>
  <si>
    <t xml:space="preserve">2 tray office </t>
  </si>
  <si>
    <t>sale 3076(6 crack )</t>
  </si>
  <si>
    <t>Stock 1 tray</t>
  </si>
  <si>
    <t>40 tray local sale</t>
  </si>
  <si>
    <t>sale =2410(8 crack)</t>
  </si>
  <si>
    <t>Fresh eggs = 31</t>
  </si>
  <si>
    <t>sale =300 (2 crack)</t>
  </si>
  <si>
    <t>Stock 2155 tray</t>
  </si>
  <si>
    <t>1 tray staff use</t>
  </si>
  <si>
    <t>Stock 4617 trays</t>
  </si>
  <si>
    <t>8 tray local sale</t>
  </si>
  <si>
    <t xml:space="preserve">             -8 birds</t>
  </si>
  <si>
    <t xml:space="preserve">           -20 birds</t>
  </si>
  <si>
    <t>-16 birds</t>
  </si>
  <si>
    <t>sale=4410+60+2582(18 crack)</t>
  </si>
  <si>
    <t>Stock 9 trays</t>
  </si>
  <si>
    <t>13-11-2025</t>
  </si>
  <si>
    <t xml:space="preserve">             </t>
  </si>
  <si>
    <t>Fresh eggs = 15</t>
  </si>
  <si>
    <t>Mortality = 16</t>
  </si>
  <si>
    <t>Stock 2476 trays</t>
  </si>
  <si>
    <t>14-11-2025</t>
  </si>
  <si>
    <t xml:space="preserve">           -6birds</t>
  </si>
  <si>
    <t>sale=3000+1713 (12 crack)</t>
  </si>
  <si>
    <t>Stock 220 trays</t>
  </si>
  <si>
    <t>15-11-2025</t>
  </si>
  <si>
    <t>14 tray local sale</t>
  </si>
  <si>
    <t>2 tray sachin ji</t>
  </si>
  <si>
    <t>sale=300+8 (3 crack)</t>
  </si>
  <si>
    <t>Stock 2359 trays</t>
  </si>
  <si>
    <t>16-11-2025</t>
  </si>
  <si>
    <t>sale=2500 (5)</t>
  </si>
  <si>
    <t>Stock 2310 trays</t>
  </si>
  <si>
    <t>17-11-2025</t>
  </si>
  <si>
    <t xml:space="preserve">sale=2300 (8)  </t>
  </si>
  <si>
    <t>Stock 2474 trays</t>
  </si>
  <si>
    <t>18-11-2025</t>
  </si>
  <si>
    <t xml:space="preserve">sale=300(4)  </t>
  </si>
  <si>
    <t>Stock 4635 trays</t>
  </si>
  <si>
    <t>19-11-2025</t>
  </si>
  <si>
    <t xml:space="preserve">sale=2300+3000(33 crack)  </t>
  </si>
  <si>
    <t>Stock 1761</t>
  </si>
  <si>
    <t>20-11-2025</t>
  </si>
  <si>
    <t>Stock 4208</t>
  </si>
  <si>
    <t>21-11-2025</t>
  </si>
  <si>
    <t>sale 3270 (8 crack )</t>
  </si>
  <si>
    <t>Stock 3358</t>
  </si>
  <si>
    <t>22-11-2025</t>
  </si>
  <si>
    <t>sale=300+ 2500(15 crack )</t>
  </si>
  <si>
    <t>Stock 2985</t>
  </si>
  <si>
    <t>23-11-2025</t>
  </si>
  <si>
    <t>sale=3000(10 crack )</t>
  </si>
  <si>
    <t>Stock 2430</t>
  </si>
  <si>
    <t>24-11-2025</t>
  </si>
  <si>
    <t>Stock 4891</t>
  </si>
  <si>
    <t>25-11-2025</t>
  </si>
  <si>
    <t>sale=3000(10 crack)</t>
  </si>
  <si>
    <t>Stock 4312</t>
  </si>
  <si>
    <t>26-11-2025</t>
  </si>
  <si>
    <t xml:space="preserve">             -8 birds </t>
  </si>
  <si>
    <t xml:space="preserve">           - 11 birds</t>
  </si>
  <si>
    <t>Mortality = 12</t>
  </si>
  <si>
    <t>Stock 6756</t>
  </si>
  <si>
    <t>27-11-2025</t>
  </si>
  <si>
    <t>sale=4410(15 crack)</t>
  </si>
  <si>
    <t>Stock 4764</t>
  </si>
  <si>
    <t>28-11-2025</t>
  </si>
  <si>
    <t>sale=3000(12 crack)</t>
  </si>
  <si>
    <t>Stock 4173</t>
  </si>
  <si>
    <t>29-11-2025</t>
  </si>
  <si>
    <t>Stock 6591</t>
  </si>
  <si>
    <t>30-11-2025</t>
  </si>
  <si>
    <t>sale=2500(crack 10)</t>
  </si>
  <si>
    <t>Stock 6517</t>
  </si>
  <si>
    <t>Stock 4523</t>
  </si>
  <si>
    <t>Stock 6931</t>
  </si>
  <si>
    <t>Fresh eggs = 21</t>
  </si>
  <si>
    <t>Stock =9363</t>
  </si>
  <si>
    <t>3570+3000(50 crack)</t>
  </si>
  <si>
    <t>Stock =5168</t>
  </si>
  <si>
    <t xml:space="preserve">           -17 birds</t>
  </si>
  <si>
    <t>3735+2000+20 (20 crack)</t>
  </si>
  <si>
    <t>Stock =1816</t>
  </si>
  <si>
    <t xml:space="preserve">          </t>
  </si>
  <si>
    <t>sale=1500(12 crack)</t>
  </si>
  <si>
    <t>Stock =2739</t>
  </si>
  <si>
    <t>sale=1800+2810(10 crack)</t>
  </si>
  <si>
    <t>Stock =558</t>
  </si>
  <si>
    <t>Stock =3012</t>
  </si>
  <si>
    <t>sale =4410 (1 tray )</t>
  </si>
  <si>
    <t>Stock =1062</t>
  </si>
  <si>
    <t xml:space="preserve">          -14 birds</t>
  </si>
  <si>
    <t>Fresh eggs = 3</t>
  </si>
  <si>
    <t>sale =3000(28 crack)</t>
  </si>
  <si>
    <t>Stock =491</t>
  </si>
  <si>
    <t>sale =210+2723(10 crack)</t>
  </si>
  <si>
    <t>Stock =0</t>
  </si>
  <si>
    <t>sale =1160 (3 crack)</t>
  </si>
  <si>
    <t>Stock =1275</t>
  </si>
  <si>
    <t>13-12-2025</t>
  </si>
  <si>
    <t>sale =300+2200(42 crack )</t>
  </si>
  <si>
    <t>Stock=1160</t>
  </si>
  <si>
    <t>14-12-2025</t>
  </si>
  <si>
    <t>Fresh eggs =14</t>
  </si>
  <si>
    <t>sale =3583(10 crack )</t>
  </si>
  <si>
    <t>Stock=0</t>
  </si>
  <si>
    <t>15-12-2025</t>
  </si>
  <si>
    <t>Fresh eggs =10</t>
  </si>
  <si>
    <t>sale =2000(15 crack )</t>
  </si>
  <si>
    <t>Stock=420 trays</t>
  </si>
  <si>
    <t>16-12-2025</t>
  </si>
  <si>
    <t>Fresh eggs =4</t>
  </si>
  <si>
    <t>Stock=2843 trays</t>
  </si>
  <si>
    <t>17-12-2025</t>
  </si>
  <si>
    <t>Fresh eggs =9 pcs</t>
  </si>
  <si>
    <t>sale=3780+40 (12 crack)</t>
  </si>
  <si>
    <t>Stock=1402 trays</t>
  </si>
  <si>
    <t>18-12-2025</t>
  </si>
  <si>
    <t>sale=2700(22 crack)</t>
  </si>
  <si>
    <t>Stock=1086</t>
  </si>
  <si>
    <t>19-12-2025</t>
  </si>
  <si>
    <t>12+8=-20 birds</t>
  </si>
  <si>
    <t>sale=3344(22 crack)</t>
  </si>
  <si>
    <t>Stock=110 trays</t>
  </si>
  <si>
    <t>20-12-2025</t>
  </si>
  <si>
    <t>Fresh eggs =10 pcs</t>
  </si>
  <si>
    <t>sale=300+100+2074(10 crack)</t>
  </si>
  <si>
    <t>4 trays</t>
  </si>
  <si>
    <t>21-12-2025</t>
  </si>
  <si>
    <t xml:space="preserve">           -4 birds  </t>
  </si>
  <si>
    <t>-4 birds</t>
  </si>
  <si>
    <t xml:space="preserve">           8 birds</t>
  </si>
  <si>
    <t>Fresh eggs =7 pcs</t>
  </si>
  <si>
    <t>2369 trays</t>
  </si>
  <si>
    <t>22-12-2025</t>
  </si>
  <si>
    <t>Fresh eggs =8 pcs</t>
  </si>
  <si>
    <t>4732 trays</t>
  </si>
  <si>
    <t>23-12-2025</t>
  </si>
  <si>
    <t xml:space="preserve">sale 4000+2700 (58 crack) </t>
  </si>
  <si>
    <t>299 trays</t>
  </si>
  <si>
    <t>24-12-2025</t>
  </si>
  <si>
    <t>2650 trays</t>
  </si>
  <si>
    <t>25-12-2025</t>
  </si>
  <si>
    <t xml:space="preserve">           -6 birds</t>
  </si>
  <si>
    <t>-6 birds</t>
  </si>
  <si>
    <t xml:space="preserve">          -15 birds</t>
  </si>
  <si>
    <t>-2 bidrs</t>
  </si>
  <si>
    <t>4804 trays</t>
  </si>
  <si>
    <t>26-12-2025</t>
  </si>
  <si>
    <t xml:space="preserve">     </t>
  </si>
  <si>
    <t>Fresh eggs =11 pcs</t>
  </si>
  <si>
    <t>4500+2500 (37 crack)</t>
  </si>
  <si>
    <t xml:space="preserve">142 trays </t>
  </si>
  <si>
    <t>27-12-2025</t>
  </si>
  <si>
    <t>Fresh eggs =15 pcs</t>
  </si>
  <si>
    <t>sale 200 (4 crack )</t>
  </si>
  <si>
    <t>2300 trays</t>
  </si>
  <si>
    <t>28-12-2025</t>
  </si>
  <si>
    <t>sale =2500+1000(29)</t>
  </si>
  <si>
    <t>1150 tray</t>
  </si>
  <si>
    <t>29-12-2025</t>
  </si>
  <si>
    <t>sale =300(7 crack)</t>
  </si>
  <si>
    <t>3221 tray</t>
  </si>
  <si>
    <t>30-12-2025</t>
  </si>
  <si>
    <t>Fresh eggs =17pcs</t>
  </si>
  <si>
    <t>sale =5570(18 crack)</t>
  </si>
  <si>
    <t>11 tray</t>
  </si>
  <si>
    <t>31-12-2025</t>
  </si>
  <si>
    <t>sale=2200(8 crack )</t>
  </si>
  <si>
    <t>157 trays</t>
  </si>
  <si>
    <t>Fresh eggs =16 pcs</t>
  </si>
  <si>
    <t>2463 trays</t>
  </si>
  <si>
    <t>sale=1360+2500 (14 crack)</t>
  </si>
  <si>
    <t>970 trays</t>
  </si>
  <si>
    <t>Fresh eggs =17 pcs</t>
  </si>
  <si>
    <t>sale=1800(5 crack )</t>
  </si>
  <si>
    <t>Fresh eggs =19 pcs</t>
  </si>
  <si>
    <t>sale=1500(3crack )</t>
  </si>
  <si>
    <t>2350 trays</t>
  </si>
  <si>
    <t>sale=4024(14 crack )</t>
  </si>
  <si>
    <t>685 trays</t>
  </si>
  <si>
    <t>sale=300+1500(12 crack )</t>
  </si>
  <si>
    <t xml:space="preserve">1216 trays </t>
  </si>
  <si>
    <t>sale=2000+1300(14)</t>
  </si>
  <si>
    <t>251trays</t>
  </si>
  <si>
    <t>sale=252+1000(13 crack)</t>
  </si>
  <si>
    <t>1340 trays</t>
  </si>
  <si>
    <t>fresh 22 pcs</t>
  </si>
  <si>
    <t>m.t=8</t>
  </si>
  <si>
    <t>sale=300+1380 (10 crack)</t>
  </si>
  <si>
    <t>1975 trays</t>
  </si>
  <si>
    <t xml:space="preserve">fresh 28 </t>
  </si>
  <si>
    <t>M.T.=2</t>
  </si>
  <si>
    <t>sale=280+1480(10 crack)</t>
  </si>
  <si>
    <t>2526 trays</t>
  </si>
  <si>
    <t>fresh 27</t>
  </si>
  <si>
    <t>M.T.=8</t>
  </si>
  <si>
    <t>sale=2000+2446+40(34 crack)</t>
  </si>
  <si>
    <t>355 trays</t>
  </si>
  <si>
    <t>fresh 26</t>
  </si>
  <si>
    <t>M.T.=3</t>
  </si>
  <si>
    <t>sale=300(6crack)</t>
  </si>
  <si>
    <t>2395 trays</t>
  </si>
  <si>
    <t>13-01-2026</t>
  </si>
  <si>
    <t>sale=1800+2915 (13 crack)</t>
  </si>
  <si>
    <t>6 trays</t>
  </si>
  <si>
    <t>14-01-2026</t>
  </si>
  <si>
    <t>fresh 40</t>
  </si>
  <si>
    <t>2366 trays</t>
  </si>
  <si>
    <t>15-01-2026</t>
  </si>
  <si>
    <t>-19 birds</t>
  </si>
  <si>
    <t xml:space="preserve">     -7 birds</t>
  </si>
  <si>
    <t>-17 birds</t>
  </si>
  <si>
    <t>sale 1800+2920(18 crack)</t>
  </si>
  <si>
    <t>3 trays</t>
  </si>
  <si>
    <t>16-01-2026</t>
  </si>
  <si>
    <t>2357 trays</t>
  </si>
  <si>
    <t>17-01-2026</t>
  </si>
  <si>
    <t>Fresh=30</t>
  </si>
  <si>
    <t>M.T.= 3</t>
  </si>
  <si>
    <t>sale=300+4200(17 crack)</t>
  </si>
  <si>
    <t>182 trays</t>
  </si>
  <si>
    <t>18-01-2026</t>
  </si>
  <si>
    <t>Fresh=37</t>
  </si>
  <si>
    <t>M.T.= 5</t>
  </si>
  <si>
    <t>sale=300+2200(16 crack)</t>
  </si>
  <si>
    <t>29 trays</t>
  </si>
  <si>
    <t>19-01-2026</t>
  </si>
  <si>
    <t>Fresh=40</t>
  </si>
  <si>
    <t>M.T.= 8</t>
  </si>
  <si>
    <t>sale=300+1210(6 crack)</t>
  </si>
  <si>
    <t>855 trays</t>
  </si>
  <si>
    <t>20-01-2026</t>
  </si>
  <si>
    <t>Fresh=36</t>
  </si>
  <si>
    <t>M.T.= 7</t>
  </si>
  <si>
    <t>sale=2500(11 crack)</t>
  </si>
  <si>
    <t>693 trays</t>
  </si>
  <si>
    <t>21-01-2026</t>
  </si>
  <si>
    <t>M.T.= 6</t>
  </si>
  <si>
    <t>7 trays</t>
  </si>
  <si>
    <t>22-01-2026</t>
  </si>
  <si>
    <t>Fresh=44</t>
  </si>
  <si>
    <t>sale=1200+1110(5 crack)</t>
  </si>
  <si>
    <t>23-01-2026</t>
  </si>
  <si>
    <t xml:space="preserve">                       - 4 birds</t>
  </si>
  <si>
    <t xml:space="preserve">          - 23 birds</t>
  </si>
  <si>
    <t xml:space="preserve">            - 5 birds</t>
  </si>
  <si>
    <t>Fresh=32</t>
  </si>
  <si>
    <t>M.T.= 4</t>
  </si>
  <si>
    <t>2348 trays</t>
  </si>
  <si>
    <t>24-01-2026</t>
  </si>
  <si>
    <t xml:space="preserve">                      </t>
  </si>
  <si>
    <t xml:space="preserve">          -</t>
  </si>
  <si>
    <t>sale=1400(16 crack)</t>
  </si>
  <si>
    <t>3201 trays</t>
  </si>
  <si>
    <t>25-01-2026</t>
  </si>
  <si>
    <t>M.T.= 9</t>
  </si>
  <si>
    <t>sale=1500+1360(7 crack)</t>
  </si>
  <si>
    <t>2382 trays</t>
  </si>
  <si>
    <t>26-01-2026</t>
  </si>
  <si>
    <t>Fresh=28</t>
  </si>
  <si>
    <t>M.T.= 14</t>
  </si>
  <si>
    <t>sale=2000(15 crack )</t>
  </si>
  <si>
    <t>2498 trays</t>
  </si>
  <si>
    <t>27-01-2026</t>
  </si>
  <si>
    <t xml:space="preserve">                      -30 birds</t>
  </si>
  <si>
    <t xml:space="preserve">          -28 birds</t>
  </si>
  <si>
    <t xml:space="preserve">      -73 birds</t>
  </si>
  <si>
    <t xml:space="preserve">       -17 birds</t>
  </si>
  <si>
    <t>Fresh=24</t>
  </si>
  <si>
    <t>M.T.= 55</t>
  </si>
  <si>
    <t>sale=300(6 crack )</t>
  </si>
  <si>
    <t>4355 trays</t>
  </si>
  <si>
    <t>28-01-2026</t>
  </si>
  <si>
    <t xml:space="preserve">      </t>
  </si>
  <si>
    <t xml:space="preserve">       </t>
  </si>
  <si>
    <t>Fresh= 30</t>
  </si>
  <si>
    <t>M.T.= 58</t>
  </si>
  <si>
    <t>sale=2800+2840(22 crack)</t>
  </si>
  <si>
    <t>838 trays</t>
  </si>
  <si>
    <t>29-01-2026</t>
  </si>
  <si>
    <t xml:space="preserve">                      -144 birds</t>
  </si>
  <si>
    <t>Fresh= 17</t>
  </si>
  <si>
    <t>M.T.= 60</t>
  </si>
  <si>
    <t>3000 trays</t>
  </si>
  <si>
    <t>30-01-2026</t>
  </si>
  <si>
    <t xml:space="preserve">                      -70 birds</t>
  </si>
  <si>
    <t xml:space="preserve">          - 60 birds</t>
  </si>
  <si>
    <t xml:space="preserve">     -214 birds</t>
  </si>
  <si>
    <t xml:space="preserve">       - 148 birds</t>
  </si>
  <si>
    <t>Fresh= 14</t>
  </si>
  <si>
    <t>M.T.= 203</t>
  </si>
  <si>
    <t>sale=3000+2089(20 crack )</t>
  </si>
  <si>
    <t>0 trays</t>
  </si>
  <si>
    <t>31-01-2026</t>
  </si>
  <si>
    <t xml:space="preserve">                      -82 birds</t>
  </si>
  <si>
    <t xml:space="preserve">          - 6 birds</t>
  </si>
  <si>
    <t xml:space="preserve">     +37 birds</t>
  </si>
  <si>
    <t>Fresh= 10</t>
  </si>
  <si>
    <t>M.T.= 208</t>
  </si>
  <si>
    <t>sale=1360</t>
  </si>
  <si>
    <t>708 trays</t>
  </si>
  <si>
    <t xml:space="preserve">                      -32 birds</t>
  </si>
  <si>
    <t xml:space="preserve">          - 12 birds</t>
  </si>
  <si>
    <t xml:space="preserve">     +7 birds</t>
  </si>
  <si>
    <t>Fresh= 0</t>
  </si>
  <si>
    <t>M.T.= 120</t>
  </si>
  <si>
    <t>sale=2791(31 crack)</t>
  </si>
  <si>
    <t>0 tray</t>
  </si>
  <si>
    <t xml:space="preserve">                    -32 birds</t>
  </si>
  <si>
    <t xml:space="preserve">                   </t>
  </si>
  <si>
    <t xml:space="preserve">        </t>
  </si>
  <si>
    <t>Fresh= 6</t>
  </si>
  <si>
    <t>M.T.= 87</t>
  </si>
  <si>
    <t>2121 trays</t>
  </si>
  <si>
    <t>Fresh= 3</t>
  </si>
  <si>
    <t>M.T.= 56</t>
  </si>
  <si>
    <t>sale=2500 (17crack)</t>
  </si>
  <si>
    <t>1735 trays</t>
  </si>
  <si>
    <t>M.T.= 32</t>
  </si>
  <si>
    <t>3861 trays</t>
  </si>
  <si>
    <t xml:space="preserve">                   -17 birds</t>
  </si>
  <si>
    <t xml:space="preserve">        -21 birds</t>
  </si>
  <si>
    <t>M.T.= 31</t>
  </si>
  <si>
    <t>sale=3800+2180(43 crack )</t>
  </si>
  <si>
    <t xml:space="preserve">                   -161 birds</t>
  </si>
  <si>
    <t>Fresh= 5</t>
  </si>
  <si>
    <t>M.T.= 41</t>
  </si>
  <si>
    <t>sale=100+300(6 crack )</t>
  </si>
  <si>
    <t>1775 trays</t>
  </si>
  <si>
    <t>sale=2000(10 crack)</t>
  </si>
  <si>
    <t>1939 trays</t>
  </si>
  <si>
    <t>sale=300+130 (9 crack )</t>
  </si>
  <si>
    <t>3684 trays</t>
  </si>
  <si>
    <t>M.T.= 12</t>
  </si>
  <si>
    <t>sale=2500(19crack)</t>
  </si>
  <si>
    <t>3299 trays</t>
  </si>
  <si>
    <t>Fresh= 19</t>
  </si>
  <si>
    <t>M.T.= 23</t>
  </si>
  <si>
    <t>sale=4200(14 crack)</t>
  </si>
  <si>
    <t>1223 trays</t>
  </si>
  <si>
    <t>M.T.= 13</t>
  </si>
  <si>
    <t>sale=100+3000(25 crack)</t>
  </si>
  <si>
    <t xml:space="preserve"> 248 trays</t>
  </si>
  <si>
    <t>Fresh= 25</t>
  </si>
  <si>
    <t>M.T.=29</t>
  </si>
  <si>
    <t>sale=1300 (1 crack )</t>
  </si>
  <si>
    <t xml:space="preserve"> 1090 trays</t>
  </si>
  <si>
    <t>13-02-2026</t>
  </si>
  <si>
    <t>Fresh= 12</t>
  </si>
  <si>
    <t>M.T.=14</t>
  </si>
  <si>
    <t>sale=100+3134(21 crack )</t>
  </si>
  <si>
    <t xml:space="preserve"> 1 tray</t>
  </si>
  <si>
    <t>14-02-2026</t>
  </si>
  <si>
    <t>M.T.=28</t>
  </si>
  <si>
    <t>sale=300 (6 crack )</t>
  </si>
  <si>
    <t xml:space="preserve"> 1839 tray</t>
  </si>
  <si>
    <t>15-02-2026</t>
  </si>
  <si>
    <t>Fresh= 15</t>
  </si>
  <si>
    <t>M.T.=13</t>
  </si>
  <si>
    <t xml:space="preserve"> 4005 trays</t>
  </si>
  <si>
    <t>16-02-2026</t>
  </si>
  <si>
    <t>Fresh= 13</t>
  </si>
  <si>
    <t>M.T.=26</t>
  </si>
  <si>
    <t>sale=2000 (14crack)</t>
  </si>
  <si>
    <t xml:space="preserve"> 4160 trays</t>
  </si>
  <si>
    <t>17-02-2026</t>
  </si>
  <si>
    <t>M.T.=16</t>
  </si>
  <si>
    <t>sale=300 (6crack)</t>
  </si>
  <si>
    <t xml:space="preserve"> 6001 trays</t>
  </si>
  <si>
    <t>19-02-2026</t>
  </si>
  <si>
    <t>M.T.=11</t>
  </si>
  <si>
    <t>sale=4980+1000(27 crack)</t>
  </si>
  <si>
    <t>stock= 4048 trays</t>
  </si>
  <si>
    <t>20-02-2026</t>
  </si>
  <si>
    <t>Fresh= 23</t>
  </si>
  <si>
    <t>M.T.=12</t>
  </si>
  <si>
    <t>sale=300+1500(13 crack)</t>
  </si>
  <si>
    <t>stock=  4299 trays</t>
  </si>
  <si>
    <t>21-02-2026</t>
  </si>
  <si>
    <t>Fresh= 16</t>
  </si>
  <si>
    <t>sale=300+100+2000+2000(47crack)</t>
  </si>
  <si>
    <t>stock=  1976 trays</t>
  </si>
  <si>
    <t>22-02-2026</t>
  </si>
  <si>
    <t>M.T.=7</t>
  </si>
  <si>
    <t>stock=  4076 trays</t>
  </si>
  <si>
    <t>23-02-2026</t>
  </si>
  <si>
    <t>sale=2500+1300+1800(33 crack)</t>
  </si>
  <si>
    <t>stock=  536 trays</t>
  </si>
  <si>
    <t>24-02-2026</t>
  </si>
  <si>
    <t>M.T.=37</t>
  </si>
  <si>
    <t>sale=1100(3crack)</t>
  </si>
  <si>
    <t>stock=  1523 trays</t>
  </si>
  <si>
    <t>25-02-2026</t>
  </si>
  <si>
    <t>sale=100 (2 crack)</t>
  </si>
  <si>
    <t>stock=  3514trays</t>
  </si>
  <si>
    <t>26-02-2026</t>
  </si>
  <si>
    <t>sale=3000+150+2000(47crack)</t>
  </si>
  <si>
    <t>stock= 337 trays</t>
  </si>
  <si>
    <t>27-02-2026</t>
  </si>
  <si>
    <t>Fresh= 11</t>
  </si>
  <si>
    <t>sale=2000 (12 crack )</t>
  </si>
  <si>
    <t>stock= 418trays</t>
  </si>
  <si>
    <t>28-02-2026</t>
  </si>
  <si>
    <t>sale=250 (5 crack )</t>
  </si>
  <si>
    <t>stock= 2010 trays</t>
  </si>
  <si>
    <t>13 pcs</t>
  </si>
  <si>
    <t>14 pcs</t>
  </si>
  <si>
    <t>sale=150+2500 (21 crack )</t>
  </si>
  <si>
    <t>stock= 918 trays</t>
  </si>
  <si>
    <t>5 pcs</t>
  </si>
  <si>
    <t>15 pcs</t>
  </si>
  <si>
    <t>Fresh= 8</t>
  </si>
  <si>
    <t>M.T.=10</t>
  </si>
  <si>
    <t>stock= 1968 trays</t>
  </si>
  <si>
    <t>1 pcs</t>
  </si>
  <si>
    <t>2 pcs</t>
  </si>
  <si>
    <t>Fresh= 18</t>
  </si>
  <si>
    <t>sale=1360 (1crack )</t>
  </si>
  <si>
    <t>stock= 1091 trays</t>
  </si>
  <si>
    <t>M.T.=</t>
  </si>
  <si>
    <t>stock= 1245 trays</t>
  </si>
  <si>
    <t>4 pcs</t>
  </si>
  <si>
    <t>Fresh= 8 pcs</t>
  </si>
  <si>
    <t>stock= 1299 trays</t>
  </si>
  <si>
    <t>Fresh= 2 pcs</t>
  </si>
  <si>
    <t>M.T.=22</t>
  </si>
  <si>
    <t>sale =1300 ( 2 crack )</t>
  </si>
  <si>
    <t>stock= 5 trays</t>
  </si>
  <si>
    <t xml:space="preserve">Fresh= </t>
  </si>
  <si>
    <t>M.T.=25</t>
  </si>
  <si>
    <t>M.T.=27</t>
  </si>
  <si>
    <t xml:space="preserve">                     - 5 birds </t>
  </si>
  <si>
    <t xml:space="preserve">                  - 65 birds</t>
  </si>
  <si>
    <t xml:space="preserve">                    - 48 birds</t>
  </si>
  <si>
    <t>M.T.=44</t>
  </si>
  <si>
    <t>stock= 1 trays</t>
  </si>
  <si>
    <t xml:space="preserve">                    </t>
  </si>
  <si>
    <t xml:space="preserve">                  - 6 birds</t>
  </si>
  <si>
    <t xml:space="preserve">            -46 bird                    </t>
  </si>
  <si>
    <t>M.T.=23</t>
  </si>
  <si>
    <t>13-03-2026</t>
  </si>
  <si>
    <t xml:space="preserve">                  - 10 birds</t>
  </si>
  <si>
    <t xml:space="preserve">            -20 bird                    </t>
  </si>
  <si>
    <t>M.T.=48</t>
  </si>
  <si>
    <t>14-03-2026</t>
  </si>
  <si>
    <t xml:space="preserve">               </t>
  </si>
  <si>
    <t xml:space="preserve">                          </t>
  </si>
  <si>
    <t>M.T.=45</t>
  </si>
  <si>
    <t>15-03-2026</t>
  </si>
  <si>
    <t xml:space="preserve">Birds transfer </t>
  </si>
  <si>
    <t xml:space="preserve">           - 3448 birds                          </t>
  </si>
  <si>
    <t xml:space="preserve">         +3448 birds</t>
  </si>
  <si>
    <t>16-03-2026</t>
  </si>
  <si>
    <t xml:space="preserve">             + 4418 birds                    </t>
  </si>
  <si>
    <t xml:space="preserve">           - 4418 birds                          </t>
  </si>
  <si>
    <t>17-03-2026</t>
  </si>
  <si>
    <t xml:space="preserve">                             </t>
  </si>
  <si>
    <t xml:space="preserve">               +3468 birds</t>
  </si>
  <si>
    <t xml:space="preserve">                  -3468 birds   </t>
  </si>
  <si>
    <t>18-03-2026</t>
  </si>
  <si>
    <t xml:space="preserve">         -11 birds </t>
  </si>
  <si>
    <t xml:space="preserve">               -16 birds</t>
  </si>
  <si>
    <t xml:space="preserve">                  - 25 birds</t>
  </si>
  <si>
    <t xml:space="preserve">        -15 birds</t>
  </si>
  <si>
    <t>M.T.=9</t>
  </si>
  <si>
    <t>stock= 4 trays</t>
  </si>
  <si>
    <t>19-03-2026</t>
  </si>
  <si>
    <t xml:space="preserve">              -5 birds </t>
  </si>
  <si>
    <t xml:space="preserve">                  </t>
  </si>
  <si>
    <t xml:space="preserve">        - 3 bird</t>
  </si>
  <si>
    <t>Fresh= 5 pcs</t>
  </si>
  <si>
    <t>M.T.=20</t>
  </si>
  <si>
    <t>stock= 26 trays</t>
  </si>
  <si>
    <t>20-03-2026</t>
  </si>
  <si>
    <t>01 pcs</t>
  </si>
  <si>
    <t>06 pcs</t>
  </si>
  <si>
    <t xml:space="preserve">        - 9 birds</t>
  </si>
  <si>
    <t>Fresh= 21  pcs</t>
  </si>
  <si>
    <t>stock= 91 trays</t>
  </si>
  <si>
    <t>21-03-2026</t>
  </si>
  <si>
    <t xml:space="preserve">Fresh=  </t>
  </si>
  <si>
    <t>stock= 224 trays</t>
  </si>
  <si>
    <t>22-03-2026</t>
  </si>
  <si>
    <t xml:space="preserve">Fresh= 30 </t>
  </si>
  <si>
    <t>M.T.=5</t>
  </si>
  <si>
    <t>stock= 447 trays</t>
  </si>
  <si>
    <t>23-03-2026</t>
  </si>
  <si>
    <t>6 pcs</t>
  </si>
  <si>
    <t>stock= 737 trays</t>
  </si>
  <si>
    <t>24-03-2026</t>
  </si>
  <si>
    <t>Fresh= 4 pcs</t>
  </si>
  <si>
    <t>stock= 1120 trays</t>
  </si>
  <si>
    <t>25-03-2026</t>
  </si>
  <si>
    <t>10 pcs</t>
  </si>
  <si>
    <t>18 pcs</t>
  </si>
  <si>
    <t>stock= 1628 trays</t>
  </si>
  <si>
    <t>26-03-2026</t>
  </si>
  <si>
    <t>11 pcs</t>
  </si>
  <si>
    <t>16 pcs</t>
  </si>
  <si>
    <t>Fresh= 34 pcs</t>
  </si>
  <si>
    <t>sale=1620 (4 crack )</t>
  </si>
  <si>
    <t>stock= 648 trays</t>
  </si>
  <si>
    <t>27-03-2026</t>
  </si>
  <si>
    <t>Fresh= 18 pcs</t>
  </si>
  <si>
    <t>stock= 1446 trays</t>
  </si>
  <si>
    <t>28-03-2026</t>
  </si>
  <si>
    <t>Fresh= 16 pcs</t>
  </si>
  <si>
    <t>sale=2400 (8 crack)</t>
  </si>
  <si>
    <t>stock= 0</t>
  </si>
  <si>
    <t>29-03-2026</t>
  </si>
  <si>
    <t>Fresh= 21 pcs</t>
  </si>
  <si>
    <t>M.T.=6</t>
  </si>
  <si>
    <t>stock= 1137</t>
  </si>
  <si>
    <t>30-03-2026</t>
  </si>
  <si>
    <t>stock= 2433</t>
  </si>
  <si>
    <t>31-03-2026</t>
  </si>
  <si>
    <t>M.T.=4</t>
  </si>
  <si>
    <t>sale=3500 (8 crack )</t>
  </si>
  <si>
    <t>stock= 356 trays</t>
  </si>
  <si>
    <t>stock= 1915 trays</t>
  </si>
  <si>
    <t>21 pcs</t>
  </si>
  <si>
    <t xml:space="preserve">           - 9 birds</t>
  </si>
  <si>
    <t>M.T.=0</t>
  </si>
  <si>
    <t>stock= 3571 trays</t>
  </si>
  <si>
    <t>sale=2500(9 crack)</t>
  </si>
  <si>
    <t>stock= 2603 trays</t>
  </si>
  <si>
    <t>stock= 4252 trays</t>
  </si>
  <si>
    <t>sale=3000 (27 crack)</t>
  </si>
  <si>
    <t>stock= 2973 trays</t>
  </si>
  <si>
    <t>stock= 4699 trays</t>
  </si>
  <si>
    <t>sale=2728(18 crk)+2500(30 crk)</t>
  </si>
  <si>
    <t>stock=  1162 trays</t>
  </si>
  <si>
    <t>Fresh= 0 pcs</t>
  </si>
  <si>
    <t>stock=  3003 trays</t>
  </si>
  <si>
    <t>M.T.=1</t>
  </si>
  <si>
    <t>sale=4410 (35 crack )</t>
  </si>
  <si>
    <t>stock=  374 trays</t>
  </si>
  <si>
    <t>Fresh= 3 pcs</t>
  </si>
  <si>
    <t>sale = 2281(11 crack)</t>
  </si>
  <si>
    <t>stock=15 trays</t>
  </si>
  <si>
    <t>stock=2025 trays</t>
  </si>
  <si>
    <t>Fresh= 1 pcs</t>
  </si>
  <si>
    <t>sale=60 (1 crack )</t>
  </si>
  <si>
    <t>stock=4032 trays</t>
  </si>
  <si>
    <t>13-04-2026</t>
  </si>
  <si>
    <t>stock=6143 trays</t>
  </si>
  <si>
    <t>14-04-2026</t>
  </si>
  <si>
    <t>stock=8266 trays</t>
  </si>
  <si>
    <t>15-04-2026</t>
  </si>
  <si>
    <t>sale=2000(2 crack )</t>
  </si>
  <si>
    <t>stock=8427 trays</t>
  </si>
  <si>
    <t>16-04-2026</t>
  </si>
  <si>
    <t>sale=60 ( 3crack)</t>
  </si>
  <si>
    <t>stock=10506 trays</t>
  </si>
  <si>
    <t>17-04-2026</t>
  </si>
  <si>
    <t>Fresh= 7 pcs</t>
  </si>
  <si>
    <t>sale=60(2 crk)+6000(50 crk)</t>
  </si>
  <si>
    <t>stock=6538 trays</t>
  </si>
  <si>
    <t>18-04-2026</t>
  </si>
  <si>
    <t>sale=3500(37)+640(7)+67jumbo(17)</t>
  </si>
  <si>
    <t>stock=4428 trays</t>
  </si>
  <si>
    <t>19-04-2026</t>
  </si>
  <si>
    <t>sale=2500(28)+3750(58)</t>
  </si>
  <si>
    <t>stock=236 trays</t>
  </si>
  <si>
    <t>20-04-2026</t>
  </si>
  <si>
    <t>Fresh= 14 pcs</t>
  </si>
  <si>
    <t>stock=2405 trays</t>
  </si>
  <si>
    <t>21-04-2026</t>
  </si>
  <si>
    <t>sale=3500(40 crk)+37 jumbo</t>
  </si>
  <si>
    <t>stock=997 trays</t>
  </si>
  <si>
    <t>22-04-2026</t>
  </si>
  <si>
    <t>sale=60 (1 crk )</t>
  </si>
  <si>
    <t>stock=3119 trays</t>
  </si>
  <si>
    <t>23-04-2026</t>
  </si>
  <si>
    <t>stock=5327 trays</t>
  </si>
  <si>
    <t>24-04-2026</t>
  </si>
  <si>
    <t>Fresh= 15 pcs</t>
  </si>
  <si>
    <t>sale=2500(27 crack)</t>
  </si>
  <si>
    <t>stock=4968 trays</t>
  </si>
  <si>
    <t>25-04-2026</t>
  </si>
  <si>
    <t>sale=3700(57crk)+3250(45 crk)</t>
  </si>
  <si>
    <t>stock=83 trays</t>
  </si>
  <si>
    <t>26-04-2026</t>
  </si>
  <si>
    <t>Fresh= 19 pcs</t>
  </si>
  <si>
    <t>sale=8 jumbo+1980(3 crk)</t>
  </si>
  <si>
    <t>stock=244 trays</t>
  </si>
  <si>
    <t>27-04-2026</t>
  </si>
  <si>
    <t>Fresh= 10 pcs</t>
  </si>
  <si>
    <t>stock=2430 trays</t>
  </si>
  <si>
    <t>28-04-2026</t>
  </si>
  <si>
    <t>sale=2600(24crk)+28jumbo+1820(7crk)</t>
  </si>
  <si>
    <t>stock=111 trays</t>
  </si>
  <si>
    <t>29-04-2026</t>
  </si>
  <si>
    <t>sale=81 jumbo(20 crk)+24 jumbo</t>
  </si>
  <si>
    <t>stock=2145 trays</t>
  </si>
  <si>
    <t>30-04-2026</t>
  </si>
  <si>
    <t>stock=4307 trays</t>
  </si>
  <si>
    <t>Fresh= 11 pcs</t>
  </si>
  <si>
    <t>sale=2400(18crk)+39 jumbo</t>
  </si>
  <si>
    <t>stock=4019 trays</t>
  </si>
  <si>
    <t>Fresh= 09pcs</t>
  </si>
  <si>
    <t>sale=1585(13 crk)+17 jumbo</t>
  </si>
  <si>
    <t>stock=4592 trays</t>
  </si>
  <si>
    <t>sale=2500(20 crk)+600(4crk)</t>
  </si>
  <si>
    <t>stock=3652 trays</t>
  </si>
  <si>
    <t>sale=39 jumbo+1800(9crk)</t>
  </si>
  <si>
    <t>stock=3988 trays</t>
  </si>
  <si>
    <t>Fresh= 12pcs</t>
  </si>
  <si>
    <t>stock=6141 trays</t>
  </si>
  <si>
    <t>sale=700(8crk)+4410(36)</t>
  </si>
  <si>
    <t>stock=3115 trays</t>
  </si>
  <si>
    <t>Fresh= 09 pcs</t>
  </si>
  <si>
    <t>sale=43 jumbo</t>
  </si>
  <si>
    <t>stock=5195 trays</t>
  </si>
  <si>
    <t>sale=4410(41crk)+1480(5crk)+1280(5crk)</t>
  </si>
  <si>
    <t>stock=82 trays</t>
  </si>
  <si>
    <t>Fresh= 12 pcs</t>
  </si>
  <si>
    <t>sale=2180(17 crack)</t>
  </si>
  <si>
    <t>stock=6 trays</t>
  </si>
  <si>
    <t>Fresh= 17 pcs</t>
  </si>
  <si>
    <t>sale=150(4 crack)</t>
  </si>
  <si>
    <t>stock=1982 trays</t>
  </si>
  <si>
    <t>sale=3800(26 crk)</t>
  </si>
  <si>
    <t>stock=299 trays</t>
  </si>
  <si>
    <t>sale=2360(19 crk)</t>
  </si>
  <si>
    <t>stock=28 trays</t>
  </si>
  <si>
    <t>13-05-2026</t>
  </si>
  <si>
    <t>stock=2143 trays</t>
  </si>
  <si>
    <t>14-05-2026</t>
  </si>
  <si>
    <t>sale=4137(34 crack)</t>
  </si>
  <si>
    <t>stock=56 trays</t>
  </si>
  <si>
    <t>15-05-2026</t>
  </si>
  <si>
    <t>Fresh= 6 pcs</t>
  </si>
  <si>
    <t>sale=2100(23 crk)</t>
  </si>
  <si>
    <t>stock=8 trays</t>
  </si>
  <si>
    <t>16-05-2026</t>
  </si>
  <si>
    <t>stock=2067 trays</t>
  </si>
  <si>
    <t>17-05-2026</t>
  </si>
  <si>
    <t>sale=4050(41 crack)</t>
  </si>
  <si>
    <t>stock=66 trays</t>
  </si>
  <si>
    <t>18-05-2026</t>
  </si>
  <si>
    <t>stock=2210 trays</t>
  </si>
  <si>
    <t>19-05-2026</t>
  </si>
  <si>
    <t>sale=4250(48 crk)</t>
  </si>
  <si>
    <t>stock=65 trays</t>
  </si>
  <si>
    <t>20-05-2026</t>
  </si>
  <si>
    <t>sale=2000(17 crack )</t>
  </si>
  <si>
    <t>stock=187 trays</t>
  </si>
  <si>
    <t>21-05-2026</t>
  </si>
  <si>
    <t>stock=2330 trays</t>
  </si>
  <si>
    <t>22-05-2026</t>
  </si>
  <si>
    <t>sale=3410 (35 crk)</t>
  </si>
  <si>
    <t>stock=988 trays</t>
  </si>
  <si>
    <t>23-05-2026</t>
  </si>
  <si>
    <t>stock=3088 trays</t>
  </si>
  <si>
    <t>24-05-2026</t>
  </si>
  <si>
    <t>stock=5145 trays</t>
  </si>
  <si>
    <t>25-05-2026</t>
  </si>
  <si>
    <t xml:space="preserve">                  .</t>
  </si>
  <si>
    <t>sale=4410(55 crk)+1500(17crk)</t>
  </si>
  <si>
    <t>stock=1232 trays</t>
  </si>
  <si>
    <t>26-05-2026</t>
  </si>
  <si>
    <t>Fresh= 7</t>
  </si>
  <si>
    <t>stock=3256 trays</t>
  </si>
  <si>
    <t>27-05-2026</t>
  </si>
  <si>
    <t>sale=3410 (46 crack)</t>
  </si>
  <si>
    <t>stock=1897 trays</t>
  </si>
  <si>
    <t>28-05-2026</t>
  </si>
  <si>
    <t>sale=40 jumbo(1crk)</t>
  </si>
  <si>
    <t>stock=3979 trays</t>
  </si>
  <si>
    <t>29-05-2026</t>
  </si>
  <si>
    <t>sale=1500(15 crack)</t>
  </si>
  <si>
    <t>stock=4573 trays</t>
  </si>
  <si>
    <t>30-05-2026</t>
  </si>
  <si>
    <t>Fresh=16</t>
  </si>
  <si>
    <t>sale=4410(45 crack)+27+5</t>
  </si>
  <si>
    <t>stock=2151 trays</t>
  </si>
  <si>
    <t>31-05-2026</t>
  </si>
  <si>
    <t>stock=4266 trays</t>
  </si>
  <si>
    <t>sale=1700(16 crack)+6 jumbo</t>
  </si>
  <si>
    <t>stock=4633 trays</t>
  </si>
  <si>
    <t>sale=4410(51 crack )</t>
  </si>
  <si>
    <t>stock=2251 trays</t>
  </si>
  <si>
    <t>Fresh=6</t>
  </si>
  <si>
    <t>stock=4345 trays</t>
  </si>
  <si>
    <t>Fresh=1</t>
  </si>
  <si>
    <t>sale=4410(61crack)</t>
  </si>
  <si>
    <t>stock=1971 trays</t>
  </si>
  <si>
    <t>Fresh=5</t>
  </si>
  <si>
    <t>sale=2500(25crack)</t>
  </si>
  <si>
    <t>stock=1528 trays</t>
  </si>
  <si>
    <t>Trays</t>
  </si>
  <si>
    <t>Eggs</t>
  </si>
  <si>
    <t>Rate per Piece</t>
  </si>
  <si>
    <t>Total Amount</t>
  </si>
  <si>
    <t>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</si>
</sst>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m/d/yyyy"/>
    <numFmt numFmtId="166" formatCode="m-d-yyyy"/>
    <numFmt numFmtId="167" formatCode="mm/dd/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b/>
      <color theme="1"/>
      <name val="Arial"/>
    </font>
    <font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3" fontId="3" numFmtId="0" xfId="0" applyAlignment="1" applyFill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0" fontId="5" numFmtId="0" xfId="0" applyFont="1"/>
    <xf borderId="0" fillId="5" fontId="2" numFmtId="0" xfId="0" applyAlignment="1" applyFill="1" applyFont="1">
      <alignment horizontal="right" readingOrder="0"/>
    </xf>
    <xf borderId="0" fillId="4" fontId="3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6" fontId="2" numFmtId="0" xfId="0" applyAlignment="1" applyFill="1" applyFont="1">
      <alignment horizontal="right"/>
    </xf>
    <xf borderId="0" fillId="0" fontId="3" numFmtId="0" xfId="0" applyAlignment="1" applyFont="1">
      <alignment horizontal="right"/>
    </xf>
    <xf borderId="0" fillId="0" fontId="6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3" fontId="3" numFmtId="0" xfId="0" applyAlignment="1" applyFont="1">
      <alignment horizontal="right"/>
    </xf>
    <xf borderId="0" fillId="0" fontId="7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4" fontId="8" numFmtId="0" xfId="0" applyAlignment="1" applyFont="1">
      <alignment horizontal="center" readingOrder="0" vertical="bottom"/>
    </xf>
    <xf borderId="0" fillId="5" fontId="7" numFmtId="0" xfId="0" applyAlignment="1" applyFont="1">
      <alignment horizontal="right" vertical="bottom"/>
    </xf>
    <xf borderId="0" fillId="4" fontId="8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4" fontId="8" numFmtId="0" xfId="0" applyAlignment="1" applyFont="1">
      <alignment horizontal="right" readingOrder="0" vertical="bottom"/>
    </xf>
    <xf borderId="0" fillId="6" fontId="7" numFmtId="0" xfId="0" applyAlignment="1" applyFont="1">
      <alignment horizontal="right" vertical="bottom"/>
    </xf>
    <xf borderId="0" fillId="0" fontId="8" numFmtId="0" xfId="0" applyAlignment="1" applyFont="1">
      <alignment horizontal="right" readingOrder="0" vertical="bottom"/>
    </xf>
    <xf borderId="0" fillId="0" fontId="2" numFmtId="0" xfId="0" applyAlignment="1" applyFont="1">
      <alignment horizontal="left"/>
    </xf>
    <xf borderId="0" fillId="4" fontId="8" numFmtId="164" xfId="0" applyAlignment="1" applyFont="1" applyNumberFormat="1">
      <alignment horizontal="center" readingOrder="0" vertical="bottom"/>
    </xf>
    <xf borderId="0" fillId="3" fontId="8" numFmtId="0" xfId="0" applyAlignment="1" applyFont="1">
      <alignment horizontal="right" readingOrder="0" vertical="bottom"/>
    </xf>
    <xf borderId="0" fillId="3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3" fontId="2" numFmtId="0" xfId="0" applyFont="1"/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0" fontId="2" numFmtId="165" xfId="0" applyAlignment="1" applyFont="1" applyNumberFormat="1">
      <alignment horizontal="right" readingOrder="0"/>
    </xf>
    <xf borderId="1" fillId="0" fontId="1" numFmtId="0" xfId="0" applyAlignment="1" applyBorder="1" applyFont="1">
      <alignment horizontal="left" readingOrder="0"/>
    </xf>
    <xf borderId="0" fillId="3" fontId="6" numFmtId="0" xfId="0" applyAlignment="1" applyFont="1">
      <alignment horizontal="right" readingOrder="0"/>
    </xf>
    <xf borderId="0" fillId="0" fontId="7" numFmtId="0" xfId="0" applyAlignment="1" applyFont="1">
      <alignment horizontal="right" readingOrder="0" vertical="bottom"/>
    </xf>
    <xf borderId="0" fillId="0" fontId="9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0" fillId="3" fontId="7" numFmtId="0" xfId="0" applyAlignment="1" applyFont="1">
      <alignment horizontal="right" vertical="bottom"/>
    </xf>
    <xf borderId="0" fillId="3" fontId="7" numFmtId="0" xfId="0" applyAlignment="1" applyFont="1">
      <alignment readingOrder="0" vertical="bottom"/>
    </xf>
    <xf borderId="0" fillId="4" fontId="4" numFmtId="164" xfId="0" applyAlignment="1" applyFont="1" applyNumberFormat="1">
      <alignment horizontal="center" readingOrder="0"/>
    </xf>
    <xf borderId="0" fillId="4" fontId="8" numFmtId="166" xfId="0" applyAlignment="1" applyFont="1" applyNumberFormat="1">
      <alignment horizontal="center" readingOrder="0" vertical="bottom"/>
    </xf>
    <xf borderId="0" fillId="0" fontId="2" numFmtId="0" xfId="0" applyFont="1"/>
    <xf borderId="0" fillId="3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4" fontId="8" numFmtId="0" xfId="0" applyAlignment="1" applyFont="1">
      <alignment horizontal="right" vertical="bottom"/>
    </xf>
    <xf borderId="0" fillId="5" fontId="7" numFmtId="0" xfId="0" applyAlignment="1" applyFont="1">
      <alignment horizontal="right" readingOrder="0" vertical="bottom"/>
    </xf>
    <xf borderId="0" fillId="7" fontId="4" numFmtId="0" xfId="0" applyAlignment="1" applyFill="1" applyFont="1">
      <alignment horizontal="center"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F1" s="1" t="s">
        <v>1</v>
      </c>
      <c r="K1" s="1" t="s">
        <v>2</v>
      </c>
      <c r="P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4</v>
      </c>
      <c r="L2" s="2" t="s">
        <v>5</v>
      </c>
      <c r="M2" s="2" t="s">
        <v>6</v>
      </c>
      <c r="N2" s="2" t="s">
        <v>7</v>
      </c>
      <c r="P2" s="2" t="s">
        <v>4</v>
      </c>
      <c r="Q2" s="2" t="s">
        <v>5</v>
      </c>
      <c r="R2" s="2" t="s">
        <v>6</v>
      </c>
      <c r="S2" s="2" t="s">
        <v>7</v>
      </c>
    </row>
    <row r="3">
      <c r="A3" s="3">
        <v>5940.0</v>
      </c>
      <c r="B3" s="3">
        <v>6740.0</v>
      </c>
      <c r="C3" s="3">
        <v>6220.0</v>
      </c>
      <c r="D3" s="3">
        <v>5900.0</v>
      </c>
      <c r="F3" s="3">
        <v>5940.0</v>
      </c>
      <c r="G3" s="3">
        <v>6740.0</v>
      </c>
      <c r="H3" s="3">
        <v>0.0</v>
      </c>
      <c r="I3" s="3">
        <v>5900.0</v>
      </c>
      <c r="K3" s="3">
        <v>6010.0</v>
      </c>
      <c r="L3" s="3">
        <v>6520.0</v>
      </c>
      <c r="M3" s="3">
        <v>6100.0</v>
      </c>
      <c r="N3" s="3">
        <v>6270.0</v>
      </c>
      <c r="P3" s="3">
        <v>6020.0</v>
      </c>
      <c r="Q3" s="3">
        <v>6170.0</v>
      </c>
      <c r="R3" s="3">
        <v>6070.0</v>
      </c>
      <c r="S3" s="3">
        <v>6200.0</v>
      </c>
    </row>
    <row r="4">
      <c r="A4" s="3">
        <v>6100.0</v>
      </c>
      <c r="B4" s="3">
        <v>6540.0</v>
      </c>
      <c r="C4" s="3">
        <v>5800.0</v>
      </c>
      <c r="D4" s="3">
        <v>6150.0</v>
      </c>
      <c r="F4" s="3">
        <v>6100.0</v>
      </c>
      <c r="G4" s="3">
        <v>6540.0</v>
      </c>
      <c r="H4" s="3">
        <v>5800.0</v>
      </c>
      <c r="I4" s="3">
        <v>6680.0</v>
      </c>
      <c r="K4" s="3">
        <v>6240.0</v>
      </c>
      <c r="L4" s="3">
        <v>6750.0</v>
      </c>
      <c r="M4" s="3">
        <v>5650.0</v>
      </c>
      <c r="N4" s="3">
        <v>6350.0</v>
      </c>
      <c r="P4" s="3">
        <v>6230.0</v>
      </c>
      <c r="Q4" s="3">
        <v>6050.0</v>
      </c>
      <c r="R4" s="3">
        <v>5680.0</v>
      </c>
      <c r="S4" s="3">
        <v>6510.0</v>
      </c>
    </row>
    <row r="5">
      <c r="A5" s="3">
        <v>5780.0</v>
      </c>
      <c r="B5" s="3">
        <v>6460.0</v>
      </c>
      <c r="C5" s="3">
        <v>6400.0</v>
      </c>
      <c r="D5" s="3">
        <v>6700.0</v>
      </c>
      <c r="F5" s="3">
        <v>5780.0</v>
      </c>
      <c r="G5" s="3">
        <v>6460.0</v>
      </c>
      <c r="H5" s="3">
        <v>6400.0</v>
      </c>
      <c r="I5" s="3">
        <v>5900.0</v>
      </c>
      <c r="K5" s="3">
        <v>5950.0</v>
      </c>
      <c r="L5" s="3">
        <v>6620.0</v>
      </c>
      <c r="M5" s="3">
        <v>5770.0</v>
      </c>
      <c r="N5" s="3">
        <v>6340.0</v>
      </c>
      <c r="P5" s="3">
        <v>5960.0</v>
      </c>
      <c r="Q5" s="3">
        <v>6540.0</v>
      </c>
      <c r="R5" s="3">
        <v>6340.0</v>
      </c>
      <c r="S5" s="3">
        <v>6180.0</v>
      </c>
    </row>
    <row r="6">
      <c r="A6" s="3">
        <v>5920.0</v>
      </c>
      <c r="B6" s="3">
        <v>6540.0</v>
      </c>
      <c r="C6" s="3">
        <v>6650.0</v>
      </c>
      <c r="D6" s="3">
        <v>6400.0</v>
      </c>
      <c r="F6" s="3">
        <v>5920.0</v>
      </c>
      <c r="G6" s="3">
        <v>6540.0</v>
      </c>
      <c r="H6" s="3">
        <v>6650.0</v>
      </c>
      <c r="I6" s="3">
        <v>6210.0</v>
      </c>
      <c r="K6" s="3">
        <v>6960.0</v>
      </c>
      <c r="L6" s="3">
        <v>6450.0</v>
      </c>
      <c r="M6" s="3">
        <v>6550.0</v>
      </c>
      <c r="N6" s="3">
        <v>6400.0</v>
      </c>
      <c r="P6" s="3">
        <v>6850.0</v>
      </c>
      <c r="Q6" s="3">
        <v>6260.0</v>
      </c>
      <c r="R6" s="3">
        <v>5780.0</v>
      </c>
      <c r="S6" s="3">
        <v>6070.0</v>
      </c>
    </row>
    <row r="7">
      <c r="A7" s="3">
        <v>5870.0</v>
      </c>
      <c r="B7" s="3">
        <v>6320.0</v>
      </c>
      <c r="C7" s="3">
        <v>6580.0</v>
      </c>
      <c r="D7" s="3">
        <v>5850.0</v>
      </c>
      <c r="F7" s="3">
        <v>5870.0</v>
      </c>
      <c r="G7" s="3">
        <v>6320.0</v>
      </c>
      <c r="H7" s="3">
        <v>6580.0</v>
      </c>
      <c r="I7" s="3">
        <v>5900.0</v>
      </c>
      <c r="K7" s="3">
        <v>5870.0</v>
      </c>
      <c r="L7" s="3">
        <v>6520.0</v>
      </c>
      <c r="M7" s="3">
        <v>6150.0</v>
      </c>
      <c r="N7" s="3">
        <v>6210.0</v>
      </c>
      <c r="P7" s="3">
        <v>6030.0</v>
      </c>
      <c r="Q7" s="3">
        <v>5730.0</v>
      </c>
      <c r="R7" s="3">
        <v>6280.0</v>
      </c>
      <c r="S7" s="3">
        <v>6240.0</v>
      </c>
    </row>
    <row r="8">
      <c r="A8" s="3">
        <v>6320.0</v>
      </c>
      <c r="B8" s="3">
        <v>6530.0</v>
      </c>
      <c r="C8" s="3">
        <v>5750.0</v>
      </c>
      <c r="D8" s="3">
        <v>5520.0</v>
      </c>
      <c r="F8" s="3">
        <v>6320.0</v>
      </c>
      <c r="G8" s="3">
        <v>6530.0</v>
      </c>
      <c r="H8" s="3">
        <v>5750.0</v>
      </c>
      <c r="I8" s="3">
        <v>6060.0</v>
      </c>
      <c r="K8" s="3">
        <v>6630.0</v>
      </c>
      <c r="L8" s="3">
        <v>6350.0</v>
      </c>
      <c r="M8" s="3">
        <v>6410.0</v>
      </c>
      <c r="N8" s="3">
        <v>5960.0</v>
      </c>
      <c r="P8" s="3">
        <v>5970.0</v>
      </c>
      <c r="Q8" s="3">
        <v>6250.0</v>
      </c>
      <c r="R8" s="3">
        <v>6120.0</v>
      </c>
      <c r="S8" s="3">
        <v>5970.0</v>
      </c>
    </row>
    <row r="9">
      <c r="A9" s="3">
        <v>5650.0</v>
      </c>
      <c r="B9" s="3">
        <v>6430.0</v>
      </c>
      <c r="C9" s="3">
        <v>6280.0</v>
      </c>
      <c r="D9" s="3">
        <v>5370.0</v>
      </c>
      <c r="F9" s="3">
        <v>5650.0</v>
      </c>
      <c r="G9" s="3">
        <v>6430.0</v>
      </c>
      <c r="H9" s="3">
        <v>6280.0</v>
      </c>
      <c r="I9" s="3">
        <v>5100.0</v>
      </c>
      <c r="K9" s="3">
        <v>6210.0</v>
      </c>
      <c r="L9" s="3">
        <v>6820.0</v>
      </c>
      <c r="M9" s="3">
        <v>6370.0</v>
      </c>
      <c r="N9" s="3">
        <v>6140.0</v>
      </c>
      <c r="P9" s="3">
        <v>6520.0</v>
      </c>
      <c r="Q9" s="3">
        <v>6050.0</v>
      </c>
      <c r="R9" s="3">
        <v>6190.0</v>
      </c>
      <c r="S9" s="3">
        <v>5650.0</v>
      </c>
    </row>
    <row r="10">
      <c r="A10" s="3">
        <v>6020.0</v>
      </c>
      <c r="B10" s="3">
        <v>6220.0</v>
      </c>
      <c r="C10" s="3">
        <v>6900.0</v>
      </c>
      <c r="D10" s="3">
        <v>5900.0</v>
      </c>
      <c r="F10" s="3">
        <v>6020.0</v>
      </c>
      <c r="G10" s="3">
        <v>6220.0</v>
      </c>
      <c r="H10" s="3">
        <v>6900.0</v>
      </c>
      <c r="I10" s="3">
        <v>6550.0</v>
      </c>
      <c r="K10" s="3">
        <v>6010.0</v>
      </c>
      <c r="L10" s="3">
        <v>6450.0</v>
      </c>
      <c r="M10" s="3">
        <v>6250.0</v>
      </c>
      <c r="N10" s="3">
        <v>6270.0</v>
      </c>
      <c r="P10" s="3">
        <v>6230.0</v>
      </c>
      <c r="Q10" s="3">
        <v>6280.0</v>
      </c>
      <c r="R10" s="3">
        <v>6220.0</v>
      </c>
      <c r="S10" s="3">
        <v>6280.0</v>
      </c>
    </row>
    <row r="11">
      <c r="A11" s="3">
        <v>6080.0</v>
      </c>
      <c r="B11" s="3">
        <v>6440.0</v>
      </c>
      <c r="C11" s="3">
        <v>5850.0</v>
      </c>
      <c r="D11" s="3">
        <v>6100.0</v>
      </c>
      <c r="F11" s="3">
        <v>6080.0</v>
      </c>
      <c r="G11" s="3">
        <v>6440.0</v>
      </c>
      <c r="H11" s="3">
        <v>5850.0</v>
      </c>
      <c r="I11" s="3">
        <v>5740.0</v>
      </c>
      <c r="K11" s="3">
        <v>6060.0</v>
      </c>
      <c r="L11" s="3">
        <v>6590.0</v>
      </c>
      <c r="M11" s="3">
        <v>6500.0</v>
      </c>
      <c r="N11" s="3">
        <v>5980.0</v>
      </c>
      <c r="P11" s="3">
        <v>5970.0</v>
      </c>
      <c r="Q11" s="3">
        <v>6340.0</v>
      </c>
      <c r="R11" s="3">
        <v>6570.0</v>
      </c>
      <c r="S11" s="3">
        <v>7090.0</v>
      </c>
    </row>
    <row r="12">
      <c r="A12" s="3">
        <v>6270.0</v>
      </c>
      <c r="B12" s="3">
        <v>6720.0</v>
      </c>
      <c r="C12" s="3">
        <v>6370.0</v>
      </c>
      <c r="D12" s="3">
        <v>5630.0</v>
      </c>
      <c r="F12" s="3">
        <v>6270.0</v>
      </c>
      <c r="G12" s="3">
        <v>6720.0</v>
      </c>
      <c r="H12" s="3">
        <v>6370.0</v>
      </c>
      <c r="I12" s="3">
        <v>6440.0</v>
      </c>
      <c r="K12" s="3">
        <v>6240.0</v>
      </c>
      <c r="L12" s="3">
        <v>6520.0</v>
      </c>
      <c r="M12" s="3">
        <v>6370.0</v>
      </c>
      <c r="N12" s="3">
        <v>5690.0</v>
      </c>
      <c r="P12" s="3">
        <v>6050.0</v>
      </c>
      <c r="Q12" s="3">
        <v>6290.0</v>
      </c>
      <c r="R12" s="3">
        <v>5990.0</v>
      </c>
      <c r="S12" s="3">
        <v>6150.0</v>
      </c>
    </row>
    <row r="13">
      <c r="A13" s="3">
        <v>6360.0</v>
      </c>
      <c r="B13" s="3">
        <v>6540.0</v>
      </c>
      <c r="C13" s="3">
        <v>6750.0</v>
      </c>
      <c r="D13" s="3">
        <v>6370.0</v>
      </c>
      <c r="F13" s="3">
        <v>6360.0</v>
      </c>
      <c r="G13" s="3">
        <v>6540.0</v>
      </c>
      <c r="H13" s="3">
        <v>6750.0</v>
      </c>
      <c r="I13" s="3">
        <v>6750.0</v>
      </c>
      <c r="K13" s="3">
        <v>5980.0</v>
      </c>
      <c r="L13" s="3">
        <v>6450.0</v>
      </c>
      <c r="M13" s="3">
        <v>5510.0</v>
      </c>
      <c r="N13" s="3">
        <v>6740.0</v>
      </c>
      <c r="P13" s="3">
        <v>6250.0</v>
      </c>
      <c r="Q13" s="3">
        <v>6030.0</v>
      </c>
      <c r="R13" s="3">
        <v>5850.0</v>
      </c>
      <c r="S13" s="3">
        <v>6130.0</v>
      </c>
    </row>
    <row r="14">
      <c r="A14" s="3">
        <v>5950.0</v>
      </c>
      <c r="B14" s="3">
        <v>6420.0</v>
      </c>
      <c r="C14" s="3">
        <v>6250.0</v>
      </c>
      <c r="D14" s="3">
        <v>5480.0</v>
      </c>
      <c r="F14" s="3">
        <v>5950.0</v>
      </c>
      <c r="G14" s="3">
        <v>6420.0</v>
      </c>
      <c r="H14" s="3">
        <v>6250.0</v>
      </c>
      <c r="I14" s="3">
        <v>5820.0</v>
      </c>
      <c r="K14" s="3">
        <v>6310.0</v>
      </c>
      <c r="L14" s="3">
        <v>6350.0</v>
      </c>
      <c r="M14" s="3">
        <v>6090.0</v>
      </c>
      <c r="N14" s="3">
        <v>6810.0</v>
      </c>
      <c r="P14" s="3">
        <v>5970.0</v>
      </c>
      <c r="Q14" s="3">
        <v>6290.0</v>
      </c>
      <c r="R14" s="3">
        <v>5940.0</v>
      </c>
      <c r="S14" s="3">
        <v>6010.0</v>
      </c>
    </row>
    <row r="15">
      <c r="A15" s="3">
        <v>6230.0</v>
      </c>
      <c r="B15" s="3">
        <v>6320.0</v>
      </c>
      <c r="C15" s="3">
        <v>6480.0</v>
      </c>
      <c r="D15" s="3">
        <v>5760.0</v>
      </c>
      <c r="F15" s="3">
        <v>6230.0</v>
      </c>
      <c r="G15" s="3">
        <v>6320.0</v>
      </c>
      <c r="H15" s="3">
        <v>6480.0</v>
      </c>
      <c r="I15" s="3">
        <v>5400.0</v>
      </c>
      <c r="K15" s="3">
        <v>6010.0</v>
      </c>
      <c r="L15" s="3">
        <v>6450.0</v>
      </c>
      <c r="M15" s="3">
        <v>6260.0</v>
      </c>
      <c r="N15" s="3">
        <v>6130.0</v>
      </c>
      <c r="P15" s="3">
        <v>6220.0</v>
      </c>
      <c r="Q15" s="3">
        <v>6310.0</v>
      </c>
      <c r="R15" s="3">
        <v>5770.0</v>
      </c>
      <c r="S15" s="3">
        <v>6290.0</v>
      </c>
    </row>
    <row r="16">
      <c r="A16" s="3">
        <v>5890.0</v>
      </c>
      <c r="B16" s="3">
        <v>6240.0</v>
      </c>
      <c r="C16" s="3">
        <v>6730.0</v>
      </c>
      <c r="D16" s="3">
        <v>6680.0</v>
      </c>
      <c r="F16" s="3">
        <v>5890.0</v>
      </c>
      <c r="G16" s="3">
        <v>6240.0</v>
      </c>
      <c r="H16" s="3">
        <v>6730.0</v>
      </c>
      <c r="I16" s="3">
        <v>5820.0</v>
      </c>
      <c r="K16" s="3">
        <v>5890.0</v>
      </c>
      <c r="L16" s="3">
        <v>6520.0</v>
      </c>
      <c r="M16" s="3">
        <v>5970.0</v>
      </c>
      <c r="N16" s="3">
        <v>5750.0</v>
      </c>
      <c r="P16" s="3">
        <v>5950.0</v>
      </c>
      <c r="Q16" s="3">
        <v>6630.0</v>
      </c>
      <c r="R16" s="3">
        <v>6220.0</v>
      </c>
      <c r="S16" s="3">
        <v>5740.0</v>
      </c>
    </row>
    <row r="17">
      <c r="A17" s="3">
        <v>5930.0</v>
      </c>
      <c r="B17" s="3">
        <v>6660.0</v>
      </c>
      <c r="C17" s="3">
        <v>6550.0</v>
      </c>
      <c r="D17" s="3">
        <v>6300.0</v>
      </c>
      <c r="F17" s="3">
        <v>5930.0</v>
      </c>
      <c r="G17" s="3">
        <v>6660.0</v>
      </c>
      <c r="H17" s="3">
        <v>6550.0</v>
      </c>
      <c r="I17" s="3">
        <v>6030.0</v>
      </c>
      <c r="K17" s="3">
        <v>6210.0</v>
      </c>
      <c r="L17" s="3">
        <v>6350.0</v>
      </c>
      <c r="M17" s="3">
        <v>6310.0</v>
      </c>
      <c r="N17" s="3">
        <v>6200.0</v>
      </c>
      <c r="P17" s="3">
        <v>6240.0</v>
      </c>
      <c r="Q17" s="3">
        <v>6070.0</v>
      </c>
      <c r="R17" s="3">
        <v>6000.0</v>
      </c>
      <c r="S17" s="3">
        <v>6180.0</v>
      </c>
    </row>
    <row r="18">
      <c r="A18" s="4">
        <f t="shared" ref="A18:D18" si="1">round((SUM(A3:A17)/60),2)</f>
        <v>1505.17</v>
      </c>
      <c r="B18" s="4">
        <f t="shared" si="1"/>
        <v>1618.67</v>
      </c>
      <c r="C18" s="4">
        <f t="shared" si="1"/>
        <v>1592.67</v>
      </c>
      <c r="D18" s="4">
        <f t="shared" si="1"/>
        <v>1501.83</v>
      </c>
      <c r="F18" s="4">
        <f t="shared" ref="F18:I18" si="2">round((SUM(F3:F17)/60),2)</f>
        <v>1505.17</v>
      </c>
      <c r="G18" s="4">
        <f t="shared" si="2"/>
        <v>1618.67</v>
      </c>
      <c r="H18" s="4">
        <f t="shared" si="2"/>
        <v>1489</v>
      </c>
      <c r="I18" s="4">
        <f t="shared" si="2"/>
        <v>1505</v>
      </c>
      <c r="K18" s="4">
        <f t="shared" ref="K18:N18" si="3">round((SUM(K3:K17)/60),2)</f>
        <v>1543</v>
      </c>
      <c r="L18" s="4">
        <f t="shared" si="3"/>
        <v>1628.5</v>
      </c>
      <c r="M18" s="4">
        <f t="shared" si="3"/>
        <v>1537.67</v>
      </c>
      <c r="N18" s="4">
        <f t="shared" si="3"/>
        <v>1554</v>
      </c>
      <c r="P18" s="4">
        <f t="shared" ref="P18:S18" si="4">round((SUM(P3:P17)/60),2)</f>
        <v>1541</v>
      </c>
      <c r="Q18" s="4">
        <f t="shared" si="4"/>
        <v>1554.83</v>
      </c>
      <c r="R18" s="4">
        <f t="shared" si="4"/>
        <v>1517</v>
      </c>
      <c r="S18" s="4">
        <f t="shared" si="4"/>
        <v>1544.83</v>
      </c>
    </row>
    <row r="21">
      <c r="A21" s="1" t="s">
        <v>8</v>
      </c>
      <c r="F21" s="1" t="s">
        <v>9</v>
      </c>
      <c r="K21" s="1" t="s">
        <v>10</v>
      </c>
      <c r="P21" s="1" t="s">
        <v>11</v>
      </c>
    </row>
    <row r="22">
      <c r="A22" s="2" t="s">
        <v>4</v>
      </c>
      <c r="B22" s="2" t="s">
        <v>5</v>
      </c>
      <c r="C22" s="2" t="s">
        <v>6</v>
      </c>
      <c r="D22" s="2" t="s">
        <v>7</v>
      </c>
      <c r="F22" s="2" t="s">
        <v>4</v>
      </c>
      <c r="G22" s="2" t="s">
        <v>5</v>
      </c>
      <c r="H22" s="2" t="s">
        <v>6</v>
      </c>
      <c r="I22" s="2" t="s">
        <v>7</v>
      </c>
      <c r="K22" s="2" t="s">
        <v>4</v>
      </c>
      <c r="L22" s="2" t="s">
        <v>5</v>
      </c>
      <c r="M22" s="2" t="s">
        <v>6</v>
      </c>
      <c r="N22" s="2" t="s">
        <v>7</v>
      </c>
      <c r="P22" s="2" t="s">
        <v>4</v>
      </c>
      <c r="Q22" s="2" t="s">
        <v>5</v>
      </c>
      <c r="R22" s="2" t="s">
        <v>6</v>
      </c>
      <c r="S22" s="2" t="s">
        <v>7</v>
      </c>
    </row>
    <row r="23">
      <c r="A23" s="3">
        <v>6010.0</v>
      </c>
      <c r="B23" s="3">
        <v>6160.0</v>
      </c>
      <c r="C23" s="3">
        <v>6020.0</v>
      </c>
      <c r="D23" s="3">
        <v>5820.0</v>
      </c>
      <c r="F23" s="3">
        <v>5980.0</v>
      </c>
      <c r="G23" s="3">
        <v>5900.0</v>
      </c>
      <c r="H23" s="3">
        <v>5610.0</v>
      </c>
      <c r="I23" s="3">
        <v>6430.0</v>
      </c>
      <c r="K23" s="3">
        <v>5990.0</v>
      </c>
      <c r="L23" s="3">
        <v>5430.0</v>
      </c>
      <c r="M23" s="3">
        <v>5630.0</v>
      </c>
      <c r="N23" s="3">
        <v>5600.0</v>
      </c>
      <c r="P23" s="3">
        <v>6420.0</v>
      </c>
      <c r="Q23" s="3">
        <v>6260.0</v>
      </c>
      <c r="R23" s="3">
        <v>6470.0</v>
      </c>
      <c r="S23" s="3">
        <v>6090.0</v>
      </c>
    </row>
    <row r="24">
      <c r="A24" s="3">
        <v>6190.0</v>
      </c>
      <c r="B24" s="3">
        <v>5650.0</v>
      </c>
      <c r="C24" s="3">
        <v>5660.0</v>
      </c>
      <c r="D24" s="3">
        <v>6390.0</v>
      </c>
      <c r="F24" s="3">
        <v>6210.0</v>
      </c>
      <c r="G24" s="3">
        <v>6370.0</v>
      </c>
      <c r="H24" s="3">
        <v>5840.0</v>
      </c>
      <c r="I24" s="3">
        <v>5390.0</v>
      </c>
      <c r="K24" s="3">
        <v>6210.0</v>
      </c>
      <c r="L24" s="3">
        <v>5920.0</v>
      </c>
      <c r="M24" s="3">
        <v>7030.0</v>
      </c>
      <c r="N24" s="3">
        <v>5660.0</v>
      </c>
      <c r="P24" s="3">
        <v>6210.0</v>
      </c>
      <c r="Q24" s="3">
        <v>5910.0</v>
      </c>
      <c r="R24" s="3">
        <v>6170.0</v>
      </c>
      <c r="S24" s="3">
        <v>5910.0</v>
      </c>
    </row>
    <row r="25">
      <c r="A25" s="3">
        <v>5970.0</v>
      </c>
      <c r="B25" s="3">
        <v>6520.0</v>
      </c>
      <c r="C25" s="3">
        <v>5940.0</v>
      </c>
      <c r="D25" s="3">
        <v>5510.0</v>
      </c>
      <c r="F25" s="3">
        <v>5960.0</v>
      </c>
      <c r="G25" s="3">
        <v>5940.0</v>
      </c>
      <c r="H25" s="3">
        <v>6340.0</v>
      </c>
      <c r="I25" s="3">
        <v>5420.0</v>
      </c>
      <c r="K25" s="3">
        <v>6420.0</v>
      </c>
      <c r="L25" s="3">
        <v>5730.0</v>
      </c>
      <c r="M25" s="3">
        <v>6840.0</v>
      </c>
      <c r="N25" s="3">
        <v>6450.0</v>
      </c>
      <c r="P25" s="3">
        <v>5990.0</v>
      </c>
      <c r="Q25" s="3">
        <v>6120.0</v>
      </c>
      <c r="R25" s="3">
        <v>6410.0</v>
      </c>
      <c r="S25" s="3">
        <v>6840.0</v>
      </c>
    </row>
    <row r="26">
      <c r="A26" s="3">
        <v>6760.0</v>
      </c>
      <c r="B26" s="3">
        <v>6390.0</v>
      </c>
      <c r="C26" s="3">
        <v>5780.0</v>
      </c>
      <c r="D26" s="3">
        <v>5970.0</v>
      </c>
      <c r="F26" s="3">
        <v>6420.0</v>
      </c>
      <c r="G26" s="3">
        <v>5800.0</v>
      </c>
      <c r="H26" s="3">
        <v>5130.0</v>
      </c>
      <c r="I26" s="3">
        <v>6340.0</v>
      </c>
      <c r="K26" s="3">
        <v>5970.0</v>
      </c>
      <c r="L26" s="3">
        <v>6640.0</v>
      </c>
      <c r="M26" s="3">
        <v>6640.0</v>
      </c>
      <c r="N26" s="3">
        <v>5980.0</v>
      </c>
      <c r="P26" s="3">
        <v>6430.0</v>
      </c>
      <c r="Q26" s="3">
        <v>6410.0</v>
      </c>
      <c r="R26" s="3">
        <v>6230.0</v>
      </c>
      <c r="S26" s="3">
        <v>5810.0</v>
      </c>
    </row>
    <row r="27">
      <c r="A27" s="3">
        <v>6020.0</v>
      </c>
      <c r="B27" s="3">
        <v>6150.0</v>
      </c>
      <c r="C27" s="3">
        <v>6050.0</v>
      </c>
      <c r="D27" s="3">
        <v>6570.0</v>
      </c>
      <c r="F27" s="3">
        <v>5870.0</v>
      </c>
      <c r="G27" s="3">
        <v>6740.0</v>
      </c>
      <c r="H27" s="3">
        <v>6530.0</v>
      </c>
      <c r="I27" s="3">
        <v>5870.0</v>
      </c>
      <c r="K27" s="3">
        <v>5870.0</v>
      </c>
      <c r="L27" s="3">
        <v>6240.0</v>
      </c>
      <c r="M27" s="3">
        <v>6570.0</v>
      </c>
      <c r="N27" s="3">
        <v>6580.0</v>
      </c>
      <c r="P27" s="3">
        <v>5890.0</v>
      </c>
      <c r="Q27" s="3">
        <v>5640.0</v>
      </c>
      <c r="R27" s="3">
        <v>6410.0</v>
      </c>
      <c r="S27" s="3">
        <v>6210.0</v>
      </c>
    </row>
    <row r="28">
      <c r="A28" s="3">
        <v>5980.0</v>
      </c>
      <c r="B28" s="3">
        <v>5900.0</v>
      </c>
      <c r="C28" s="3">
        <v>6170.0</v>
      </c>
      <c r="D28" s="3">
        <v>5880.0</v>
      </c>
      <c r="F28" s="3">
        <v>6310.0</v>
      </c>
      <c r="G28" s="3">
        <v>6200.0</v>
      </c>
      <c r="H28" s="3">
        <v>6690.0</v>
      </c>
      <c r="I28" s="3">
        <v>5620.0</v>
      </c>
      <c r="K28" s="3">
        <v>5980.0</v>
      </c>
      <c r="L28" s="3">
        <v>6170.0</v>
      </c>
      <c r="M28" s="3">
        <v>6510.0</v>
      </c>
      <c r="N28" s="3">
        <v>5890.0</v>
      </c>
      <c r="P28" s="3">
        <v>6390.0</v>
      </c>
      <c r="Q28" s="3">
        <v>6750.0</v>
      </c>
      <c r="R28" s="3">
        <v>6020.0</v>
      </c>
      <c r="S28" s="3">
        <v>5820.0</v>
      </c>
    </row>
    <row r="29">
      <c r="A29" s="3">
        <v>6230.0</v>
      </c>
      <c r="B29" s="3">
        <v>6170.0</v>
      </c>
      <c r="C29" s="3">
        <v>6410.0</v>
      </c>
      <c r="D29" s="3">
        <v>5630.0</v>
      </c>
      <c r="F29" s="3">
        <v>6240.0</v>
      </c>
      <c r="G29" s="3">
        <v>5950.0</v>
      </c>
      <c r="H29" s="3">
        <v>5610.0</v>
      </c>
      <c r="I29" s="3">
        <v>5840.0</v>
      </c>
      <c r="K29" s="3">
        <v>5760.0</v>
      </c>
      <c r="L29" s="3">
        <v>6040.0</v>
      </c>
      <c r="M29" s="3">
        <v>5830.0</v>
      </c>
      <c r="N29" s="3">
        <v>5630.0</v>
      </c>
      <c r="P29" s="3">
        <v>6210.0</v>
      </c>
      <c r="Q29" s="3">
        <v>6110.0</v>
      </c>
      <c r="R29" s="3">
        <v>5980.0</v>
      </c>
      <c r="S29" s="3">
        <v>6120.0</v>
      </c>
    </row>
    <row r="30">
      <c r="A30" s="3">
        <v>6190.0</v>
      </c>
      <c r="B30" s="3">
        <v>5900.0</v>
      </c>
      <c r="C30" s="3">
        <v>5800.0</v>
      </c>
      <c r="D30" s="3">
        <v>5380.0</v>
      </c>
      <c r="F30" s="3">
        <v>5380.0</v>
      </c>
      <c r="G30" s="3">
        <v>6270.0</v>
      </c>
      <c r="H30" s="3">
        <v>6370.0</v>
      </c>
      <c r="I30" s="3">
        <v>5570.0</v>
      </c>
      <c r="K30" s="3">
        <v>6140.0</v>
      </c>
      <c r="L30" s="3">
        <v>6250.0</v>
      </c>
      <c r="M30" s="3">
        <v>6330.0</v>
      </c>
      <c r="N30" s="3">
        <v>6390.0</v>
      </c>
      <c r="P30" s="3">
        <v>6510.0</v>
      </c>
      <c r="Q30" s="3">
        <v>6320.0</v>
      </c>
      <c r="R30" s="3">
        <v>6010.0</v>
      </c>
      <c r="S30" s="3">
        <v>5970.0</v>
      </c>
    </row>
    <row r="31">
      <c r="A31" s="3">
        <v>5980.0</v>
      </c>
      <c r="B31" s="3">
        <v>6680.0</v>
      </c>
      <c r="C31" s="3">
        <v>6370.0</v>
      </c>
      <c r="D31" s="3">
        <v>6050.0</v>
      </c>
      <c r="F31" s="3">
        <v>6870.0</v>
      </c>
      <c r="G31" s="3">
        <v>6210.0</v>
      </c>
      <c r="H31" s="3">
        <v>6220.0</v>
      </c>
      <c r="I31" s="3">
        <v>6460.0</v>
      </c>
      <c r="K31" s="3">
        <v>5950.0</v>
      </c>
      <c r="L31" s="3">
        <v>6500.0</v>
      </c>
      <c r="M31" s="3">
        <v>5890.0</v>
      </c>
      <c r="N31" s="3">
        <v>6130.0</v>
      </c>
      <c r="P31" s="3">
        <v>5860.0</v>
      </c>
      <c r="Q31" s="3">
        <v>6310.0</v>
      </c>
      <c r="R31" s="3">
        <v>5990.0</v>
      </c>
      <c r="S31" s="3">
        <v>5790.0</v>
      </c>
    </row>
    <row r="32">
      <c r="A32" s="3">
        <v>6090.0</v>
      </c>
      <c r="B32" s="3">
        <v>6310.0</v>
      </c>
      <c r="C32" s="3">
        <v>6690.0</v>
      </c>
      <c r="D32" s="3">
        <v>5680.0</v>
      </c>
      <c r="F32" s="3">
        <v>5960.0</v>
      </c>
      <c r="G32" s="3">
        <v>6330.0</v>
      </c>
      <c r="H32" s="3">
        <v>6910.0</v>
      </c>
      <c r="I32" s="3">
        <v>6010.0</v>
      </c>
      <c r="K32" s="3">
        <v>6230.0</v>
      </c>
      <c r="L32" s="3">
        <v>6340.0</v>
      </c>
      <c r="M32" s="3">
        <v>6290.0</v>
      </c>
      <c r="N32" s="3">
        <v>6040.0</v>
      </c>
      <c r="P32" s="3">
        <v>6120.0</v>
      </c>
      <c r="Q32" s="3">
        <v>6210.0</v>
      </c>
      <c r="R32" s="3">
        <v>6110.0</v>
      </c>
      <c r="S32" s="3">
        <v>6010.0</v>
      </c>
    </row>
    <row r="33">
      <c r="A33" s="3">
        <v>6220.0</v>
      </c>
      <c r="B33" s="3">
        <v>6100.0</v>
      </c>
      <c r="C33" s="3">
        <v>6080.0</v>
      </c>
      <c r="D33" s="3">
        <v>5450.0</v>
      </c>
      <c r="F33" s="3">
        <v>5790.0</v>
      </c>
      <c r="G33" s="3">
        <v>6190.0</v>
      </c>
      <c r="H33" s="3">
        <v>6470.0</v>
      </c>
      <c r="I33" s="3">
        <v>5740.0</v>
      </c>
      <c r="K33" s="3">
        <v>6410.0</v>
      </c>
      <c r="L33" s="3">
        <v>6420.0</v>
      </c>
      <c r="M33" s="3">
        <v>5730.0</v>
      </c>
      <c r="N33" s="3">
        <v>6420.0</v>
      </c>
      <c r="P33" s="3">
        <v>6360.0</v>
      </c>
      <c r="Q33" s="3">
        <v>5760.0</v>
      </c>
      <c r="R33" s="3">
        <v>5950.0</v>
      </c>
      <c r="S33" s="3">
        <v>6230.0</v>
      </c>
    </row>
    <row r="34">
      <c r="A34" s="3">
        <v>5890.0</v>
      </c>
      <c r="B34" s="3">
        <v>6230.0</v>
      </c>
      <c r="C34" s="3">
        <v>6210.0</v>
      </c>
      <c r="D34" s="3">
        <v>5790.0</v>
      </c>
      <c r="F34" s="3">
        <v>5950.0</v>
      </c>
      <c r="G34" s="3">
        <v>6570.0</v>
      </c>
      <c r="H34" s="3">
        <v>5440.0</v>
      </c>
      <c r="I34" s="3">
        <v>5910.0</v>
      </c>
      <c r="K34" s="3">
        <v>6020.0</v>
      </c>
      <c r="L34" s="3">
        <v>6280.0</v>
      </c>
      <c r="M34" s="3">
        <v>5948.0</v>
      </c>
      <c r="N34" s="3">
        <v>6390.0</v>
      </c>
      <c r="P34" s="3">
        <v>6240.0</v>
      </c>
      <c r="Q34" s="3">
        <v>6210.0</v>
      </c>
      <c r="R34" s="3">
        <v>6310.0</v>
      </c>
      <c r="S34" s="3">
        <v>5980.0</v>
      </c>
    </row>
    <row r="35">
      <c r="A35" s="3">
        <v>5690.0</v>
      </c>
      <c r="B35" s="3">
        <v>6000.0</v>
      </c>
      <c r="C35" s="3">
        <v>5890.0</v>
      </c>
      <c r="D35" s="3">
        <v>5580.0</v>
      </c>
      <c r="F35" s="3">
        <v>6310.0</v>
      </c>
      <c r="G35" s="3">
        <v>6230.0</v>
      </c>
      <c r="H35" s="3">
        <v>6190.0</v>
      </c>
      <c r="I35" s="3">
        <v>5660.0</v>
      </c>
      <c r="K35" s="3">
        <v>5740.0</v>
      </c>
      <c r="L35" s="3">
        <v>6300.0</v>
      </c>
      <c r="M35" s="3">
        <v>5650.0</v>
      </c>
      <c r="N35" s="3">
        <v>5490.0</v>
      </c>
      <c r="P35" s="3">
        <v>5990.0</v>
      </c>
      <c r="Q35" s="3">
        <v>5760.0</v>
      </c>
      <c r="R35" s="3">
        <v>6420.0</v>
      </c>
      <c r="S35" s="3">
        <v>6340.0</v>
      </c>
    </row>
    <row r="36">
      <c r="A36" s="3">
        <v>5970.0</v>
      </c>
      <c r="B36" s="3">
        <v>6180.0</v>
      </c>
      <c r="C36" s="3">
        <v>6040.0</v>
      </c>
      <c r="D36" s="3">
        <v>7280.0</v>
      </c>
      <c r="F36" s="3">
        <v>5970.0</v>
      </c>
      <c r="G36" s="3">
        <v>6660.0</v>
      </c>
      <c r="H36" s="3">
        <v>5780.0</v>
      </c>
      <c r="I36" s="3">
        <v>6410.0</v>
      </c>
      <c r="K36" s="3">
        <v>6310.0</v>
      </c>
      <c r="L36" s="3">
        <v>5540.0</v>
      </c>
      <c r="M36" s="3">
        <v>6950.0</v>
      </c>
      <c r="N36" s="3">
        <v>5900.0</v>
      </c>
      <c r="P36" s="3">
        <v>6510.0</v>
      </c>
      <c r="Q36" s="3">
        <v>6120.0</v>
      </c>
      <c r="R36" s="3">
        <v>5970.0</v>
      </c>
      <c r="S36" s="3">
        <v>5890.0</v>
      </c>
    </row>
    <row r="37">
      <c r="A37" s="3">
        <v>6310.0</v>
      </c>
      <c r="B37" s="3">
        <v>6190.0</v>
      </c>
      <c r="C37" s="3">
        <v>5710.0</v>
      </c>
      <c r="D37" s="3">
        <v>6240.0</v>
      </c>
      <c r="F37" s="3">
        <v>6210.0</v>
      </c>
      <c r="G37" s="3">
        <v>6130.0</v>
      </c>
      <c r="H37" s="3">
        <v>6570.0</v>
      </c>
      <c r="I37" s="3">
        <v>5730.0</v>
      </c>
      <c r="K37" s="3">
        <v>6170.0</v>
      </c>
      <c r="L37" s="3">
        <v>6370.0</v>
      </c>
      <c r="M37" s="3">
        <v>5470.0</v>
      </c>
      <c r="N37" s="3">
        <v>6100.0</v>
      </c>
      <c r="P37" s="3">
        <v>5980.0</v>
      </c>
      <c r="Q37" s="3">
        <v>6690.0</v>
      </c>
      <c r="R37" s="3">
        <v>6010.0</v>
      </c>
      <c r="S37" s="3">
        <v>6410.0</v>
      </c>
    </row>
    <row r="38">
      <c r="A38" s="4">
        <f t="shared" ref="A38:D38" si="5">round((SUM(A23:A37)/60),2)</f>
        <v>1525</v>
      </c>
      <c r="B38" s="4">
        <f t="shared" si="5"/>
        <v>1542.17</v>
      </c>
      <c r="C38" s="4">
        <f t="shared" si="5"/>
        <v>1513.67</v>
      </c>
      <c r="D38" s="4">
        <f t="shared" si="5"/>
        <v>1487</v>
      </c>
      <c r="F38" s="4">
        <f t="shared" ref="F38:I38" si="6">round((SUM(F23:F37)/60),2)</f>
        <v>1523.83</v>
      </c>
      <c r="G38" s="4">
        <f t="shared" si="6"/>
        <v>1558.17</v>
      </c>
      <c r="H38" s="4">
        <f t="shared" si="6"/>
        <v>1528.33</v>
      </c>
      <c r="I38" s="4">
        <f t="shared" si="6"/>
        <v>1473.33</v>
      </c>
      <c r="K38" s="4">
        <f t="shared" ref="K38:N38" si="7">round((SUM(K23:K37)/60),2)</f>
        <v>1519.5</v>
      </c>
      <c r="L38" s="4">
        <f t="shared" si="7"/>
        <v>1536.17</v>
      </c>
      <c r="M38" s="4">
        <f t="shared" si="7"/>
        <v>1555.13</v>
      </c>
      <c r="N38" s="4">
        <f t="shared" si="7"/>
        <v>1510.83</v>
      </c>
      <c r="P38" s="4">
        <f t="shared" ref="P38:S38" si="8">round((SUM(P23:P37)/60),2)</f>
        <v>1551.83</v>
      </c>
      <c r="Q38" s="4">
        <f t="shared" si="8"/>
        <v>1543</v>
      </c>
      <c r="R38" s="4">
        <f t="shared" si="8"/>
        <v>1541</v>
      </c>
      <c r="S38" s="4">
        <f t="shared" si="8"/>
        <v>1523.67</v>
      </c>
    </row>
    <row r="41">
      <c r="A41" s="1" t="s">
        <v>12</v>
      </c>
      <c r="F41" s="1" t="s">
        <v>13</v>
      </c>
      <c r="K41" s="1" t="s">
        <v>14</v>
      </c>
      <c r="P41" s="1" t="s">
        <v>15</v>
      </c>
    </row>
    <row r="42">
      <c r="A42" s="2" t="s">
        <v>4</v>
      </c>
      <c r="B42" s="2" t="s">
        <v>5</v>
      </c>
      <c r="C42" s="2" t="s">
        <v>6</v>
      </c>
      <c r="D42" s="2" t="s">
        <v>7</v>
      </c>
      <c r="F42" s="2" t="s">
        <v>4</v>
      </c>
      <c r="G42" s="2" t="s">
        <v>5</v>
      </c>
      <c r="H42" s="2" t="s">
        <v>6</v>
      </c>
      <c r="I42" s="2" t="s">
        <v>7</v>
      </c>
      <c r="K42" s="2" t="s">
        <v>4</v>
      </c>
      <c r="L42" s="2" t="s">
        <v>5</v>
      </c>
      <c r="M42" s="2" t="s">
        <v>6</v>
      </c>
      <c r="N42" s="2" t="s">
        <v>7</v>
      </c>
      <c r="P42" s="2" t="s">
        <v>4</v>
      </c>
      <c r="Q42" s="2" t="s">
        <v>5</v>
      </c>
      <c r="R42" s="2" t="s">
        <v>6</v>
      </c>
      <c r="S42" s="2" t="s">
        <v>7</v>
      </c>
    </row>
    <row r="43">
      <c r="A43" s="3">
        <v>5990.0</v>
      </c>
      <c r="B43" s="3">
        <v>6240.0</v>
      </c>
      <c r="C43" s="3">
        <v>5610.0</v>
      </c>
      <c r="D43" s="3">
        <v>5780.0</v>
      </c>
      <c r="F43" s="3">
        <v>5980.0</v>
      </c>
      <c r="G43" s="3">
        <v>6320.0</v>
      </c>
      <c r="H43" s="3">
        <v>6030.0</v>
      </c>
      <c r="I43" s="3">
        <v>5670.0</v>
      </c>
      <c r="K43" s="3">
        <v>5980.0</v>
      </c>
      <c r="L43" s="3">
        <v>6240.0</v>
      </c>
      <c r="M43" s="3">
        <v>5860.0</v>
      </c>
      <c r="N43" s="3">
        <v>5800.0</v>
      </c>
      <c r="P43" s="3">
        <v>6030.0</v>
      </c>
      <c r="Q43" s="3">
        <v>6240.0</v>
      </c>
      <c r="R43" s="3">
        <v>5610.0</v>
      </c>
      <c r="S43" s="3">
        <v>5690.0</v>
      </c>
    </row>
    <row r="44">
      <c r="A44" s="3">
        <v>5980.0</v>
      </c>
      <c r="B44" s="3">
        <v>6320.0</v>
      </c>
      <c r="C44" s="3">
        <v>6040.0</v>
      </c>
      <c r="D44" s="3">
        <v>5580.0</v>
      </c>
      <c r="F44" s="3">
        <v>6130.0</v>
      </c>
      <c r="G44" s="3">
        <v>6240.0</v>
      </c>
      <c r="H44" s="3">
        <v>6010.0</v>
      </c>
      <c r="I44" s="3">
        <v>6570.0</v>
      </c>
      <c r="K44" s="3">
        <v>6240.0</v>
      </c>
      <c r="L44" s="3">
        <v>6320.0</v>
      </c>
      <c r="M44" s="3">
        <v>6290.0</v>
      </c>
      <c r="N44" s="3">
        <v>5120.0</v>
      </c>
      <c r="P44" s="3">
        <v>6010.0</v>
      </c>
      <c r="Q44" s="3">
        <v>6320.0</v>
      </c>
      <c r="R44" s="3">
        <v>6040.0</v>
      </c>
      <c r="S44" s="3">
        <v>5720.0</v>
      </c>
    </row>
    <row r="45">
      <c r="A45" s="3">
        <v>6500.0</v>
      </c>
      <c r="B45" s="3">
        <v>6120.0</v>
      </c>
      <c r="C45" s="3">
        <v>5930.0</v>
      </c>
      <c r="D45" s="3">
        <v>5900.0</v>
      </c>
      <c r="F45" s="3">
        <v>6240.0</v>
      </c>
      <c r="G45" s="3">
        <v>6420.0</v>
      </c>
      <c r="H45" s="3">
        <v>5820.0</v>
      </c>
      <c r="I45" s="3">
        <v>5400.0</v>
      </c>
      <c r="K45" s="3">
        <v>5970.0</v>
      </c>
      <c r="L45" s="3">
        <v>6520.0</v>
      </c>
      <c r="M45" s="3">
        <v>5610.0</v>
      </c>
      <c r="N45" s="3">
        <v>5490.0</v>
      </c>
      <c r="P45" s="3">
        <v>5970.0</v>
      </c>
      <c r="Q45" s="3">
        <v>6460.0</v>
      </c>
      <c r="R45" s="3">
        <v>5930.0</v>
      </c>
      <c r="S45" s="3">
        <v>5840.0</v>
      </c>
    </row>
    <row r="46">
      <c r="A46" s="3">
        <v>6320.0</v>
      </c>
      <c r="B46" s="3">
        <v>6240.0</v>
      </c>
      <c r="C46" s="3">
        <v>6610.0</v>
      </c>
      <c r="D46" s="3">
        <v>5860.0</v>
      </c>
      <c r="F46" s="3">
        <v>5780.0</v>
      </c>
      <c r="G46" s="3">
        <v>6240.0</v>
      </c>
      <c r="H46" s="3">
        <v>6140.0</v>
      </c>
      <c r="I46" s="3">
        <v>5610.0</v>
      </c>
      <c r="K46" s="3">
        <v>5880.0</v>
      </c>
      <c r="L46" s="3">
        <v>6460.0</v>
      </c>
      <c r="M46" s="3">
        <v>6940.0</v>
      </c>
      <c r="N46" s="3">
        <v>6610.0</v>
      </c>
      <c r="P46" s="3">
        <v>6210.0</v>
      </c>
      <c r="Q46" s="3">
        <v>6320.0</v>
      </c>
      <c r="R46" s="3">
        <v>6610.0</v>
      </c>
      <c r="S46" s="3">
        <v>5420.0</v>
      </c>
    </row>
    <row r="47">
      <c r="A47" s="3">
        <v>5780.0</v>
      </c>
      <c r="B47" s="3">
        <v>6560.0</v>
      </c>
      <c r="C47" s="3">
        <v>6480.0</v>
      </c>
      <c r="D47" s="3">
        <v>6020.0</v>
      </c>
      <c r="F47" s="3">
        <v>5890.0</v>
      </c>
      <c r="G47" s="3">
        <v>6150.0</v>
      </c>
      <c r="H47" s="3">
        <v>6530.0</v>
      </c>
      <c r="I47" s="3">
        <v>6010.0</v>
      </c>
      <c r="K47" s="3">
        <v>5960.0</v>
      </c>
      <c r="L47" s="3">
        <v>6250.0</v>
      </c>
      <c r="M47" s="3">
        <v>6420.0</v>
      </c>
      <c r="N47" s="3">
        <v>5810.0</v>
      </c>
      <c r="P47" s="3">
        <v>6320.0</v>
      </c>
      <c r="Q47" s="3">
        <v>6250.0</v>
      </c>
      <c r="R47" s="3">
        <v>6480.0</v>
      </c>
      <c r="S47" s="3">
        <v>6020.0</v>
      </c>
    </row>
    <row r="48">
      <c r="A48" s="3">
        <v>5760.0</v>
      </c>
      <c r="B48" s="3">
        <v>6320.0</v>
      </c>
      <c r="C48" s="3">
        <v>6340.0</v>
      </c>
      <c r="D48" s="3">
        <v>5590.0</v>
      </c>
      <c r="F48" s="3">
        <v>6340.0</v>
      </c>
      <c r="G48" s="3">
        <v>6520.0</v>
      </c>
      <c r="H48" s="3">
        <v>6310.0</v>
      </c>
      <c r="I48" s="3">
        <v>5740.0</v>
      </c>
      <c r="K48" s="3">
        <v>6210.0</v>
      </c>
      <c r="L48" s="3">
        <v>6520.0</v>
      </c>
      <c r="M48" s="3">
        <v>6230.0</v>
      </c>
      <c r="N48" s="3">
        <v>5800.0</v>
      </c>
      <c r="P48" s="3">
        <v>5850.0</v>
      </c>
      <c r="Q48" s="3">
        <v>6350.0</v>
      </c>
      <c r="R48" s="3">
        <v>6340.0</v>
      </c>
      <c r="S48" s="3">
        <v>6220.0</v>
      </c>
    </row>
    <row r="49">
      <c r="A49" s="3">
        <v>5670.0</v>
      </c>
      <c r="B49" s="3">
        <v>6410.0</v>
      </c>
      <c r="C49" s="3">
        <v>6460.0</v>
      </c>
      <c r="D49" s="3">
        <v>6480.0</v>
      </c>
      <c r="F49" s="3">
        <v>5880.0</v>
      </c>
      <c r="G49" s="3">
        <v>6340.0</v>
      </c>
      <c r="H49" s="3">
        <v>6420.0</v>
      </c>
      <c r="I49" s="3">
        <v>5950.0</v>
      </c>
      <c r="K49" s="3">
        <v>5830.0</v>
      </c>
      <c r="L49" s="3">
        <v>6240.0</v>
      </c>
      <c r="M49" s="3">
        <v>6030.0</v>
      </c>
      <c r="N49" s="3">
        <v>5450.0</v>
      </c>
      <c r="P49" s="3">
        <v>5960.0</v>
      </c>
      <c r="Q49" s="3">
        <v>6150.0</v>
      </c>
      <c r="R49" s="3">
        <v>6460.0</v>
      </c>
      <c r="S49" s="3">
        <v>5920.0</v>
      </c>
    </row>
    <row r="50">
      <c r="A50" s="3">
        <v>5970.0</v>
      </c>
      <c r="B50" s="3">
        <v>6220.0</v>
      </c>
      <c r="C50" s="3">
        <v>6130.0</v>
      </c>
      <c r="D50" s="3">
        <v>6440.0</v>
      </c>
      <c r="F50" s="3">
        <v>6420.0</v>
      </c>
      <c r="G50" s="3">
        <v>6260.0</v>
      </c>
      <c r="H50" s="3">
        <v>5340.0</v>
      </c>
      <c r="I50" s="3">
        <v>5700.0</v>
      </c>
      <c r="K50" s="3">
        <v>6140.0</v>
      </c>
      <c r="L50" s="3">
        <v>6420.0</v>
      </c>
      <c r="M50" s="3">
        <v>6150.0</v>
      </c>
      <c r="N50" s="3">
        <v>6600.0</v>
      </c>
      <c r="P50" s="3">
        <v>6910.0</v>
      </c>
      <c r="Q50" s="3">
        <v>6220.0</v>
      </c>
      <c r="R50" s="3">
        <v>6130.0</v>
      </c>
      <c r="S50" s="3">
        <v>5750.0</v>
      </c>
    </row>
    <row r="51">
      <c r="A51" s="3">
        <v>6220.0</v>
      </c>
      <c r="B51" s="3">
        <v>6400.0</v>
      </c>
      <c r="C51" s="3">
        <v>6050.0</v>
      </c>
      <c r="D51" s="3">
        <v>5400.0</v>
      </c>
      <c r="F51" s="3">
        <v>6510.0</v>
      </c>
      <c r="G51" s="3">
        <v>6360.0</v>
      </c>
      <c r="H51" s="3">
        <v>6020.0</v>
      </c>
      <c r="I51" s="3">
        <v>6260.0</v>
      </c>
      <c r="K51" s="3">
        <v>6310.0</v>
      </c>
      <c r="L51" s="3">
        <v>6520.0</v>
      </c>
      <c r="M51" s="3">
        <v>5850.0</v>
      </c>
      <c r="N51" s="3">
        <v>5900.0</v>
      </c>
      <c r="P51" s="3">
        <v>5780.0</v>
      </c>
      <c r="Q51" s="3">
        <v>6360.0</v>
      </c>
      <c r="R51" s="3">
        <v>6050.0</v>
      </c>
      <c r="S51" s="3">
        <v>6120.0</v>
      </c>
    </row>
    <row r="52">
      <c r="A52" s="3">
        <v>6410.0</v>
      </c>
      <c r="B52" s="3">
        <v>6320.0</v>
      </c>
      <c r="C52" s="3">
        <v>5850.0</v>
      </c>
      <c r="D52" s="3">
        <v>6060.0</v>
      </c>
      <c r="F52" s="3">
        <v>5990.0</v>
      </c>
      <c r="G52" s="3">
        <v>6390.0</v>
      </c>
      <c r="H52" s="3">
        <v>6010.0</v>
      </c>
      <c r="I52" s="3">
        <v>6040.0</v>
      </c>
      <c r="K52" s="3">
        <v>6450.0</v>
      </c>
      <c r="L52" s="3">
        <v>6340.0</v>
      </c>
      <c r="M52" s="3">
        <v>5460.0</v>
      </c>
      <c r="N52" s="3">
        <v>5750.0</v>
      </c>
      <c r="P52" s="3">
        <v>5890.0</v>
      </c>
      <c r="Q52" s="3">
        <v>6420.0</v>
      </c>
      <c r="R52" s="3">
        <v>5850.0</v>
      </c>
      <c r="S52" s="3">
        <v>5840.0</v>
      </c>
    </row>
    <row r="53">
      <c r="A53" s="3">
        <v>6110.0</v>
      </c>
      <c r="B53" s="3">
        <v>6240.0</v>
      </c>
      <c r="C53" s="3">
        <v>6070.0</v>
      </c>
      <c r="D53" s="3">
        <v>5410.0</v>
      </c>
      <c r="F53" s="3">
        <v>6450.0</v>
      </c>
      <c r="G53" s="3">
        <v>6150.0</v>
      </c>
      <c r="H53" s="3">
        <v>6540.0</v>
      </c>
      <c r="I53" s="3">
        <v>6170.0</v>
      </c>
      <c r="K53" s="3">
        <v>5350.0</v>
      </c>
      <c r="L53" s="3">
        <v>6250.0</v>
      </c>
      <c r="M53" s="3">
        <v>5990.0</v>
      </c>
      <c r="N53" s="3">
        <v>6950.0</v>
      </c>
      <c r="P53" s="3">
        <v>6230.0</v>
      </c>
      <c r="Q53" s="3">
        <v>6230.0</v>
      </c>
      <c r="R53" s="3">
        <v>6070.0</v>
      </c>
      <c r="S53" s="3">
        <v>5720.0</v>
      </c>
    </row>
    <row r="54">
      <c r="A54" s="3">
        <v>5980.0</v>
      </c>
      <c r="B54" s="3">
        <v>6460.0</v>
      </c>
      <c r="C54" s="3">
        <v>5980.0</v>
      </c>
      <c r="D54" s="3">
        <v>6360.0</v>
      </c>
      <c r="F54" s="3">
        <v>6040.0</v>
      </c>
      <c r="G54" s="3">
        <v>6220.0</v>
      </c>
      <c r="H54" s="3">
        <v>6230.0</v>
      </c>
      <c r="I54" s="3">
        <v>6010.0</v>
      </c>
      <c r="K54" s="3">
        <v>5760.0</v>
      </c>
      <c r="L54" s="3">
        <v>6420.0</v>
      </c>
      <c r="M54" s="3">
        <v>6440.0</v>
      </c>
      <c r="N54" s="3">
        <v>5830.0</v>
      </c>
      <c r="P54" s="3">
        <v>5880.0</v>
      </c>
      <c r="Q54" s="3">
        <v>6120.0</v>
      </c>
      <c r="R54" s="3">
        <v>5980.0</v>
      </c>
      <c r="S54" s="3">
        <v>5910.0</v>
      </c>
    </row>
    <row r="55">
      <c r="A55" s="3">
        <v>6960.0</v>
      </c>
      <c r="B55" s="3">
        <v>6550.0</v>
      </c>
      <c r="C55" s="3">
        <v>5990.0</v>
      </c>
      <c r="D55" s="3">
        <v>5470.0</v>
      </c>
      <c r="F55" s="3">
        <v>6060.0</v>
      </c>
      <c r="G55" s="3">
        <v>6340.0</v>
      </c>
      <c r="H55" s="3">
        <v>6060.0</v>
      </c>
      <c r="I55" s="3">
        <v>5740.0</v>
      </c>
      <c r="K55" s="3">
        <v>5990.0</v>
      </c>
      <c r="L55" s="3">
        <v>6240.0</v>
      </c>
      <c r="M55" s="3">
        <v>5910.0</v>
      </c>
      <c r="N55" s="3">
        <v>5360.0</v>
      </c>
      <c r="P55" s="3">
        <v>6090.0</v>
      </c>
      <c r="Q55" s="3">
        <v>6350.0</v>
      </c>
      <c r="R55" s="3">
        <v>5990.0</v>
      </c>
      <c r="S55" s="3">
        <v>6110.0</v>
      </c>
    </row>
    <row r="56">
      <c r="A56" s="3">
        <v>6510.0</v>
      </c>
      <c r="B56" s="3">
        <v>6420.0</v>
      </c>
      <c r="C56" s="3">
        <v>6040.0</v>
      </c>
      <c r="D56" s="3">
        <v>5860.0</v>
      </c>
      <c r="F56" s="3">
        <v>5970.0</v>
      </c>
      <c r="G56" s="3">
        <v>6420.0</v>
      </c>
      <c r="H56" s="3">
        <v>6850.0</v>
      </c>
      <c r="I56" s="3">
        <v>6110.0</v>
      </c>
      <c r="K56" s="3">
        <v>6280.0</v>
      </c>
      <c r="L56" s="3">
        <v>6620.0</v>
      </c>
      <c r="M56" s="3">
        <v>5570.0</v>
      </c>
      <c r="N56" s="3">
        <v>6330.0</v>
      </c>
      <c r="P56" s="3">
        <v>5780.0</v>
      </c>
      <c r="Q56" s="3">
        <v>6250.0</v>
      </c>
      <c r="R56" s="3">
        <v>6040.0</v>
      </c>
      <c r="S56" s="3">
        <v>5940.0</v>
      </c>
    </row>
    <row r="57">
      <c r="A57" s="3">
        <v>6240.0</v>
      </c>
      <c r="B57" s="3">
        <v>6620.0</v>
      </c>
      <c r="C57" s="3">
        <v>6450.0</v>
      </c>
      <c r="D57" s="3">
        <v>5260.0</v>
      </c>
      <c r="F57" s="3">
        <v>5980.0</v>
      </c>
      <c r="G57" s="3">
        <v>6410.0</v>
      </c>
      <c r="H57" s="3">
        <v>6640.0</v>
      </c>
      <c r="I57" s="3">
        <v>5910.0</v>
      </c>
      <c r="K57" s="3">
        <v>5920.0</v>
      </c>
      <c r="L57" s="3">
        <v>6550.0</v>
      </c>
      <c r="M57" s="3">
        <v>6280.0</v>
      </c>
      <c r="N57" s="3">
        <v>6690.0</v>
      </c>
      <c r="P57" s="3">
        <v>6020.0</v>
      </c>
      <c r="Q57" s="3">
        <v>6390.0</v>
      </c>
      <c r="R57" s="3">
        <v>6450.0</v>
      </c>
      <c r="S57" s="3">
        <v>6240.0</v>
      </c>
    </row>
    <row r="58">
      <c r="A58" s="4">
        <f t="shared" ref="A58:D58" si="9">round((SUM(A43:A57)/60),2)</f>
        <v>1540</v>
      </c>
      <c r="B58" s="4">
        <f t="shared" si="9"/>
        <v>1590.67</v>
      </c>
      <c r="C58" s="4">
        <f t="shared" si="9"/>
        <v>1533.83</v>
      </c>
      <c r="D58" s="4">
        <f t="shared" si="9"/>
        <v>1457.83</v>
      </c>
      <c r="F58" s="4">
        <f t="shared" ref="F58:I58" si="10">round((SUM(F43:F57)/60),2)</f>
        <v>1527.67</v>
      </c>
      <c r="G58" s="4">
        <f t="shared" si="10"/>
        <v>1579.67</v>
      </c>
      <c r="H58" s="4">
        <f t="shared" si="10"/>
        <v>1549.17</v>
      </c>
      <c r="I58" s="4">
        <f t="shared" si="10"/>
        <v>1481.5</v>
      </c>
      <c r="K58" s="4">
        <f t="shared" ref="K58:N58" si="11">round((SUM(K43:K57)/60),2)</f>
        <v>1504.5</v>
      </c>
      <c r="L58" s="4">
        <f t="shared" si="11"/>
        <v>1598.5</v>
      </c>
      <c r="M58" s="4">
        <f t="shared" si="11"/>
        <v>1517.17</v>
      </c>
      <c r="N58" s="4">
        <f t="shared" si="11"/>
        <v>1491.5</v>
      </c>
      <c r="P58" s="4">
        <f t="shared" ref="P58:S58" si="12">round((SUM(P43:P57)/60),2)</f>
        <v>1515.5</v>
      </c>
      <c r="Q58" s="4">
        <f t="shared" si="12"/>
        <v>1573.83</v>
      </c>
      <c r="R58" s="4">
        <f t="shared" si="12"/>
        <v>1533.83</v>
      </c>
      <c r="S58" s="4">
        <f t="shared" si="12"/>
        <v>1474.33</v>
      </c>
    </row>
    <row r="61">
      <c r="A61" s="1" t="s">
        <v>16</v>
      </c>
      <c r="F61" s="1" t="s">
        <v>17</v>
      </c>
      <c r="K61" s="1" t="s">
        <v>18</v>
      </c>
      <c r="P61" s="1" t="s">
        <v>19</v>
      </c>
    </row>
    <row r="62">
      <c r="A62" s="2" t="s">
        <v>4</v>
      </c>
      <c r="B62" s="2" t="s">
        <v>5</v>
      </c>
      <c r="C62" s="2" t="s">
        <v>6</v>
      </c>
      <c r="D62" s="2" t="s">
        <v>7</v>
      </c>
      <c r="F62" s="2" t="s">
        <v>4</v>
      </c>
      <c r="G62" s="2" t="s">
        <v>5</v>
      </c>
      <c r="H62" s="2" t="s">
        <v>6</v>
      </c>
      <c r="I62" s="2" t="s">
        <v>7</v>
      </c>
      <c r="K62" s="2" t="s">
        <v>4</v>
      </c>
      <c r="L62" s="2" t="s">
        <v>5</v>
      </c>
      <c r="M62" s="2" t="s">
        <v>6</v>
      </c>
      <c r="N62" s="2" t="s">
        <v>7</v>
      </c>
      <c r="P62" s="2" t="s">
        <v>4</v>
      </c>
      <c r="Q62" s="2" t="s">
        <v>5</v>
      </c>
      <c r="R62" s="2" t="s">
        <v>6</v>
      </c>
      <c r="S62" s="2" t="s">
        <v>7</v>
      </c>
    </row>
    <row r="63">
      <c r="A63" s="3">
        <v>5690.0</v>
      </c>
      <c r="B63" s="3">
        <v>6120.0</v>
      </c>
      <c r="C63" s="3">
        <v>6020.0</v>
      </c>
      <c r="D63" s="3">
        <v>5730.0</v>
      </c>
      <c r="F63" s="3">
        <v>5980.0</v>
      </c>
      <c r="G63" s="3">
        <v>6240.0</v>
      </c>
      <c r="H63" s="3">
        <v>6030.0</v>
      </c>
      <c r="I63" s="3">
        <v>5480.0</v>
      </c>
      <c r="K63" s="3">
        <v>5890.0</v>
      </c>
      <c r="L63" s="3">
        <v>6320.0</v>
      </c>
      <c r="M63" s="3">
        <v>6415.0</v>
      </c>
      <c r="N63" s="3">
        <v>6310.0</v>
      </c>
      <c r="P63" s="3">
        <v>5970.0</v>
      </c>
      <c r="Q63" s="3">
        <v>6250.0</v>
      </c>
      <c r="R63" s="3">
        <v>6290.0</v>
      </c>
      <c r="S63" s="3">
        <v>5980.0</v>
      </c>
    </row>
    <row r="64">
      <c r="A64" s="3">
        <v>5720.0</v>
      </c>
      <c r="B64" s="3">
        <v>6240.0</v>
      </c>
      <c r="C64" s="3">
        <v>6250.0</v>
      </c>
      <c r="D64" s="3">
        <v>5800.0</v>
      </c>
      <c r="F64" s="3">
        <v>6020.0</v>
      </c>
      <c r="G64" s="3">
        <v>6320.0</v>
      </c>
      <c r="H64" s="3">
        <v>6290.0</v>
      </c>
      <c r="I64" s="3">
        <v>5720.0</v>
      </c>
      <c r="K64" s="3">
        <v>5870.0</v>
      </c>
      <c r="L64" s="3">
        <v>6420.0</v>
      </c>
      <c r="M64" s="3">
        <v>6250.0</v>
      </c>
      <c r="N64" s="3">
        <v>6420.0</v>
      </c>
      <c r="P64" s="3">
        <v>5890.0</v>
      </c>
      <c r="Q64" s="3">
        <v>6320.0</v>
      </c>
      <c r="R64" s="3">
        <v>6150.0</v>
      </c>
      <c r="S64" s="3">
        <v>5860.0</v>
      </c>
    </row>
    <row r="65">
      <c r="A65" s="3">
        <v>5840.0</v>
      </c>
      <c r="B65" s="3">
        <v>6420.0</v>
      </c>
      <c r="C65" s="3">
        <v>6290.0</v>
      </c>
      <c r="D65" s="3">
        <v>5690.0</v>
      </c>
      <c r="F65" s="3">
        <v>5700.0</v>
      </c>
      <c r="G65" s="3">
        <v>6420.0</v>
      </c>
      <c r="H65" s="3">
        <v>6390.0</v>
      </c>
      <c r="I65" s="3">
        <v>5800.0</v>
      </c>
      <c r="K65" s="3">
        <v>5790.0</v>
      </c>
      <c r="L65" s="3">
        <v>6360.0</v>
      </c>
      <c r="M65" s="3">
        <v>6320.0</v>
      </c>
      <c r="N65" s="3">
        <v>6360.0</v>
      </c>
      <c r="P65" s="3">
        <v>6210.0</v>
      </c>
      <c r="Q65" s="3">
        <v>6260.0</v>
      </c>
      <c r="R65" s="3">
        <v>6220.0</v>
      </c>
      <c r="S65" s="3">
        <v>6110.0</v>
      </c>
    </row>
    <row r="66">
      <c r="A66" s="3">
        <v>5420.0</v>
      </c>
      <c r="B66" s="3">
        <v>6320.0</v>
      </c>
      <c r="C66" s="3">
        <v>5950.0</v>
      </c>
      <c r="D66" s="3">
        <v>6160.0</v>
      </c>
      <c r="F66" s="3">
        <v>6000.0</v>
      </c>
      <c r="G66" s="3">
        <v>6240.0</v>
      </c>
      <c r="H66" s="3">
        <v>5640.0</v>
      </c>
      <c r="I66" s="3">
        <v>5790.0</v>
      </c>
      <c r="K66" s="3">
        <v>5980.0</v>
      </c>
      <c r="L66" s="3">
        <v>6250.0</v>
      </c>
      <c r="M66" s="3">
        <v>6530.0</v>
      </c>
      <c r="N66" s="3">
        <v>6240.0</v>
      </c>
      <c r="P66" s="3">
        <v>5870.0</v>
      </c>
      <c r="Q66" s="3">
        <v>6420.0</v>
      </c>
      <c r="R66" s="3">
        <v>6110.0</v>
      </c>
      <c r="S66" s="3">
        <v>6220.0</v>
      </c>
    </row>
    <row r="67">
      <c r="A67" s="3">
        <v>6020.0</v>
      </c>
      <c r="B67" s="3">
        <v>6240.0</v>
      </c>
      <c r="C67" s="3">
        <v>5870.0</v>
      </c>
      <c r="D67" s="3">
        <v>5800.0</v>
      </c>
      <c r="F67" s="3">
        <v>5890.0</v>
      </c>
      <c r="G67" s="3">
        <v>6320.0</v>
      </c>
      <c r="H67" s="3">
        <v>5970.0</v>
      </c>
      <c r="I67" s="3">
        <v>6010.0</v>
      </c>
      <c r="K67" s="3">
        <v>5860.0</v>
      </c>
      <c r="L67" s="3">
        <v>6320.0</v>
      </c>
      <c r="M67" s="3">
        <v>6340.0</v>
      </c>
      <c r="N67" s="3">
        <v>6410.0</v>
      </c>
      <c r="P67" s="3">
        <v>6240.0</v>
      </c>
      <c r="Q67" s="3">
        <v>6310.0</v>
      </c>
      <c r="R67" s="3">
        <v>5920.0</v>
      </c>
      <c r="S67" s="3">
        <v>5910.0</v>
      </c>
    </row>
    <row r="68">
      <c r="A68" s="3">
        <v>6220.0</v>
      </c>
      <c r="B68" s="3">
        <v>6150.0</v>
      </c>
      <c r="C68" s="3">
        <v>6050.0</v>
      </c>
      <c r="D68" s="3">
        <v>6110.0</v>
      </c>
      <c r="F68" s="3">
        <v>5960.0</v>
      </c>
      <c r="G68" s="3">
        <v>6250.0</v>
      </c>
      <c r="H68" s="3">
        <v>5440.0</v>
      </c>
      <c r="I68" s="3">
        <v>5630.0</v>
      </c>
      <c r="K68" s="3">
        <v>6120.0</v>
      </c>
      <c r="L68" s="3">
        <v>6410.0</v>
      </c>
      <c r="M68" s="3">
        <v>6450.0</v>
      </c>
      <c r="N68" s="3">
        <v>6240.0</v>
      </c>
      <c r="P68" s="3">
        <v>5860.0</v>
      </c>
      <c r="Q68" s="3">
        <v>6360.0</v>
      </c>
      <c r="R68" s="3">
        <v>6020.0</v>
      </c>
      <c r="S68" s="3">
        <v>6210.0</v>
      </c>
    </row>
    <row r="69">
      <c r="A69" s="3">
        <v>5920.0</v>
      </c>
      <c r="B69" s="3">
        <v>6220.0</v>
      </c>
      <c r="C69" s="3">
        <v>5370.0</v>
      </c>
      <c r="D69" s="3">
        <v>5820.0</v>
      </c>
      <c r="F69" s="3">
        <v>6860.0</v>
      </c>
      <c r="G69" s="3">
        <v>6310.0</v>
      </c>
      <c r="H69" s="3">
        <v>5520.0</v>
      </c>
      <c r="I69" s="3">
        <v>5990.0</v>
      </c>
      <c r="K69" s="3">
        <v>6010.0</v>
      </c>
      <c r="L69" s="3">
        <v>6220.0</v>
      </c>
      <c r="M69" s="3">
        <v>6510.0</v>
      </c>
      <c r="N69" s="3">
        <v>6350.0</v>
      </c>
      <c r="P69" s="3">
        <v>6010.0</v>
      </c>
      <c r="Q69" s="3">
        <v>6210.0</v>
      </c>
      <c r="R69" s="3">
        <v>6110.0</v>
      </c>
      <c r="S69" s="3">
        <v>5960.0</v>
      </c>
    </row>
    <row r="70">
      <c r="A70" s="3">
        <v>5750.0</v>
      </c>
      <c r="B70" s="3">
        <v>6310.0</v>
      </c>
      <c r="C70" s="3">
        <v>5640.0</v>
      </c>
      <c r="D70" s="3">
        <v>5700.0</v>
      </c>
      <c r="F70" s="3">
        <v>6310.0</v>
      </c>
      <c r="G70" s="3">
        <v>6230.0</v>
      </c>
      <c r="H70" s="3">
        <v>5870.0</v>
      </c>
      <c r="I70" s="3">
        <v>5710.0</v>
      </c>
      <c r="K70" s="3">
        <v>5970.0</v>
      </c>
      <c r="L70" s="3">
        <v>6360.0</v>
      </c>
      <c r="M70" s="3">
        <v>6415.0</v>
      </c>
      <c r="N70" s="3">
        <v>6420.0</v>
      </c>
      <c r="P70" s="3">
        <v>5730.0</v>
      </c>
      <c r="Q70" s="3">
        <v>6310.0</v>
      </c>
      <c r="R70" s="3">
        <v>6210.0</v>
      </c>
      <c r="S70" s="3">
        <v>6210.0</v>
      </c>
    </row>
    <row r="71">
      <c r="A71" s="3">
        <v>6120.0</v>
      </c>
      <c r="B71" s="3">
        <v>6220.0</v>
      </c>
      <c r="C71" s="3">
        <v>5980.0</v>
      </c>
      <c r="D71" s="3">
        <v>5680.0</v>
      </c>
      <c r="F71" s="3">
        <v>5800.0</v>
      </c>
      <c r="G71" s="3">
        <v>6320.0</v>
      </c>
      <c r="H71" s="3">
        <v>5890.0</v>
      </c>
      <c r="I71" s="3">
        <v>6030.0</v>
      </c>
      <c r="K71" s="3">
        <v>6440.0</v>
      </c>
      <c r="L71" s="3">
        <v>6420.0</v>
      </c>
      <c r="M71" s="3">
        <v>6340.0</v>
      </c>
      <c r="N71" s="3">
        <v>6310.0</v>
      </c>
      <c r="P71" s="3">
        <v>6090.0</v>
      </c>
      <c r="Q71" s="3">
        <v>6220.0</v>
      </c>
      <c r="R71" s="3">
        <v>6120.0</v>
      </c>
      <c r="S71" s="3">
        <v>6020.0</v>
      </c>
    </row>
    <row r="72">
      <c r="A72" s="3">
        <v>5840.0</v>
      </c>
      <c r="B72" s="3">
        <v>6150.0</v>
      </c>
      <c r="C72" s="3">
        <v>5510.0</v>
      </c>
      <c r="D72" s="3">
        <v>6200.0</v>
      </c>
      <c r="F72" s="3">
        <v>6210.0</v>
      </c>
      <c r="G72" s="3">
        <v>6410.0</v>
      </c>
      <c r="H72" s="3">
        <v>5840.0</v>
      </c>
      <c r="I72" s="3">
        <v>5970.0</v>
      </c>
      <c r="K72" s="3">
        <v>6320.0</v>
      </c>
      <c r="L72" s="3">
        <v>6310.0</v>
      </c>
      <c r="M72" s="3">
        <v>6420.0</v>
      </c>
      <c r="N72" s="3">
        <v>6350.0</v>
      </c>
      <c r="P72" s="3">
        <v>6340.0</v>
      </c>
      <c r="Q72" s="3">
        <v>6310.0</v>
      </c>
      <c r="R72" s="3">
        <v>6050.0</v>
      </c>
      <c r="S72" s="3">
        <v>6010.0</v>
      </c>
    </row>
    <row r="73">
      <c r="A73" s="3">
        <v>5720.0</v>
      </c>
      <c r="B73" s="3">
        <v>6420.0</v>
      </c>
      <c r="C73" s="3">
        <v>5820.0</v>
      </c>
      <c r="D73" s="3">
        <v>5790.0</v>
      </c>
      <c r="F73" s="3">
        <v>5990.0</v>
      </c>
      <c r="G73" s="3">
        <v>6220.0</v>
      </c>
      <c r="H73" s="3">
        <v>5710.0</v>
      </c>
      <c r="I73" s="3">
        <v>5830.0</v>
      </c>
      <c r="K73" s="3">
        <v>6240.0</v>
      </c>
      <c r="L73" s="3">
        <v>6220.0</v>
      </c>
      <c r="M73" s="3">
        <v>6530.0</v>
      </c>
      <c r="N73" s="3">
        <v>6260.0</v>
      </c>
      <c r="P73" s="3">
        <v>5930.0</v>
      </c>
      <c r="Q73" s="3">
        <v>6250.0</v>
      </c>
      <c r="R73" s="3">
        <v>6210.0</v>
      </c>
      <c r="S73" s="3">
        <v>6110.0</v>
      </c>
    </row>
    <row r="74">
      <c r="A74" s="3">
        <v>5910.0</v>
      </c>
      <c r="B74" s="3">
        <v>6240.0</v>
      </c>
      <c r="C74" s="3">
        <v>5930.0</v>
      </c>
      <c r="D74" s="3">
        <v>5640.0</v>
      </c>
      <c r="F74" s="3">
        <v>5780.0</v>
      </c>
      <c r="G74" s="3">
        <v>6420.0</v>
      </c>
      <c r="H74" s="3">
        <v>5540.0</v>
      </c>
      <c r="I74" s="3">
        <v>5930.0</v>
      </c>
      <c r="K74" s="3">
        <v>5990.0</v>
      </c>
      <c r="L74" s="3">
        <v>6360.0</v>
      </c>
      <c r="M74" s="3">
        <v>6325.0</v>
      </c>
      <c r="N74" s="3">
        <v>6330.0</v>
      </c>
      <c r="P74" s="3">
        <v>6250.0</v>
      </c>
      <c r="Q74" s="3">
        <v>6320.0</v>
      </c>
      <c r="R74" s="3">
        <v>5820.0</v>
      </c>
      <c r="S74" s="3">
        <v>6020.0</v>
      </c>
    </row>
    <row r="75">
      <c r="A75" s="3">
        <v>6100.0</v>
      </c>
      <c r="B75" s="3">
        <v>6320.0</v>
      </c>
      <c r="C75" s="3">
        <v>5960.0</v>
      </c>
      <c r="D75" s="3">
        <v>5580.0</v>
      </c>
      <c r="F75" s="3">
        <v>6000.0</v>
      </c>
      <c r="G75" s="3">
        <v>6340.0</v>
      </c>
      <c r="H75" s="3">
        <v>7020.0</v>
      </c>
      <c r="I75" s="3">
        <v>5920.0</v>
      </c>
      <c r="K75" s="3">
        <v>6530.0</v>
      </c>
      <c r="L75" s="3">
        <v>6420.0</v>
      </c>
      <c r="M75" s="3">
        <v>6430.0</v>
      </c>
      <c r="N75" s="3">
        <v>6230.0</v>
      </c>
      <c r="P75" s="3">
        <v>5970.0</v>
      </c>
      <c r="Q75" s="3">
        <v>6250.0</v>
      </c>
      <c r="R75" s="3">
        <v>5710.0</v>
      </c>
      <c r="S75" s="3">
        <v>5910.0</v>
      </c>
    </row>
    <row r="76">
      <c r="A76" s="3">
        <v>5940.0</v>
      </c>
      <c r="B76" s="3">
        <v>6240.0</v>
      </c>
      <c r="C76" s="3">
        <v>5590.0</v>
      </c>
      <c r="D76" s="3">
        <v>6240.0</v>
      </c>
      <c r="F76" s="3">
        <v>5800.0</v>
      </c>
      <c r="G76" s="3">
        <v>6510.0</v>
      </c>
      <c r="H76" s="3">
        <v>6120.0</v>
      </c>
      <c r="I76" s="3">
        <v>6430.0</v>
      </c>
      <c r="K76" s="3">
        <v>5860.0</v>
      </c>
      <c r="L76" s="3">
        <v>6310.0</v>
      </c>
      <c r="M76" s="3">
        <v>6350.0</v>
      </c>
      <c r="N76" s="3">
        <v>6420.0</v>
      </c>
      <c r="P76" s="3">
        <v>6180.0</v>
      </c>
      <c r="Q76" s="3">
        <v>6320.0</v>
      </c>
      <c r="R76" s="3">
        <v>6220.0</v>
      </c>
      <c r="S76" s="3">
        <v>5860.0</v>
      </c>
    </row>
    <row r="77">
      <c r="A77" s="3">
        <v>6240.0</v>
      </c>
      <c r="B77" s="3">
        <v>6520.0</v>
      </c>
      <c r="C77" s="3">
        <v>6110.0</v>
      </c>
      <c r="D77" s="3">
        <v>6440.0</v>
      </c>
      <c r="F77" s="3">
        <v>5970.0</v>
      </c>
      <c r="G77" s="3">
        <v>6240.0</v>
      </c>
      <c r="H77" s="3">
        <v>5780.0</v>
      </c>
      <c r="I77" s="3">
        <v>6170.0</v>
      </c>
      <c r="K77" s="3">
        <v>6420.0</v>
      </c>
      <c r="L77" s="3">
        <v>6250.0</v>
      </c>
      <c r="M77" s="3">
        <v>6510.0</v>
      </c>
      <c r="N77" s="3">
        <v>6170.0</v>
      </c>
      <c r="P77" s="3">
        <v>6000.0</v>
      </c>
      <c r="Q77" s="3">
        <v>6410.0</v>
      </c>
      <c r="R77" s="3">
        <v>6110.0</v>
      </c>
      <c r="S77" s="3">
        <v>6020.0</v>
      </c>
    </row>
    <row r="78">
      <c r="A78" s="4">
        <f t="shared" ref="A78:D78" si="13">round((SUM(A63:A77)/60),2)</f>
        <v>1474.17</v>
      </c>
      <c r="B78" s="4">
        <f t="shared" si="13"/>
        <v>1568.83</v>
      </c>
      <c r="C78" s="4">
        <f t="shared" si="13"/>
        <v>1472.33</v>
      </c>
      <c r="D78" s="4">
        <f t="shared" si="13"/>
        <v>1473</v>
      </c>
      <c r="F78" s="4">
        <f t="shared" ref="F78:I78" si="14">round((SUM(F63:F77)/60),2)</f>
        <v>1504.5</v>
      </c>
      <c r="G78" s="4">
        <f t="shared" si="14"/>
        <v>1579.83</v>
      </c>
      <c r="H78" s="4">
        <f t="shared" si="14"/>
        <v>1484.17</v>
      </c>
      <c r="I78" s="4">
        <f t="shared" si="14"/>
        <v>1473.5</v>
      </c>
      <c r="K78" s="4">
        <f t="shared" ref="K78:N78" si="15">round((SUM(K63:K77)/60),2)</f>
        <v>1521.5</v>
      </c>
      <c r="L78" s="4">
        <f t="shared" si="15"/>
        <v>1582.5</v>
      </c>
      <c r="M78" s="4">
        <f t="shared" si="15"/>
        <v>1602.25</v>
      </c>
      <c r="N78" s="4">
        <f t="shared" si="15"/>
        <v>1580.33</v>
      </c>
      <c r="P78" s="4">
        <f t="shared" ref="P78:S78" si="16">round((SUM(P63:P77)/60),2)</f>
        <v>1509</v>
      </c>
      <c r="Q78" s="4">
        <f t="shared" si="16"/>
        <v>1575.33</v>
      </c>
      <c r="R78" s="4">
        <f t="shared" si="16"/>
        <v>1521.17</v>
      </c>
      <c r="S78" s="4">
        <f t="shared" si="16"/>
        <v>1506.83</v>
      </c>
    </row>
    <row r="81">
      <c r="A81" s="1" t="s">
        <v>20</v>
      </c>
      <c r="K81" s="1" t="s">
        <v>21</v>
      </c>
    </row>
    <row r="82">
      <c r="A82" s="2" t="s">
        <v>4</v>
      </c>
      <c r="B82" s="2" t="s">
        <v>5</v>
      </c>
      <c r="C82" s="2" t="s">
        <v>6</v>
      </c>
      <c r="D82" s="2" t="s">
        <v>7</v>
      </c>
      <c r="K82" s="2" t="s">
        <v>4</v>
      </c>
      <c r="L82" s="2" t="s">
        <v>5</v>
      </c>
      <c r="M82" s="2" t="s">
        <v>6</v>
      </c>
      <c r="N82" s="2" t="s">
        <v>7</v>
      </c>
    </row>
    <row r="83">
      <c r="A83" s="3">
        <v>5860.0</v>
      </c>
      <c r="B83" s="3">
        <v>6240.0</v>
      </c>
      <c r="C83" s="3">
        <v>5490.0</v>
      </c>
      <c r="D83" s="3">
        <v>6220.0</v>
      </c>
      <c r="K83" s="3">
        <v>6040.0</v>
      </c>
      <c r="L83" s="3">
        <v>6230.0</v>
      </c>
      <c r="M83" s="3">
        <v>6010.0</v>
      </c>
      <c r="N83" s="3">
        <v>5740.0</v>
      </c>
    </row>
    <row r="84">
      <c r="A84" s="3">
        <v>5980.0</v>
      </c>
      <c r="B84" s="3">
        <v>6120.0</v>
      </c>
      <c r="C84" s="3">
        <v>5740.0</v>
      </c>
      <c r="D84" s="3">
        <v>6280.0</v>
      </c>
      <c r="K84" s="3">
        <v>5890.0</v>
      </c>
      <c r="L84" s="3">
        <v>6480.0</v>
      </c>
      <c r="M84" s="3">
        <v>6120.0</v>
      </c>
      <c r="N84" s="3">
        <v>6060.0</v>
      </c>
    </row>
    <row r="85">
      <c r="A85" s="3">
        <v>5890.0</v>
      </c>
      <c r="B85" s="3">
        <v>6320.0</v>
      </c>
      <c r="C85" s="3">
        <v>5860.0</v>
      </c>
      <c r="D85" s="3">
        <v>6450.0</v>
      </c>
      <c r="K85" s="3">
        <v>6030.0</v>
      </c>
      <c r="L85" s="3">
        <v>6320.0</v>
      </c>
      <c r="M85" s="3">
        <v>5960.0</v>
      </c>
      <c r="N85" s="3">
        <v>5740.0</v>
      </c>
    </row>
    <row r="86">
      <c r="A86" s="3">
        <v>6120.0</v>
      </c>
      <c r="B86" s="3">
        <v>6240.0</v>
      </c>
      <c r="C86" s="3">
        <v>6240.0</v>
      </c>
      <c r="D86" s="3">
        <v>6720.0</v>
      </c>
      <c r="K86" s="3">
        <v>6040.0</v>
      </c>
      <c r="L86" s="3">
        <v>6410.0</v>
      </c>
      <c r="M86" s="3">
        <v>6050.0</v>
      </c>
      <c r="N86" s="3">
        <v>6050.0</v>
      </c>
    </row>
    <row r="87">
      <c r="A87" s="3">
        <v>6410.0</v>
      </c>
      <c r="B87" s="3">
        <v>6110.0</v>
      </c>
      <c r="C87" s="3">
        <v>5950.0</v>
      </c>
      <c r="D87" s="3">
        <v>6820.0</v>
      </c>
      <c r="K87" s="3">
        <v>5720.0</v>
      </c>
      <c r="L87" s="3">
        <v>6250.0</v>
      </c>
      <c r="M87" s="3">
        <v>6220.0</v>
      </c>
      <c r="N87" s="3">
        <v>5750.0</v>
      </c>
    </row>
    <row r="88">
      <c r="A88" s="3">
        <v>6290.0</v>
      </c>
      <c r="B88" s="3">
        <v>6210.0</v>
      </c>
      <c r="C88" s="3">
        <v>5980.0</v>
      </c>
      <c r="D88" s="3">
        <v>5940.0</v>
      </c>
      <c r="K88" s="3">
        <v>5980.0</v>
      </c>
      <c r="L88" s="3">
        <v>6410.0</v>
      </c>
      <c r="M88" s="3">
        <v>6190.0</v>
      </c>
      <c r="N88" s="3">
        <v>6060.0</v>
      </c>
    </row>
    <row r="89">
      <c r="A89" s="3">
        <v>5790.0</v>
      </c>
      <c r="B89" s="3">
        <v>6110.0</v>
      </c>
      <c r="C89" s="3">
        <v>6530.0</v>
      </c>
      <c r="D89" s="3">
        <v>6020.0</v>
      </c>
      <c r="K89" s="3">
        <v>5870.0</v>
      </c>
      <c r="L89" s="3">
        <v>6330.0</v>
      </c>
      <c r="M89" s="3">
        <v>6210.0</v>
      </c>
      <c r="N89" s="3">
        <v>6020.0</v>
      </c>
    </row>
    <row r="90">
      <c r="A90" s="3">
        <v>5990.0</v>
      </c>
      <c r="B90" s="3">
        <v>6010.0</v>
      </c>
      <c r="C90" s="3">
        <v>5500.0</v>
      </c>
      <c r="D90" s="3">
        <v>6340.0</v>
      </c>
      <c r="K90" s="3">
        <v>6230.0</v>
      </c>
      <c r="L90" s="3">
        <v>6220.0</v>
      </c>
      <c r="M90" s="3">
        <v>6120.0</v>
      </c>
      <c r="N90" s="3">
        <v>6040.0</v>
      </c>
    </row>
    <row r="91">
      <c r="A91" s="3">
        <v>5970.0</v>
      </c>
      <c r="B91" s="3">
        <v>6220.0</v>
      </c>
      <c r="C91" s="3">
        <v>5650.0</v>
      </c>
      <c r="D91" s="3">
        <v>6240.0</v>
      </c>
      <c r="K91" s="3">
        <v>6050.0</v>
      </c>
      <c r="L91" s="3">
        <v>6410.0</v>
      </c>
      <c r="M91" s="3">
        <v>5960.0</v>
      </c>
      <c r="N91" s="3">
        <v>5840.0</v>
      </c>
    </row>
    <row r="92">
      <c r="A92" s="3">
        <v>5890.0</v>
      </c>
      <c r="B92" s="3">
        <v>6110.0</v>
      </c>
      <c r="C92" s="3">
        <v>6130.0</v>
      </c>
      <c r="D92" s="3">
        <v>6670.0</v>
      </c>
      <c r="K92" s="3">
        <v>5810.0</v>
      </c>
      <c r="L92" s="3">
        <v>6510.0</v>
      </c>
      <c r="M92" s="3">
        <v>6320.0</v>
      </c>
      <c r="N92" s="3">
        <v>5930.0</v>
      </c>
    </row>
    <row r="93">
      <c r="A93" s="3">
        <v>5940.0</v>
      </c>
      <c r="B93" s="3">
        <v>6220.0</v>
      </c>
      <c r="C93" s="3">
        <v>6020.0</v>
      </c>
      <c r="D93" s="3">
        <v>6080.0</v>
      </c>
      <c r="K93" s="3">
        <v>5900.0</v>
      </c>
      <c r="L93" s="3">
        <v>6320.0</v>
      </c>
      <c r="M93" s="3">
        <v>6010.0</v>
      </c>
      <c r="N93" s="3">
        <v>6030.0</v>
      </c>
    </row>
    <row r="94">
      <c r="A94" s="3">
        <v>6310.0</v>
      </c>
      <c r="B94" s="3">
        <v>6310.0</v>
      </c>
      <c r="C94" s="3">
        <v>6030.0</v>
      </c>
      <c r="D94" s="3">
        <v>6220.0</v>
      </c>
      <c r="K94" s="3">
        <v>6020.0</v>
      </c>
      <c r="L94" s="3">
        <v>6250.0</v>
      </c>
      <c r="M94" s="3">
        <v>6110.0</v>
      </c>
      <c r="N94" s="3">
        <v>6010.0</v>
      </c>
    </row>
    <row r="95">
      <c r="A95" s="3">
        <v>5860.0</v>
      </c>
      <c r="B95" s="3">
        <v>6420.0</v>
      </c>
      <c r="C95" s="3">
        <v>5920.0</v>
      </c>
      <c r="D95" s="3">
        <v>6510.0</v>
      </c>
      <c r="K95" s="3">
        <v>5590.0</v>
      </c>
      <c r="L95" s="3">
        <v>6320.0</v>
      </c>
      <c r="M95" s="3">
        <v>6210.0</v>
      </c>
      <c r="N95" s="3">
        <v>6060.0</v>
      </c>
    </row>
    <row r="96">
      <c r="A96" s="3">
        <v>6420.0</v>
      </c>
      <c r="B96" s="3">
        <v>6210.0</v>
      </c>
      <c r="C96" s="3">
        <v>7010.0</v>
      </c>
      <c r="D96" s="3">
        <v>6350.0</v>
      </c>
      <c r="K96" s="3">
        <v>6230.0</v>
      </c>
      <c r="L96" s="3">
        <v>6250.0</v>
      </c>
      <c r="M96" s="3">
        <v>6490.0</v>
      </c>
      <c r="N96" s="3">
        <v>5850.0</v>
      </c>
    </row>
    <row r="97">
      <c r="A97" s="3">
        <v>5860.0</v>
      </c>
      <c r="B97" s="3">
        <v>6420.0</v>
      </c>
      <c r="C97" s="3">
        <v>5960.0</v>
      </c>
      <c r="D97" s="3">
        <v>6840.0</v>
      </c>
      <c r="K97" s="3">
        <v>5960.0</v>
      </c>
      <c r="L97" s="3">
        <v>6410.0</v>
      </c>
      <c r="M97" s="3">
        <v>6010.0</v>
      </c>
      <c r="N97" s="3">
        <v>6040.0</v>
      </c>
    </row>
    <row r="98">
      <c r="A98" s="4">
        <f t="shared" ref="A98:D98" si="17">round((SUM(A83:A97)/60),2)</f>
        <v>1509.67</v>
      </c>
      <c r="B98" s="4">
        <f t="shared" si="17"/>
        <v>1554.5</v>
      </c>
      <c r="C98" s="4">
        <f t="shared" si="17"/>
        <v>1500.17</v>
      </c>
      <c r="D98" s="4">
        <f t="shared" si="17"/>
        <v>1595</v>
      </c>
      <c r="K98" s="4">
        <f t="shared" ref="K98:N98" si="18">round((SUM(K83:K97)/60),2)</f>
        <v>1489.33</v>
      </c>
      <c r="L98" s="4">
        <f t="shared" si="18"/>
        <v>1585.33</v>
      </c>
      <c r="M98" s="4">
        <f t="shared" si="18"/>
        <v>1533.17</v>
      </c>
      <c r="N98" s="4">
        <f t="shared" si="18"/>
        <v>1487</v>
      </c>
    </row>
    <row r="101">
      <c r="A101" s="1" t="s">
        <v>22</v>
      </c>
      <c r="F101" s="1" t="s">
        <v>23</v>
      </c>
      <c r="K101" s="1" t="s">
        <v>24</v>
      </c>
    </row>
    <row r="102">
      <c r="A102" s="2" t="s">
        <v>4</v>
      </c>
      <c r="B102" s="2" t="s">
        <v>5</v>
      </c>
      <c r="C102" s="2" t="s">
        <v>6</v>
      </c>
      <c r="D102" s="2" t="s">
        <v>7</v>
      </c>
      <c r="F102" s="2" t="s">
        <v>4</v>
      </c>
      <c r="G102" s="2" t="s">
        <v>5</v>
      </c>
      <c r="H102" s="2" t="s">
        <v>6</v>
      </c>
      <c r="I102" s="2" t="s">
        <v>7</v>
      </c>
      <c r="K102" s="2" t="s">
        <v>4</v>
      </c>
      <c r="L102" s="2" t="s">
        <v>5</v>
      </c>
      <c r="M102" s="2" t="s">
        <v>6</v>
      </c>
      <c r="N102" s="2" t="s">
        <v>7</v>
      </c>
    </row>
    <row r="103">
      <c r="A103" s="3">
        <v>6170.0</v>
      </c>
      <c r="B103" s="3">
        <v>6210.0</v>
      </c>
      <c r="C103" s="3">
        <v>6410.0</v>
      </c>
      <c r="D103" s="3">
        <v>6370.0</v>
      </c>
      <c r="F103" s="3">
        <v>6330.0</v>
      </c>
      <c r="G103" s="3">
        <v>6210.0</v>
      </c>
      <c r="H103" s="3">
        <v>5800.0</v>
      </c>
      <c r="I103" s="3">
        <v>6600.0</v>
      </c>
      <c r="K103" s="3">
        <v>6160.0</v>
      </c>
      <c r="L103" s="3">
        <v>6210.0</v>
      </c>
      <c r="M103" s="3">
        <v>6010.0</v>
      </c>
      <c r="N103" s="3">
        <v>6450.0</v>
      </c>
    </row>
    <row r="104">
      <c r="A104" s="3">
        <v>6310.0</v>
      </c>
      <c r="B104" s="3">
        <v>6120.0</v>
      </c>
      <c r="C104" s="3">
        <v>6210.0</v>
      </c>
      <c r="D104" s="3">
        <v>5890.0</v>
      </c>
      <c r="F104" s="3">
        <v>6650.0</v>
      </c>
      <c r="G104" s="3">
        <v>6010.0</v>
      </c>
      <c r="H104" s="3">
        <v>6350.0</v>
      </c>
      <c r="I104" s="3">
        <v>6820.0</v>
      </c>
      <c r="K104" s="3">
        <v>6210.0</v>
      </c>
      <c r="L104" s="3">
        <v>6620.0</v>
      </c>
      <c r="M104" s="3">
        <v>6020.0</v>
      </c>
      <c r="N104" s="3">
        <v>5940.0</v>
      </c>
    </row>
    <row r="105">
      <c r="A105" s="3">
        <v>5740.0</v>
      </c>
      <c r="B105" s="3">
        <v>6310.0</v>
      </c>
      <c r="C105" s="3">
        <v>6120.0</v>
      </c>
      <c r="D105" s="3">
        <v>6330.0</v>
      </c>
      <c r="F105" s="3">
        <v>5950.0</v>
      </c>
      <c r="G105" s="3">
        <v>6010.0</v>
      </c>
      <c r="H105" s="3">
        <v>6010.0</v>
      </c>
      <c r="I105" s="3">
        <v>5900.0</v>
      </c>
      <c r="K105" s="3">
        <v>5310.0</v>
      </c>
      <c r="L105" s="3">
        <v>6510.0</v>
      </c>
      <c r="M105" s="3">
        <v>5800.0</v>
      </c>
      <c r="N105" s="3">
        <v>6450.0</v>
      </c>
    </row>
    <row r="106">
      <c r="A106" s="3">
        <v>6020.0</v>
      </c>
      <c r="B106" s="3">
        <v>6240.0</v>
      </c>
      <c r="C106" s="3">
        <v>6210.0</v>
      </c>
      <c r="D106" s="3">
        <v>6140.0</v>
      </c>
      <c r="F106" s="3">
        <v>5970.0</v>
      </c>
      <c r="G106" s="3">
        <v>6220.0</v>
      </c>
      <c r="H106" s="3">
        <v>5980.0</v>
      </c>
      <c r="I106" s="3">
        <v>6320.0</v>
      </c>
      <c r="K106" s="3">
        <v>6120.0</v>
      </c>
      <c r="L106" s="3">
        <v>6430.0</v>
      </c>
      <c r="M106" s="3">
        <v>6010.0</v>
      </c>
      <c r="N106" s="3">
        <v>6560.0</v>
      </c>
    </row>
    <row r="107">
      <c r="A107" s="3">
        <v>6420.0</v>
      </c>
      <c r="B107" s="3">
        <v>6320.0</v>
      </c>
      <c r="C107" s="3">
        <v>6220.0</v>
      </c>
      <c r="D107" s="3">
        <v>6250.0</v>
      </c>
      <c r="F107" s="3">
        <v>6120.0</v>
      </c>
      <c r="G107" s="3">
        <v>6110.0</v>
      </c>
      <c r="H107" s="3">
        <v>5950.0</v>
      </c>
      <c r="I107" s="3">
        <v>5960.0</v>
      </c>
      <c r="K107" s="3">
        <v>5840.0</v>
      </c>
      <c r="L107" s="3">
        <v>6350.0</v>
      </c>
      <c r="M107" s="3">
        <v>6030.0</v>
      </c>
      <c r="N107" s="3">
        <v>6030.0</v>
      </c>
    </row>
    <row r="108">
      <c r="A108" s="3">
        <v>6230.0</v>
      </c>
      <c r="B108" s="3">
        <v>6410.0</v>
      </c>
      <c r="C108" s="3">
        <v>5810.0</v>
      </c>
      <c r="D108" s="3">
        <v>5980.0</v>
      </c>
      <c r="F108" s="3">
        <v>6150.0</v>
      </c>
      <c r="G108" s="3">
        <v>6320.0</v>
      </c>
      <c r="H108" s="3">
        <v>5910.0</v>
      </c>
      <c r="I108" s="3">
        <v>6340.0</v>
      </c>
      <c r="K108" s="3">
        <v>6240.0</v>
      </c>
      <c r="L108" s="3">
        <v>6420.0</v>
      </c>
      <c r="M108" s="3">
        <v>6010.0</v>
      </c>
      <c r="N108" s="3">
        <v>6630.0</v>
      </c>
    </row>
    <row r="109">
      <c r="A109" s="3">
        <v>5970.0</v>
      </c>
      <c r="B109" s="3">
        <v>6210.0</v>
      </c>
      <c r="C109" s="3">
        <v>5910.0</v>
      </c>
      <c r="D109" s="3">
        <v>6090.0</v>
      </c>
      <c r="F109" s="3">
        <v>6210.0</v>
      </c>
      <c r="G109" s="3">
        <v>6260.0</v>
      </c>
      <c r="H109" s="3">
        <v>6190.0</v>
      </c>
      <c r="I109" s="3">
        <v>6950.0</v>
      </c>
      <c r="K109" s="3">
        <v>6230.0</v>
      </c>
      <c r="L109" s="3">
        <v>6510.0</v>
      </c>
      <c r="M109" s="3">
        <v>5890.0</v>
      </c>
      <c r="N109" s="3">
        <v>6570.0</v>
      </c>
    </row>
    <row r="110">
      <c r="A110" s="3">
        <v>6120.0</v>
      </c>
      <c r="B110" s="3">
        <v>6360.0</v>
      </c>
      <c r="C110" s="3">
        <v>6000.0</v>
      </c>
      <c r="D110" s="3">
        <v>5960.0</v>
      </c>
      <c r="F110" s="3">
        <v>5920.0</v>
      </c>
      <c r="G110" s="3">
        <v>6420.0</v>
      </c>
      <c r="H110" s="3">
        <v>6060.0</v>
      </c>
      <c r="I110" s="3">
        <v>6280.0</v>
      </c>
      <c r="K110" s="3">
        <v>6210.0</v>
      </c>
      <c r="L110" s="3">
        <v>6420.0</v>
      </c>
      <c r="M110" s="3">
        <v>6020.0</v>
      </c>
      <c r="N110" s="3">
        <v>646.0</v>
      </c>
    </row>
    <row r="111">
      <c r="A111" s="3">
        <v>5890.0</v>
      </c>
      <c r="B111" s="3">
        <v>6220.0</v>
      </c>
      <c r="C111" s="3">
        <v>5720.0</v>
      </c>
      <c r="D111" s="3">
        <v>7120.0</v>
      </c>
      <c r="F111" s="3">
        <v>6110.0</v>
      </c>
      <c r="G111" s="3">
        <v>6260.0</v>
      </c>
      <c r="H111" s="3">
        <v>6120.0</v>
      </c>
      <c r="I111" s="3">
        <v>5990.0</v>
      </c>
      <c r="K111" s="3">
        <v>5960.0</v>
      </c>
      <c r="L111" s="3">
        <v>6510.0</v>
      </c>
      <c r="M111" s="3">
        <v>6040.0</v>
      </c>
      <c r="N111" s="3">
        <v>6455.0</v>
      </c>
    </row>
    <row r="112">
      <c r="A112" s="3">
        <v>6000.0</v>
      </c>
      <c r="B112" s="3">
        <v>6310.0</v>
      </c>
      <c r="C112" s="3">
        <v>5810.0</v>
      </c>
      <c r="D112" s="3">
        <v>6630.0</v>
      </c>
      <c r="F112" s="3">
        <v>6230.0</v>
      </c>
      <c r="G112" s="3">
        <v>6120.0</v>
      </c>
      <c r="H112" s="3">
        <v>5650.0</v>
      </c>
      <c r="I112" s="3">
        <v>5960.0</v>
      </c>
      <c r="K112" s="3">
        <v>5910.0</v>
      </c>
      <c r="L112" s="3">
        <v>6620.0</v>
      </c>
      <c r="M112" s="3">
        <v>5710.0</v>
      </c>
      <c r="N112" s="3">
        <v>6170.0</v>
      </c>
    </row>
    <row r="113">
      <c r="A113" s="3">
        <v>5790.0</v>
      </c>
      <c r="B113" s="3">
        <v>6410.0</v>
      </c>
      <c r="C113" s="3">
        <v>5720.0</v>
      </c>
      <c r="D113" s="3">
        <v>6320.0</v>
      </c>
      <c r="F113" s="3">
        <v>5870.0</v>
      </c>
      <c r="G113" s="3">
        <v>6460.0</v>
      </c>
      <c r="H113" s="3">
        <v>6310.0</v>
      </c>
      <c r="I113" s="3">
        <v>6050.0</v>
      </c>
      <c r="K113" s="3">
        <v>6020.0</v>
      </c>
      <c r="L113" s="3">
        <v>6360.0</v>
      </c>
      <c r="M113" s="3">
        <v>6020.0</v>
      </c>
      <c r="N113" s="3">
        <v>6390.0</v>
      </c>
    </row>
    <row r="114">
      <c r="A114" s="3">
        <v>6310.0</v>
      </c>
      <c r="B114" s="3">
        <v>6410.0</v>
      </c>
      <c r="C114" s="3">
        <v>6110.0</v>
      </c>
      <c r="D114" s="3">
        <v>6340.0</v>
      </c>
      <c r="F114" s="3">
        <v>6210.0</v>
      </c>
      <c r="G114" s="3">
        <v>6320.0</v>
      </c>
      <c r="H114" s="3">
        <v>5810.0</v>
      </c>
      <c r="I114" s="3">
        <v>6280.0</v>
      </c>
      <c r="K114" s="3">
        <v>6510.0</v>
      </c>
      <c r="L114" s="3">
        <v>6450.0</v>
      </c>
      <c r="M114" s="3">
        <v>6060.0</v>
      </c>
      <c r="N114" s="3">
        <v>6490.0</v>
      </c>
    </row>
    <row r="115">
      <c r="A115" s="3">
        <v>6610.0</v>
      </c>
      <c r="B115" s="3">
        <v>6320.0</v>
      </c>
      <c r="C115" s="3">
        <v>5920.0</v>
      </c>
      <c r="D115" s="3">
        <v>6460.0</v>
      </c>
      <c r="F115" s="3">
        <v>5910.0</v>
      </c>
      <c r="G115" s="3">
        <v>6240.0</v>
      </c>
      <c r="H115" s="3">
        <v>5610.0</v>
      </c>
      <c r="I115" s="3">
        <v>6120.0</v>
      </c>
      <c r="K115" s="3">
        <v>6990.0</v>
      </c>
      <c r="L115" s="3">
        <v>6520.0</v>
      </c>
      <c r="M115" s="3">
        <v>5050.0</v>
      </c>
      <c r="N115" s="3">
        <v>6570.0</v>
      </c>
    </row>
    <row r="116">
      <c r="A116" s="3">
        <v>6390.0</v>
      </c>
      <c r="B116" s="3">
        <v>6240.0</v>
      </c>
      <c r="C116" s="3">
        <v>6000.0</v>
      </c>
      <c r="D116" s="3">
        <v>6050.0</v>
      </c>
      <c r="F116" s="3">
        <v>6410.0</v>
      </c>
      <c r="G116" s="3">
        <v>6330.0</v>
      </c>
      <c r="H116" s="3">
        <v>6560.0</v>
      </c>
      <c r="I116" s="3">
        <v>5920.0</v>
      </c>
      <c r="K116" s="3">
        <v>5590.0</v>
      </c>
      <c r="L116" s="3">
        <v>6710.0</v>
      </c>
      <c r="M116" s="3">
        <v>6070.0</v>
      </c>
      <c r="N116" s="3">
        <v>6010.0</v>
      </c>
    </row>
    <row r="117">
      <c r="A117" s="3">
        <v>5970.0</v>
      </c>
      <c r="B117" s="3">
        <v>6420.0</v>
      </c>
      <c r="C117" s="3">
        <v>5720.0</v>
      </c>
      <c r="D117" s="3">
        <v>5950.0</v>
      </c>
      <c r="F117" s="3">
        <v>5890.0</v>
      </c>
      <c r="G117" s="3">
        <v>6220.0</v>
      </c>
      <c r="H117" s="3">
        <v>6030.0</v>
      </c>
      <c r="I117" s="3">
        <v>6450.0</v>
      </c>
      <c r="K117" s="3">
        <v>5660.0</v>
      </c>
      <c r="L117" s="3">
        <v>6420.0</v>
      </c>
      <c r="M117" s="3">
        <v>6030.0</v>
      </c>
      <c r="N117" s="3">
        <v>6360.0</v>
      </c>
    </row>
    <row r="118">
      <c r="A118" s="4">
        <f t="shared" ref="A118:D118" si="19">round((SUM(A103:A117)/60),2)</f>
        <v>1532.33</v>
      </c>
      <c r="B118" s="4">
        <f t="shared" si="19"/>
        <v>1575.17</v>
      </c>
      <c r="C118" s="4">
        <f t="shared" si="19"/>
        <v>1498.17</v>
      </c>
      <c r="D118" s="4">
        <f t="shared" si="19"/>
        <v>1564.67</v>
      </c>
      <c r="F118" s="4">
        <f t="shared" ref="F118:I118" si="20">round((SUM(F103:F117)/60),2)</f>
        <v>1532.17</v>
      </c>
      <c r="G118" s="4">
        <f t="shared" si="20"/>
        <v>1558.5</v>
      </c>
      <c r="H118" s="4">
        <f t="shared" si="20"/>
        <v>1505.67</v>
      </c>
      <c r="I118" s="4">
        <f t="shared" si="20"/>
        <v>1565.67</v>
      </c>
      <c r="K118" s="4">
        <f t="shared" ref="K118:N118" si="21">round((SUM(K103:K117)/60),2)</f>
        <v>1516</v>
      </c>
      <c r="L118" s="4">
        <f t="shared" si="21"/>
        <v>1617.67</v>
      </c>
      <c r="M118" s="4">
        <f t="shared" si="21"/>
        <v>1479.5</v>
      </c>
      <c r="N118" s="4">
        <f t="shared" si="21"/>
        <v>1495.35</v>
      </c>
    </row>
    <row r="121">
      <c r="A121" s="1" t="s">
        <v>25</v>
      </c>
      <c r="F121" s="1" t="s">
        <v>26</v>
      </c>
      <c r="K121" s="1" t="s">
        <v>27</v>
      </c>
    </row>
    <row r="122">
      <c r="A122" s="2" t="s">
        <v>28</v>
      </c>
      <c r="B122" s="2" t="s">
        <v>5</v>
      </c>
      <c r="C122" s="2" t="s">
        <v>6</v>
      </c>
      <c r="D122" s="2" t="s">
        <v>7</v>
      </c>
      <c r="F122" s="2" t="s">
        <v>28</v>
      </c>
      <c r="G122" s="2" t="s">
        <v>5</v>
      </c>
      <c r="H122" s="2" t="s">
        <v>6</v>
      </c>
      <c r="I122" s="2" t="s">
        <v>7</v>
      </c>
      <c r="K122" s="2" t="s">
        <v>28</v>
      </c>
      <c r="L122" s="2" t="s">
        <v>5</v>
      </c>
      <c r="M122" s="2" t="s">
        <v>6</v>
      </c>
      <c r="N122" s="2" t="s">
        <v>7</v>
      </c>
    </row>
    <row r="123">
      <c r="A123" s="3">
        <v>6240.0</v>
      </c>
      <c r="B123" s="3">
        <v>6360.0</v>
      </c>
      <c r="C123" s="3">
        <v>6000.0</v>
      </c>
      <c r="D123" s="3">
        <v>6070.0</v>
      </c>
      <c r="F123" s="3">
        <v>6640.0</v>
      </c>
      <c r="G123" s="3">
        <v>6120.0</v>
      </c>
      <c r="H123" s="3">
        <v>6930.0</v>
      </c>
      <c r="I123" s="3">
        <v>6000.0</v>
      </c>
      <c r="K123" s="3">
        <v>6180.0</v>
      </c>
      <c r="L123" s="3">
        <v>6360.0</v>
      </c>
      <c r="M123" s="3">
        <v>6150.0</v>
      </c>
      <c r="N123" s="3">
        <v>5930.0</v>
      </c>
    </row>
    <row r="124">
      <c r="A124" s="3">
        <v>6140.0</v>
      </c>
      <c r="B124" s="3">
        <v>6320.0</v>
      </c>
      <c r="C124" s="3">
        <v>6090.0</v>
      </c>
      <c r="D124" s="3">
        <v>5870.0</v>
      </c>
      <c r="F124" s="3">
        <v>6020.0</v>
      </c>
      <c r="G124" s="3">
        <v>6510.0</v>
      </c>
      <c r="H124" s="3">
        <v>5680.0</v>
      </c>
      <c r="I124" s="3">
        <v>6750.0</v>
      </c>
      <c r="K124" s="3">
        <v>5990.0</v>
      </c>
      <c r="L124" s="3">
        <v>6320.0</v>
      </c>
      <c r="M124" s="3">
        <v>5690.0</v>
      </c>
      <c r="N124" s="3">
        <v>6060.0</v>
      </c>
    </row>
    <row r="125">
      <c r="A125" s="3">
        <v>6350.0</v>
      </c>
      <c r="B125" s="3">
        <v>6410.0</v>
      </c>
      <c r="C125" s="3">
        <v>5080.0</v>
      </c>
      <c r="D125" s="3">
        <v>6160.0</v>
      </c>
      <c r="F125" s="3">
        <v>5900.0</v>
      </c>
      <c r="G125" s="3">
        <v>6230.0</v>
      </c>
      <c r="H125" s="3">
        <v>6530.0</v>
      </c>
      <c r="I125" s="3">
        <v>6550.0</v>
      </c>
      <c r="K125" s="3">
        <v>6320.0</v>
      </c>
      <c r="L125" s="3">
        <v>6410.0</v>
      </c>
      <c r="M125" s="3">
        <v>5740.0</v>
      </c>
      <c r="N125" s="3">
        <v>6750.0</v>
      </c>
    </row>
    <row r="126">
      <c r="A126" s="3">
        <v>5970.0</v>
      </c>
      <c r="B126" s="3">
        <v>6260.0</v>
      </c>
      <c r="C126" s="3">
        <v>6070.0</v>
      </c>
      <c r="D126" s="3">
        <v>587.0</v>
      </c>
      <c r="F126" s="3">
        <v>5950.0</v>
      </c>
      <c r="G126" s="3">
        <v>6310.0</v>
      </c>
      <c r="H126" s="3">
        <v>6715.0</v>
      </c>
      <c r="I126" s="3">
        <v>6450.0</v>
      </c>
      <c r="K126" s="3">
        <v>6140.0</v>
      </c>
      <c r="L126" s="3">
        <v>6260.0</v>
      </c>
      <c r="M126" s="3">
        <v>5890.0</v>
      </c>
      <c r="N126" s="3">
        <v>6470.0</v>
      </c>
    </row>
    <row r="127">
      <c r="A127" s="3">
        <v>5990.0</v>
      </c>
      <c r="B127" s="3">
        <v>6320.0</v>
      </c>
      <c r="C127" s="3">
        <v>6360.0</v>
      </c>
      <c r="D127" s="3">
        <v>5890.0</v>
      </c>
      <c r="F127" s="3">
        <v>5970.0</v>
      </c>
      <c r="G127" s="3">
        <v>6420.0</v>
      </c>
      <c r="H127" s="3">
        <v>5580.0</v>
      </c>
      <c r="I127" s="3">
        <v>603.0</v>
      </c>
      <c r="K127" s="3">
        <v>5980.0</v>
      </c>
      <c r="L127" s="3">
        <v>6320.0</v>
      </c>
      <c r="M127" s="3">
        <v>5960.0</v>
      </c>
      <c r="N127" s="3">
        <v>6990.0</v>
      </c>
    </row>
    <row r="128">
      <c r="A128" s="3">
        <v>5660.0</v>
      </c>
      <c r="B128" s="3">
        <v>6410.0</v>
      </c>
      <c r="C128" s="3">
        <v>5090.0</v>
      </c>
      <c r="D128" s="3">
        <v>6310.0</v>
      </c>
      <c r="F128" s="3">
        <v>5860.0</v>
      </c>
      <c r="G128" s="3">
        <v>6310.0</v>
      </c>
      <c r="H128" s="3">
        <v>6710.0</v>
      </c>
      <c r="I128" s="3">
        <v>6940.0</v>
      </c>
      <c r="K128" s="3">
        <v>5970.0</v>
      </c>
      <c r="L128" s="3">
        <v>6410.0</v>
      </c>
      <c r="M128" s="3">
        <v>6240.0</v>
      </c>
      <c r="N128" s="3">
        <v>6550.0</v>
      </c>
    </row>
    <row r="129">
      <c r="A129" s="3">
        <v>6110.0</v>
      </c>
      <c r="B129" s="3">
        <v>6510.0</v>
      </c>
      <c r="C129" s="3">
        <v>6230.0</v>
      </c>
      <c r="D129" s="3">
        <v>6060.0</v>
      </c>
      <c r="F129" s="3">
        <v>6120.0</v>
      </c>
      <c r="G129" s="3">
        <v>6220.0</v>
      </c>
      <c r="H129" s="3">
        <v>6510.0</v>
      </c>
      <c r="I129" s="3">
        <v>5990.0</v>
      </c>
      <c r="K129" s="3">
        <v>6000.0</v>
      </c>
      <c r="L129" s="3">
        <v>6510.0</v>
      </c>
      <c r="M129" s="3">
        <v>6290.0</v>
      </c>
      <c r="N129" s="3">
        <v>6740.0</v>
      </c>
    </row>
    <row r="130">
      <c r="A130" s="3">
        <v>6100.0</v>
      </c>
      <c r="B130" s="3">
        <v>6610.0</v>
      </c>
      <c r="C130" s="3">
        <v>6180.0</v>
      </c>
      <c r="D130" s="3">
        <v>5810.0</v>
      </c>
      <c r="F130" s="3">
        <v>6270.0</v>
      </c>
      <c r="G130" s="3">
        <v>6240.0</v>
      </c>
      <c r="H130" s="3">
        <v>6430.0</v>
      </c>
      <c r="I130" s="3">
        <v>6850.0</v>
      </c>
      <c r="K130" s="3">
        <v>6180.0</v>
      </c>
      <c r="L130" s="3">
        <v>6610.0</v>
      </c>
      <c r="M130" s="3">
        <v>6430.0</v>
      </c>
      <c r="N130" s="3">
        <v>6560.0</v>
      </c>
    </row>
    <row r="131">
      <c r="A131" s="3">
        <v>6110.0</v>
      </c>
      <c r="B131" s="3">
        <v>6320.0</v>
      </c>
      <c r="C131" s="3">
        <v>5170.0</v>
      </c>
      <c r="D131" s="3">
        <v>6320.0</v>
      </c>
      <c r="F131" s="3">
        <v>5940.0</v>
      </c>
      <c r="G131" s="3">
        <v>6320.0</v>
      </c>
      <c r="H131" s="3">
        <v>5540.0</v>
      </c>
      <c r="I131" s="3">
        <v>6590.0</v>
      </c>
      <c r="K131" s="3">
        <v>6130.0</v>
      </c>
      <c r="L131" s="3">
        <v>6320.0</v>
      </c>
      <c r="M131" s="3">
        <v>5950.0</v>
      </c>
      <c r="N131" s="3">
        <v>6790.0</v>
      </c>
    </row>
    <row r="132">
      <c r="A132" s="3">
        <v>5960.0</v>
      </c>
      <c r="B132" s="3">
        <v>6360.0</v>
      </c>
      <c r="C132" s="3">
        <v>6200.0</v>
      </c>
      <c r="D132" s="3">
        <v>7130.0</v>
      </c>
      <c r="F132" s="3">
        <v>5760.0</v>
      </c>
      <c r="G132" s="3">
        <v>6240.0</v>
      </c>
      <c r="H132" s="3">
        <v>6510.0</v>
      </c>
      <c r="I132" s="3">
        <v>6650.0</v>
      </c>
      <c r="K132" s="3">
        <v>5960.0</v>
      </c>
      <c r="L132" s="3">
        <v>6360.0</v>
      </c>
      <c r="M132" s="3">
        <v>6210.0</v>
      </c>
      <c r="N132" s="3">
        <v>6680.0</v>
      </c>
    </row>
    <row r="133">
      <c r="A133" s="3">
        <v>6900.0</v>
      </c>
      <c r="B133" s="3">
        <v>6420.0</v>
      </c>
      <c r="C133" s="3">
        <v>5800.0</v>
      </c>
      <c r="D133" s="3">
        <v>6670.0</v>
      </c>
      <c r="F133" s="3">
        <v>6700.0</v>
      </c>
      <c r="G133" s="3">
        <v>6410.0</v>
      </c>
      <c r="H133" s="3">
        <v>6615.0</v>
      </c>
      <c r="I133" s="3">
        <v>6840.0</v>
      </c>
      <c r="K133" s="3">
        <v>5790.0</v>
      </c>
      <c r="L133" s="3">
        <v>6420.0</v>
      </c>
      <c r="M133" s="3">
        <v>6430.0</v>
      </c>
      <c r="N133" s="3">
        <v>6730.0</v>
      </c>
    </row>
    <row r="134">
      <c r="A134" s="3">
        <v>5990.0</v>
      </c>
      <c r="B134" s="3">
        <v>6360.0</v>
      </c>
      <c r="C134" s="3">
        <v>6110.0</v>
      </c>
      <c r="D134" s="3">
        <v>6250.0</v>
      </c>
      <c r="F134" s="3">
        <v>6100.0</v>
      </c>
      <c r="G134" s="3">
        <v>6320.0</v>
      </c>
      <c r="H134" s="3">
        <v>6520.0</v>
      </c>
      <c r="I134" s="3">
        <v>6550.0</v>
      </c>
      <c r="K134" s="3">
        <v>6010.0</v>
      </c>
      <c r="L134" s="3">
        <v>6360.0</v>
      </c>
      <c r="M134" s="3">
        <v>5900.0</v>
      </c>
      <c r="N134" s="3">
        <v>5970.0</v>
      </c>
    </row>
    <row r="135">
      <c r="A135" s="3">
        <v>5870.0</v>
      </c>
      <c r="B135" s="3">
        <v>6410.0</v>
      </c>
      <c r="C135" s="3">
        <v>6230.0</v>
      </c>
      <c r="D135" s="3">
        <v>5960.0</v>
      </c>
      <c r="F135" s="3">
        <v>5960.0</v>
      </c>
      <c r="G135" s="3">
        <v>6230.0</v>
      </c>
      <c r="H135" s="3">
        <v>6815.0</v>
      </c>
      <c r="I135" s="3">
        <v>6670.0</v>
      </c>
      <c r="K135" s="3">
        <v>6250.0</v>
      </c>
      <c r="L135" s="3">
        <v>6410.0</v>
      </c>
      <c r="M135" s="3">
        <v>5980.0</v>
      </c>
      <c r="N135" s="3">
        <v>6380.0</v>
      </c>
    </row>
    <row r="136">
      <c r="A136" s="3">
        <v>5940.0</v>
      </c>
      <c r="B136" s="3">
        <v>6320.0</v>
      </c>
      <c r="C136" s="3">
        <v>6140.0</v>
      </c>
      <c r="D136" s="3">
        <v>5870.0</v>
      </c>
      <c r="F136" s="3">
        <v>6350.0</v>
      </c>
      <c r="G136" s="3">
        <v>6910.0</v>
      </c>
      <c r="H136" s="3">
        <v>5910.0</v>
      </c>
      <c r="I136" s="3">
        <v>6890.0</v>
      </c>
      <c r="K136" s="3">
        <v>6410.0</v>
      </c>
      <c r="L136" s="3">
        <v>6320.0</v>
      </c>
      <c r="M136" s="3">
        <v>5800.0</v>
      </c>
      <c r="N136" s="3">
        <v>6650.0</v>
      </c>
    </row>
    <row r="137">
      <c r="A137" s="3">
        <v>5880.0</v>
      </c>
      <c r="B137" s="3">
        <v>6710.0</v>
      </c>
      <c r="C137" s="3">
        <v>5960.0</v>
      </c>
      <c r="D137" s="3">
        <v>6130.0</v>
      </c>
      <c r="F137" s="3">
        <v>6130.0</v>
      </c>
      <c r="G137" s="3">
        <v>6220.0</v>
      </c>
      <c r="H137" s="3">
        <v>5710.0</v>
      </c>
      <c r="I137" s="3">
        <v>5880.0</v>
      </c>
      <c r="K137" s="3">
        <v>6360.0</v>
      </c>
      <c r="L137" s="3">
        <v>6710.0</v>
      </c>
      <c r="M137" s="3">
        <v>5710.0</v>
      </c>
      <c r="N137" s="3">
        <v>6750.0</v>
      </c>
    </row>
    <row r="138">
      <c r="A138" s="4">
        <f t="shared" ref="A138:D138" si="22">round((SUM(A123:A137)/60),2)</f>
        <v>1520.17</v>
      </c>
      <c r="B138" s="4">
        <f t="shared" si="22"/>
        <v>1601.67</v>
      </c>
      <c r="C138" s="4">
        <f t="shared" si="22"/>
        <v>1478.5</v>
      </c>
      <c r="D138" s="4">
        <f t="shared" si="22"/>
        <v>1451.45</v>
      </c>
      <c r="F138" s="4">
        <f t="shared" ref="F138:I138" si="23">round((SUM(F123:F137)/60),2)</f>
        <v>1527.83</v>
      </c>
      <c r="G138" s="4">
        <f t="shared" si="23"/>
        <v>1583.5</v>
      </c>
      <c r="H138" s="4">
        <f t="shared" si="23"/>
        <v>1578.42</v>
      </c>
      <c r="I138" s="4">
        <f t="shared" si="23"/>
        <v>1536.72</v>
      </c>
      <c r="K138" s="4">
        <f t="shared" ref="K138:N138" si="24">round((SUM(K123:K137)/60),2)</f>
        <v>1527.83</v>
      </c>
      <c r="L138" s="4">
        <f t="shared" si="24"/>
        <v>1601.67</v>
      </c>
      <c r="M138" s="4">
        <f t="shared" si="24"/>
        <v>1506.17</v>
      </c>
      <c r="N138" s="4">
        <f t="shared" si="24"/>
        <v>1633.33</v>
      </c>
    </row>
    <row r="141">
      <c r="A141" s="1" t="s">
        <v>29</v>
      </c>
      <c r="F141" s="1" t="s">
        <v>30</v>
      </c>
      <c r="K141" s="1" t="s">
        <v>31</v>
      </c>
    </row>
    <row r="142">
      <c r="A142" s="2" t="s">
        <v>28</v>
      </c>
      <c r="B142" s="2" t="s">
        <v>5</v>
      </c>
      <c r="C142" s="2" t="s">
        <v>6</v>
      </c>
      <c r="D142" s="2" t="s">
        <v>7</v>
      </c>
      <c r="F142" s="2" t="s">
        <v>28</v>
      </c>
      <c r="G142" s="2" t="s">
        <v>5</v>
      </c>
      <c r="H142" s="2" t="s">
        <v>6</v>
      </c>
      <c r="I142" s="2" t="s">
        <v>7</v>
      </c>
      <c r="K142" s="2" t="s">
        <v>28</v>
      </c>
      <c r="L142" s="2" t="s">
        <v>5</v>
      </c>
      <c r="M142" s="2" t="s">
        <v>6</v>
      </c>
      <c r="N142" s="2" t="s">
        <v>7</v>
      </c>
    </row>
    <row r="143">
      <c r="A143" s="3">
        <v>6290.0</v>
      </c>
      <c r="B143" s="3">
        <v>6630.0</v>
      </c>
      <c r="C143" s="3">
        <v>5850.0</v>
      </c>
      <c r="D143" s="3">
        <v>6230.0</v>
      </c>
      <c r="F143" s="3">
        <v>5650.0</v>
      </c>
      <c r="G143" s="3">
        <v>6360.0</v>
      </c>
      <c r="H143" s="3">
        <v>6300.0</v>
      </c>
      <c r="I143" s="3">
        <v>7140.0</v>
      </c>
      <c r="K143" s="3">
        <v>6540.0</v>
      </c>
      <c r="L143" s="3">
        <v>6420.0</v>
      </c>
      <c r="M143" s="3">
        <v>6080.0</v>
      </c>
      <c r="N143" s="3">
        <v>6060.0</v>
      </c>
    </row>
    <row r="144">
      <c r="A144" s="3">
        <v>6150.0</v>
      </c>
      <c r="B144" s="3">
        <v>6790.0</v>
      </c>
      <c r="C144" s="3">
        <v>5910.0</v>
      </c>
      <c r="D144" s="3">
        <v>6100.0</v>
      </c>
      <c r="F144" s="3">
        <v>6870.0</v>
      </c>
      <c r="G144" s="3">
        <v>6920.0</v>
      </c>
      <c r="H144" s="3">
        <v>6250.0</v>
      </c>
      <c r="I144" s="3">
        <v>6050.0</v>
      </c>
      <c r="K144" s="3">
        <v>5970.0</v>
      </c>
      <c r="L144" s="3">
        <v>6310.0</v>
      </c>
      <c r="M144" s="3">
        <v>6440.0</v>
      </c>
      <c r="N144" s="3">
        <v>6090.0</v>
      </c>
    </row>
    <row r="145">
      <c r="A145" s="3">
        <v>5990.0</v>
      </c>
      <c r="B145" s="3">
        <v>6210.0</v>
      </c>
      <c r="C145" s="3">
        <v>5560.0</v>
      </c>
      <c r="D145" s="3">
        <v>5850.0</v>
      </c>
      <c r="F145" s="3">
        <v>5990.0</v>
      </c>
      <c r="G145" s="3">
        <v>6360.0</v>
      </c>
      <c r="H145" s="3">
        <v>6320.0</v>
      </c>
      <c r="I145" s="3">
        <v>6880.0</v>
      </c>
      <c r="K145" s="3">
        <v>6000.0</v>
      </c>
      <c r="L145" s="3">
        <v>6460.0</v>
      </c>
      <c r="M145" s="3">
        <v>5630.0</v>
      </c>
      <c r="N145" s="3">
        <v>6040.0</v>
      </c>
    </row>
    <row r="146">
      <c r="A146" s="3">
        <v>5980.0</v>
      </c>
      <c r="B146" s="3">
        <v>6470.0</v>
      </c>
      <c r="C146" s="3">
        <v>6100.0</v>
      </c>
      <c r="D146" s="3">
        <v>6110.0</v>
      </c>
      <c r="F146" s="3">
        <v>5790.0</v>
      </c>
      <c r="G146" s="3">
        <v>6250.0</v>
      </c>
      <c r="H146" s="3">
        <v>6700.0</v>
      </c>
      <c r="I146" s="3">
        <v>6790.0</v>
      </c>
      <c r="K146" s="3">
        <v>6130.0</v>
      </c>
      <c r="L146" s="3">
        <v>6510.0</v>
      </c>
      <c r="M146" s="3">
        <v>6740.0</v>
      </c>
      <c r="N146" s="3">
        <v>5960.0</v>
      </c>
    </row>
    <row r="147">
      <c r="A147" s="3">
        <v>6230.0</v>
      </c>
      <c r="B147" s="3">
        <v>6940.0</v>
      </c>
      <c r="C147" s="3">
        <v>5770.0</v>
      </c>
      <c r="D147" s="3">
        <v>5510.0</v>
      </c>
      <c r="F147" s="3">
        <v>6490.0</v>
      </c>
      <c r="G147" s="3">
        <v>6420.0</v>
      </c>
      <c r="H147" s="3">
        <v>6120.0</v>
      </c>
      <c r="I147" s="3">
        <v>7030.0</v>
      </c>
      <c r="K147" s="3">
        <v>5980.0</v>
      </c>
      <c r="L147" s="3">
        <v>6320.0</v>
      </c>
      <c r="M147" s="3">
        <v>5980.0</v>
      </c>
      <c r="N147" s="3">
        <v>6410.0</v>
      </c>
    </row>
    <row r="148">
      <c r="A148" s="3">
        <v>5890.0</v>
      </c>
      <c r="B148" s="3">
        <v>6930.0</v>
      </c>
      <c r="C148" s="3">
        <v>5810.0</v>
      </c>
      <c r="D148" s="3">
        <v>6400.0</v>
      </c>
      <c r="F148" s="3">
        <v>6690.0</v>
      </c>
      <c r="G148" s="3">
        <v>6310.0</v>
      </c>
      <c r="H148" s="3">
        <v>6130.0</v>
      </c>
      <c r="I148" s="3">
        <v>6890.0</v>
      </c>
      <c r="K148" s="3">
        <v>5970.0</v>
      </c>
      <c r="L148" s="3">
        <v>6420.0</v>
      </c>
      <c r="M148" s="3">
        <v>6260.0</v>
      </c>
      <c r="N148" s="3">
        <v>6050.0</v>
      </c>
    </row>
    <row r="149">
      <c r="A149" s="3">
        <v>6320.0</v>
      </c>
      <c r="B149" s="3">
        <v>6820.0</v>
      </c>
      <c r="C149" s="3">
        <v>5760.0</v>
      </c>
      <c r="D149" s="3">
        <v>6450.0</v>
      </c>
      <c r="F149" s="3">
        <v>6240.0</v>
      </c>
      <c r="G149" s="3">
        <v>6510.0</v>
      </c>
      <c r="H149" s="3">
        <v>5990.0</v>
      </c>
      <c r="I149" s="3">
        <v>5670.0</v>
      </c>
      <c r="K149" s="3">
        <v>6230.0</v>
      </c>
      <c r="L149" s="3">
        <v>6360.0</v>
      </c>
      <c r="M149" s="3">
        <v>6190.0</v>
      </c>
      <c r="N149" s="3">
        <v>6360.0</v>
      </c>
    </row>
    <row r="150">
      <c r="A150" s="3">
        <v>6400.0</v>
      </c>
      <c r="B150" s="3">
        <v>6730.0</v>
      </c>
      <c r="C150" s="3">
        <v>5880.0</v>
      </c>
      <c r="D150" s="3">
        <v>6340.0</v>
      </c>
      <c r="F150" s="3">
        <v>6270.0</v>
      </c>
      <c r="G150" s="3">
        <v>6610.0</v>
      </c>
      <c r="H150" s="3">
        <v>5940.0</v>
      </c>
      <c r="I150" s="3">
        <v>6740.0</v>
      </c>
      <c r="K150" s="3">
        <v>5890.0</v>
      </c>
      <c r="L150" s="3">
        <v>6550.0</v>
      </c>
      <c r="M150" s="3">
        <v>5930.0</v>
      </c>
      <c r="N150" s="3">
        <v>5690.0</v>
      </c>
    </row>
    <row r="151">
      <c r="A151" s="3">
        <v>6170.0</v>
      </c>
      <c r="B151" s="3">
        <v>6540.0</v>
      </c>
      <c r="C151" s="3">
        <v>5600.0</v>
      </c>
      <c r="D151" s="3">
        <v>6210.0</v>
      </c>
      <c r="F151" s="3">
        <v>5970.0</v>
      </c>
      <c r="G151" s="3">
        <v>6320.0</v>
      </c>
      <c r="H151" s="3">
        <v>6990.0</v>
      </c>
      <c r="I151" s="3">
        <v>6930.0</v>
      </c>
      <c r="K151" s="3">
        <v>6290.0</v>
      </c>
      <c r="L151" s="3">
        <v>6610.0</v>
      </c>
      <c r="M151" s="3">
        <v>6170.0</v>
      </c>
      <c r="N151" s="3">
        <v>5630.0</v>
      </c>
    </row>
    <row r="152">
      <c r="A152" s="3">
        <v>5960.0</v>
      </c>
      <c r="B152" s="3">
        <v>6100.0</v>
      </c>
      <c r="C152" s="3">
        <v>5820.0</v>
      </c>
      <c r="D152" s="3">
        <v>6120.0</v>
      </c>
      <c r="F152" s="3">
        <v>6030.0</v>
      </c>
      <c r="G152" s="3">
        <v>6420.0</v>
      </c>
      <c r="H152" s="3">
        <v>6590.0</v>
      </c>
      <c r="I152" s="3">
        <v>6960.0</v>
      </c>
      <c r="K152" s="3">
        <v>6430.0</v>
      </c>
      <c r="L152" s="3">
        <v>6210.0</v>
      </c>
      <c r="M152" s="3">
        <v>6320.0</v>
      </c>
      <c r="N152" s="3">
        <v>6420.0</v>
      </c>
    </row>
    <row r="153">
      <c r="A153" s="3">
        <v>6000.0</v>
      </c>
      <c r="B153" s="3">
        <v>6430.0</v>
      </c>
      <c r="C153" s="3">
        <v>5850.0</v>
      </c>
      <c r="D153" s="3">
        <v>6710.0</v>
      </c>
      <c r="F153" s="3">
        <v>5980.0</v>
      </c>
      <c r="G153" s="3">
        <v>6310.0</v>
      </c>
      <c r="H153" s="3">
        <v>6130.0</v>
      </c>
      <c r="I153" s="3">
        <v>6470.0</v>
      </c>
      <c r="K153" s="3">
        <v>6210.0</v>
      </c>
      <c r="L153" s="3">
        <v>6320.0</v>
      </c>
      <c r="M153" s="3">
        <v>6200.0</v>
      </c>
      <c r="N153" s="3">
        <v>5940.0</v>
      </c>
    </row>
    <row r="154">
      <c r="A154" s="3">
        <v>5950.0</v>
      </c>
      <c r="B154" s="3">
        <v>6390.0</v>
      </c>
      <c r="C154" s="3">
        <v>5910.0</v>
      </c>
      <c r="D154" s="3">
        <v>6540.0</v>
      </c>
      <c r="F154" s="3">
        <v>5960.0</v>
      </c>
      <c r="G154" s="3">
        <v>6420.0</v>
      </c>
      <c r="H154" s="3">
        <v>6290.0</v>
      </c>
      <c r="I154" s="3">
        <v>6750.0</v>
      </c>
      <c r="K154" s="3">
        <v>5980.0</v>
      </c>
      <c r="L154" s="3">
        <v>6710.0</v>
      </c>
      <c r="M154" s="3">
        <v>5830.0</v>
      </c>
      <c r="N154" s="3">
        <v>5990.0</v>
      </c>
    </row>
    <row r="155">
      <c r="A155" s="3">
        <v>6190.0</v>
      </c>
      <c r="B155" s="3">
        <v>6620.0</v>
      </c>
      <c r="C155" s="3">
        <v>5700.0</v>
      </c>
      <c r="D155" s="3">
        <v>6420.0</v>
      </c>
      <c r="F155" s="3">
        <v>6190.0</v>
      </c>
      <c r="G155" s="3">
        <v>6390.0</v>
      </c>
      <c r="H155" s="3">
        <v>6440.0</v>
      </c>
      <c r="I155" s="3">
        <v>6500.0</v>
      </c>
      <c r="K155" s="3">
        <v>6520.0</v>
      </c>
      <c r="L155" s="3">
        <v>6520.0</v>
      </c>
      <c r="M155" s="3">
        <v>6030.0</v>
      </c>
      <c r="N155" s="3">
        <v>5870.0</v>
      </c>
    </row>
    <row r="156">
      <c r="A156" s="3">
        <v>6230.0</v>
      </c>
      <c r="B156" s="3">
        <v>7140.0</v>
      </c>
      <c r="C156" s="3">
        <v>5890.0</v>
      </c>
      <c r="D156" s="3">
        <v>5500.0</v>
      </c>
      <c r="F156" s="3">
        <v>6230.0</v>
      </c>
      <c r="G156" s="3">
        <v>6510.0</v>
      </c>
      <c r="H156" s="3">
        <v>6260.0</v>
      </c>
      <c r="I156" s="3">
        <v>7350.0</v>
      </c>
      <c r="K156" s="3">
        <v>6100.0</v>
      </c>
      <c r="L156" s="3">
        <v>6310.0</v>
      </c>
      <c r="M156" s="3">
        <v>6430.0</v>
      </c>
      <c r="N156" s="3">
        <v>5640.0</v>
      </c>
    </row>
    <row r="157">
      <c r="A157" s="3">
        <v>5980.0</v>
      </c>
      <c r="B157" s="3">
        <v>6980.0</v>
      </c>
      <c r="C157" s="3">
        <v>5700.0</v>
      </c>
      <c r="D157" s="3">
        <v>6110.0</v>
      </c>
      <c r="F157" s="3">
        <v>5990.0</v>
      </c>
      <c r="G157" s="3">
        <v>6390.0</v>
      </c>
      <c r="H157" s="3">
        <v>6610.0</v>
      </c>
      <c r="I157" s="3">
        <v>6660.0</v>
      </c>
      <c r="K157" s="3">
        <v>6610.0</v>
      </c>
      <c r="L157" s="3">
        <v>6420.0</v>
      </c>
      <c r="M157" s="3">
        <v>5760.0</v>
      </c>
      <c r="N157" s="3">
        <v>6500.0</v>
      </c>
    </row>
    <row r="158">
      <c r="A158" s="4">
        <f t="shared" ref="A158:D158" si="25">round((SUM(A143:A157)/60),2)</f>
        <v>1528.83</v>
      </c>
      <c r="B158" s="4">
        <f t="shared" si="25"/>
        <v>1662</v>
      </c>
      <c r="C158" s="4">
        <f t="shared" si="25"/>
        <v>1451.83</v>
      </c>
      <c r="D158" s="4">
        <f t="shared" si="25"/>
        <v>1543.33</v>
      </c>
      <c r="F158" s="4">
        <f t="shared" ref="F158:I158" si="26">round((SUM(F143:F157)/60),2)</f>
        <v>1539</v>
      </c>
      <c r="G158" s="4">
        <f t="shared" si="26"/>
        <v>1608.33</v>
      </c>
      <c r="H158" s="4">
        <f t="shared" si="26"/>
        <v>1584.33</v>
      </c>
      <c r="I158" s="4">
        <f t="shared" si="26"/>
        <v>1680.17</v>
      </c>
      <c r="K158" s="4">
        <f t="shared" ref="K158:N158" si="27">round((SUM(K143:K157)/60),2)</f>
        <v>1547.5</v>
      </c>
      <c r="L158" s="4">
        <f t="shared" si="27"/>
        <v>1607.5</v>
      </c>
      <c r="M158" s="4">
        <f t="shared" si="27"/>
        <v>1533.17</v>
      </c>
      <c r="N158" s="4">
        <f t="shared" si="27"/>
        <v>1510.83</v>
      </c>
    </row>
    <row r="161">
      <c r="A161" s="1" t="s">
        <v>32</v>
      </c>
      <c r="F161" s="1" t="s">
        <v>33</v>
      </c>
      <c r="K161" s="1" t="s">
        <v>34</v>
      </c>
    </row>
    <row r="162">
      <c r="A162" s="2" t="s">
        <v>28</v>
      </c>
      <c r="B162" s="2" t="s">
        <v>5</v>
      </c>
      <c r="C162" s="2" t="s">
        <v>6</v>
      </c>
      <c r="D162" s="2" t="s">
        <v>7</v>
      </c>
      <c r="F162" s="2" t="s">
        <v>28</v>
      </c>
      <c r="G162" s="2" t="s">
        <v>5</v>
      </c>
      <c r="H162" s="2" t="s">
        <v>6</v>
      </c>
      <c r="I162" s="2" t="s">
        <v>7</v>
      </c>
      <c r="K162" s="2" t="s">
        <v>28</v>
      </c>
      <c r="L162" s="2" t="s">
        <v>5</v>
      </c>
      <c r="M162" s="2" t="s">
        <v>6</v>
      </c>
      <c r="N162" s="2" t="s">
        <v>7</v>
      </c>
    </row>
    <row r="163">
      <c r="A163" s="3">
        <v>6170.0</v>
      </c>
      <c r="B163" s="3">
        <v>6750.0</v>
      </c>
      <c r="C163" s="3">
        <v>6020.0</v>
      </c>
      <c r="D163" s="3">
        <v>6800.0</v>
      </c>
      <c r="F163" s="3">
        <v>6410.0</v>
      </c>
      <c r="G163" s="3">
        <v>6520.0</v>
      </c>
      <c r="H163" s="3">
        <v>5930.0</v>
      </c>
      <c r="I163" s="3">
        <v>6700.0</v>
      </c>
      <c r="K163" s="3">
        <v>6860.0</v>
      </c>
      <c r="L163" s="3">
        <v>6320.0</v>
      </c>
      <c r="M163" s="3">
        <v>5870.0</v>
      </c>
      <c r="N163" s="3">
        <v>6070.0</v>
      </c>
    </row>
    <row r="164">
      <c r="A164" s="3">
        <v>6120.0</v>
      </c>
      <c r="B164" s="3">
        <v>6510.0</v>
      </c>
      <c r="C164" s="3">
        <v>6320.0</v>
      </c>
      <c r="D164" s="3">
        <v>6340.0</v>
      </c>
      <c r="F164" s="3">
        <v>6400.0</v>
      </c>
      <c r="G164" s="3">
        <v>6910.0</v>
      </c>
      <c r="H164" s="3">
        <v>6090.0</v>
      </c>
      <c r="I164" s="3">
        <v>5450.0</v>
      </c>
      <c r="K164" s="3">
        <v>6950.0</v>
      </c>
      <c r="L164" s="3">
        <v>6210.0</v>
      </c>
      <c r="M164" s="3">
        <v>5920.0</v>
      </c>
      <c r="N164" s="3">
        <v>5780.0</v>
      </c>
    </row>
    <row r="165">
      <c r="A165" s="3">
        <v>5450.0</v>
      </c>
      <c r="B165" s="3">
        <v>6400.0</v>
      </c>
      <c r="C165" s="3">
        <v>6070.0</v>
      </c>
      <c r="D165" s="3">
        <v>6610.0</v>
      </c>
      <c r="F165" s="3">
        <v>6510.0</v>
      </c>
      <c r="G165" s="3">
        <v>6530.0</v>
      </c>
      <c r="H165" s="3">
        <v>5230.0</v>
      </c>
      <c r="I165" s="3">
        <v>5920.0</v>
      </c>
      <c r="K165" s="3">
        <v>6300.0</v>
      </c>
      <c r="L165" s="3">
        <v>6220.0</v>
      </c>
      <c r="M165" s="3">
        <v>6090.0</v>
      </c>
      <c r="N165" s="3">
        <v>5900.0</v>
      </c>
    </row>
    <row r="166">
      <c r="A166" s="3">
        <v>6450.0</v>
      </c>
      <c r="B166" s="3">
        <v>6740.0</v>
      </c>
      <c r="C166" s="3">
        <v>6400.0</v>
      </c>
      <c r="D166" s="3">
        <v>5720.0</v>
      </c>
      <c r="F166" s="3">
        <v>5940.0</v>
      </c>
      <c r="G166" s="3">
        <v>6610.0</v>
      </c>
      <c r="H166" s="3">
        <v>5480.0</v>
      </c>
      <c r="I166" s="3">
        <v>6070.0</v>
      </c>
      <c r="K166" s="3">
        <v>6290.0</v>
      </c>
      <c r="L166" s="3">
        <v>6160.0</v>
      </c>
      <c r="M166" s="3">
        <v>6320.0</v>
      </c>
      <c r="N166" s="3">
        <v>6190.0</v>
      </c>
    </row>
    <row r="167">
      <c r="A167" s="3">
        <v>6320.0</v>
      </c>
      <c r="B167" s="3">
        <v>6550.0</v>
      </c>
      <c r="C167" s="3">
        <v>6310.0</v>
      </c>
      <c r="D167" s="3">
        <v>6640.0</v>
      </c>
      <c r="F167" s="3">
        <v>6320.0</v>
      </c>
      <c r="G167" s="3">
        <v>6710.0</v>
      </c>
      <c r="H167" s="3">
        <v>6530.0</v>
      </c>
      <c r="I167" s="3">
        <v>5650.0</v>
      </c>
      <c r="K167" s="3">
        <v>6140.0</v>
      </c>
      <c r="L167" s="3">
        <v>6000.0</v>
      </c>
      <c r="M167" s="3">
        <v>6040.0</v>
      </c>
      <c r="N167" s="3">
        <v>5490.0</v>
      </c>
    </row>
    <row r="168">
      <c r="A168" s="3">
        <v>5980.0</v>
      </c>
      <c r="B168" s="3">
        <v>6520.0</v>
      </c>
      <c r="C168" s="3">
        <v>6360.0</v>
      </c>
      <c r="D168" s="3">
        <v>5890.0</v>
      </c>
      <c r="F168" s="3">
        <v>6580.0</v>
      </c>
      <c r="G168" s="3">
        <v>6360.0</v>
      </c>
      <c r="H168" s="3">
        <v>5910.0</v>
      </c>
      <c r="I168" s="3">
        <v>5480.0</v>
      </c>
      <c r="K168" s="3">
        <v>5910.0</v>
      </c>
      <c r="L168" s="3">
        <v>6310.0</v>
      </c>
      <c r="M168" s="3">
        <v>6050.0</v>
      </c>
      <c r="N168" s="3">
        <v>5820.0</v>
      </c>
    </row>
    <row r="169">
      <c r="A169" s="3">
        <v>5860.0</v>
      </c>
      <c r="B169" s="3">
        <v>6480.0</v>
      </c>
      <c r="C169" s="3">
        <v>6550.0</v>
      </c>
      <c r="D169" s="3">
        <v>6210.0</v>
      </c>
      <c r="F169" s="3">
        <v>5890.0</v>
      </c>
      <c r="G169" s="3">
        <v>6520.0</v>
      </c>
      <c r="H169" s="3">
        <v>6140.0</v>
      </c>
      <c r="I169" s="3">
        <v>5950.0</v>
      </c>
      <c r="K169" s="3">
        <v>6870.0</v>
      </c>
      <c r="L169" s="3">
        <v>6210.0</v>
      </c>
      <c r="M169" s="3">
        <v>5480.0</v>
      </c>
      <c r="N169" s="3">
        <v>6790.0</v>
      </c>
    </row>
    <row r="170">
      <c r="A170" s="3">
        <v>5980.0</v>
      </c>
      <c r="B170" s="3">
        <v>6650.0</v>
      </c>
      <c r="C170" s="3">
        <v>6140.0</v>
      </c>
      <c r="D170" s="3">
        <v>6620.0</v>
      </c>
      <c r="F170" s="3">
        <v>6080.0</v>
      </c>
      <c r="G170" s="3">
        <v>6610.0</v>
      </c>
      <c r="H170" s="3">
        <v>5820.0</v>
      </c>
      <c r="I170" s="3">
        <v>6030.0</v>
      </c>
      <c r="K170" s="3">
        <v>6530.0</v>
      </c>
      <c r="L170" s="3">
        <v>6160.0</v>
      </c>
      <c r="M170" s="3">
        <v>7760.0</v>
      </c>
      <c r="N170" s="3">
        <v>6290.0</v>
      </c>
    </row>
    <row r="171">
      <c r="A171" s="3">
        <v>6210.0</v>
      </c>
      <c r="B171" s="3">
        <v>6910.0</v>
      </c>
      <c r="C171" s="3">
        <v>6380.0</v>
      </c>
      <c r="D171" s="3">
        <v>7010.0</v>
      </c>
      <c r="F171" s="3">
        <v>6010.0</v>
      </c>
      <c r="G171" s="3">
        <v>6420.0</v>
      </c>
      <c r="H171" s="3">
        <v>6140.0</v>
      </c>
      <c r="I171" s="3">
        <v>6210.0</v>
      </c>
      <c r="K171" s="3">
        <v>5910.0</v>
      </c>
      <c r="L171" s="3">
        <v>6220.0</v>
      </c>
      <c r="M171" s="3">
        <v>6700.0</v>
      </c>
      <c r="N171" s="3">
        <v>6390.0</v>
      </c>
    </row>
    <row r="172">
      <c r="A172" s="3">
        <v>5780.0</v>
      </c>
      <c r="B172" s="3">
        <v>6630.0</v>
      </c>
      <c r="C172" s="3">
        <v>6180.0</v>
      </c>
      <c r="D172" s="3">
        <v>6740.0</v>
      </c>
      <c r="F172" s="3">
        <v>6410.0</v>
      </c>
      <c r="G172" s="3">
        <v>6530.0</v>
      </c>
      <c r="H172" s="3">
        <v>6350.0</v>
      </c>
      <c r="I172" s="3">
        <v>7030.0</v>
      </c>
      <c r="K172" s="3">
        <v>6370.0</v>
      </c>
      <c r="L172" s="3">
        <v>6310.0</v>
      </c>
      <c r="M172" s="3">
        <v>5970.0</v>
      </c>
      <c r="N172" s="3">
        <v>6120.0</v>
      </c>
    </row>
    <row r="173">
      <c r="A173" s="3">
        <v>6380.0</v>
      </c>
      <c r="B173" s="3">
        <v>6450.0</v>
      </c>
      <c r="C173" s="3">
        <v>6900.0</v>
      </c>
      <c r="D173" s="3">
        <v>6270.0</v>
      </c>
      <c r="F173" s="3">
        <v>6430.0</v>
      </c>
      <c r="G173" s="3">
        <v>6320.0</v>
      </c>
      <c r="H173" s="3">
        <v>5810.0</v>
      </c>
      <c r="I173" s="3">
        <v>6490.0</v>
      </c>
      <c r="K173" s="3">
        <v>6520.0</v>
      </c>
      <c r="L173" s="3">
        <v>6410.0</v>
      </c>
      <c r="M173" s="3">
        <v>5660.0</v>
      </c>
      <c r="N173" s="3">
        <v>5200.0</v>
      </c>
    </row>
    <row r="174">
      <c r="A174" s="3">
        <v>6500.0</v>
      </c>
      <c r="B174" s="3">
        <v>6520.0</v>
      </c>
      <c r="C174" s="3">
        <v>5890.0</v>
      </c>
      <c r="D174" s="3">
        <v>6610.0</v>
      </c>
      <c r="F174" s="3">
        <v>6030.0</v>
      </c>
      <c r="G174" s="3">
        <v>6410.0</v>
      </c>
      <c r="H174" s="3">
        <v>6230.0</v>
      </c>
      <c r="I174" s="3">
        <v>6010.0</v>
      </c>
      <c r="K174" s="3">
        <v>6190.0</v>
      </c>
      <c r="L174" s="3">
        <v>6220.0</v>
      </c>
      <c r="M174" s="3">
        <v>5720.0</v>
      </c>
      <c r="N174" s="3">
        <v>6290.0</v>
      </c>
    </row>
    <row r="175">
      <c r="A175" s="3">
        <v>6420.0</v>
      </c>
      <c r="B175" s="3">
        <v>6000.0</v>
      </c>
      <c r="C175" s="3">
        <v>6090.0</v>
      </c>
      <c r="D175" s="3">
        <v>6180.0</v>
      </c>
      <c r="F175" s="3">
        <v>6260.0</v>
      </c>
      <c r="G175" s="3">
        <v>6720.0</v>
      </c>
      <c r="H175" s="3">
        <v>5640.0</v>
      </c>
      <c r="I175" s="3">
        <v>6850.0</v>
      </c>
      <c r="K175" s="3">
        <v>5990.0</v>
      </c>
      <c r="L175" s="3">
        <v>6160.0</v>
      </c>
      <c r="M175" s="3">
        <v>7840.0</v>
      </c>
      <c r="N175" s="3">
        <v>5880.0</v>
      </c>
    </row>
    <row r="176">
      <c r="A176" s="3">
        <v>5990.0</v>
      </c>
      <c r="B176" s="3">
        <v>6340.0</v>
      </c>
      <c r="C176" s="3">
        <v>6970.0</v>
      </c>
      <c r="D176" s="3">
        <v>6730.0</v>
      </c>
      <c r="F176" s="3">
        <v>6180.0</v>
      </c>
      <c r="G176" s="3">
        <v>6510.0</v>
      </c>
      <c r="H176" s="3">
        <v>6110.0</v>
      </c>
      <c r="I176" s="3">
        <v>6520.0</v>
      </c>
      <c r="K176" s="3">
        <v>6910.0</v>
      </c>
      <c r="L176" s="3">
        <v>6320.0</v>
      </c>
      <c r="M176" s="3">
        <v>6380.0</v>
      </c>
      <c r="N176" s="3">
        <v>5910.0</v>
      </c>
    </row>
    <row r="177">
      <c r="A177" s="3">
        <v>6430.0</v>
      </c>
      <c r="B177" s="3">
        <v>6960.0</v>
      </c>
      <c r="C177" s="3">
        <v>6440.0</v>
      </c>
      <c r="D177" s="3">
        <v>6460.0</v>
      </c>
      <c r="F177" s="3">
        <v>6570.0</v>
      </c>
      <c r="G177" s="3">
        <v>6600.0</v>
      </c>
      <c r="H177" s="3">
        <v>6430.0</v>
      </c>
      <c r="I177" s="3">
        <v>6420.0</v>
      </c>
      <c r="K177" s="3">
        <v>6040.0</v>
      </c>
      <c r="L177" s="3">
        <v>6110.0</v>
      </c>
      <c r="M177" s="3">
        <v>5980.0</v>
      </c>
      <c r="N177" s="3">
        <v>5930.0</v>
      </c>
    </row>
    <row r="178">
      <c r="A178" s="4">
        <f t="shared" ref="A178:D178" si="28">round((SUM(A163:A177)/60),2)</f>
        <v>1534</v>
      </c>
      <c r="B178" s="4">
        <f t="shared" si="28"/>
        <v>1640.17</v>
      </c>
      <c r="C178" s="4">
        <f t="shared" si="28"/>
        <v>1583.67</v>
      </c>
      <c r="D178" s="4">
        <f t="shared" si="28"/>
        <v>1613.83</v>
      </c>
      <c r="F178" s="4">
        <f t="shared" ref="F178:I178" si="29">round((SUM(F163:F177)/60),2)</f>
        <v>1567</v>
      </c>
      <c r="G178" s="4">
        <f t="shared" si="29"/>
        <v>1638</v>
      </c>
      <c r="H178" s="4">
        <f t="shared" si="29"/>
        <v>1497.33</v>
      </c>
      <c r="I178" s="4">
        <f t="shared" si="29"/>
        <v>1546.33</v>
      </c>
      <c r="K178" s="4">
        <f t="shared" ref="K178:N178" si="30">round((SUM(K163:K177)/60),2)</f>
        <v>1596.33</v>
      </c>
      <c r="L178" s="4">
        <f t="shared" si="30"/>
        <v>1555.67</v>
      </c>
      <c r="M178" s="4">
        <f t="shared" si="30"/>
        <v>1563</v>
      </c>
      <c r="N178" s="4">
        <f t="shared" si="30"/>
        <v>1500.83</v>
      </c>
    </row>
    <row r="181">
      <c r="A181" s="1" t="s">
        <v>35</v>
      </c>
      <c r="F181" s="1" t="s">
        <v>36</v>
      </c>
      <c r="K181" s="1" t="s">
        <v>37</v>
      </c>
    </row>
    <row r="182">
      <c r="A182" s="2" t="s">
        <v>28</v>
      </c>
      <c r="B182" s="2" t="s">
        <v>5</v>
      </c>
      <c r="C182" s="2" t="s">
        <v>6</v>
      </c>
      <c r="D182" s="2" t="s">
        <v>7</v>
      </c>
      <c r="F182" s="2" t="s">
        <v>28</v>
      </c>
      <c r="G182" s="2" t="s">
        <v>5</v>
      </c>
      <c r="H182" s="2" t="s">
        <v>6</v>
      </c>
      <c r="I182" s="2" t="s">
        <v>7</v>
      </c>
      <c r="K182" s="2" t="s">
        <v>28</v>
      </c>
      <c r="L182" s="2" t="s">
        <v>5</v>
      </c>
      <c r="M182" s="2" t="s">
        <v>6</v>
      </c>
      <c r="N182" s="2" t="s">
        <v>7</v>
      </c>
    </row>
    <row r="183">
      <c r="A183" s="3">
        <v>6850.0</v>
      </c>
      <c r="B183" s="3">
        <v>6480.0</v>
      </c>
      <c r="C183" s="3">
        <v>5990.0</v>
      </c>
      <c r="D183" s="3">
        <v>6000.0</v>
      </c>
      <c r="F183" s="3">
        <v>6650.0</v>
      </c>
      <c r="G183" s="3">
        <v>6420.0</v>
      </c>
      <c r="H183" s="3">
        <v>6390.0</v>
      </c>
      <c r="I183" s="3">
        <v>5790.0</v>
      </c>
      <c r="K183" s="3">
        <v>6590.0</v>
      </c>
      <c r="L183" s="3">
        <v>6520.0</v>
      </c>
      <c r="M183" s="3">
        <v>6130.0</v>
      </c>
      <c r="N183" s="3">
        <v>6080.0</v>
      </c>
    </row>
    <row r="184">
      <c r="A184" s="3">
        <v>6720.0</v>
      </c>
      <c r="B184" s="3">
        <v>6220.0</v>
      </c>
      <c r="C184" s="3">
        <v>6380.0</v>
      </c>
      <c r="D184" s="3">
        <v>6440.0</v>
      </c>
      <c r="F184" s="3">
        <v>6060.0</v>
      </c>
      <c r="G184" s="3">
        <v>6310.0</v>
      </c>
      <c r="H184" s="3">
        <v>5900.0</v>
      </c>
      <c r="I184" s="3">
        <v>5490.0</v>
      </c>
      <c r="K184" s="3">
        <v>6540.0</v>
      </c>
      <c r="L184" s="3">
        <v>6310.0</v>
      </c>
      <c r="M184" s="3">
        <v>6220.0</v>
      </c>
      <c r="N184" s="3">
        <v>6240.0</v>
      </c>
    </row>
    <row r="185">
      <c r="A185" s="3">
        <v>6990.0</v>
      </c>
      <c r="B185" s="3">
        <v>6420.0</v>
      </c>
      <c r="C185" s="3">
        <v>6520.0</v>
      </c>
      <c r="D185" s="3">
        <v>5950.0</v>
      </c>
      <c r="F185" s="3">
        <v>7100.0</v>
      </c>
      <c r="G185" s="3">
        <v>6290.0</v>
      </c>
      <c r="H185" s="3">
        <v>6210.0</v>
      </c>
      <c r="I185" s="3">
        <v>5980.0</v>
      </c>
      <c r="K185" s="3">
        <v>6580.0</v>
      </c>
      <c r="L185" s="3">
        <v>6260.0</v>
      </c>
      <c r="M185" s="3">
        <v>6010.0</v>
      </c>
      <c r="N185" s="3">
        <v>6120.0</v>
      </c>
    </row>
    <row r="186">
      <c r="A186" s="3">
        <v>6170.0</v>
      </c>
      <c r="B186" s="3">
        <v>6310.0</v>
      </c>
      <c r="C186" s="3">
        <v>6040.0</v>
      </c>
      <c r="D186" s="3">
        <v>6410.0</v>
      </c>
      <c r="F186" s="3">
        <v>5990.0</v>
      </c>
      <c r="G186" s="3">
        <v>6520.0</v>
      </c>
      <c r="H186" s="3">
        <v>6240.0</v>
      </c>
      <c r="I186" s="3">
        <v>6080.0</v>
      </c>
      <c r="K186" s="3">
        <v>6440.0</v>
      </c>
      <c r="L186" s="3">
        <v>6320.0</v>
      </c>
      <c r="M186" s="3">
        <v>5920.0</v>
      </c>
      <c r="N186" s="3">
        <v>5810.0</v>
      </c>
    </row>
    <row r="187">
      <c r="A187" s="3">
        <v>6200.0</v>
      </c>
      <c r="B187" s="3">
        <v>6420.0</v>
      </c>
      <c r="C187" s="3">
        <v>6180.0</v>
      </c>
      <c r="D187" s="3">
        <v>5890.0</v>
      </c>
      <c r="F187" s="3">
        <v>6950.0</v>
      </c>
      <c r="G187" s="3">
        <v>6430.0</v>
      </c>
      <c r="H187" s="3">
        <v>6030.0</v>
      </c>
      <c r="I187" s="3">
        <v>5900.0</v>
      </c>
      <c r="K187" s="3">
        <v>6860.0</v>
      </c>
      <c r="L187" s="3">
        <v>6410.0</v>
      </c>
      <c r="M187" s="3">
        <v>6310.0</v>
      </c>
      <c r="N187" s="3">
        <v>5720.0</v>
      </c>
    </row>
    <row r="188">
      <c r="A188" s="3">
        <v>6250.0</v>
      </c>
      <c r="B188" s="3">
        <v>6510.0</v>
      </c>
      <c r="C188" s="3">
        <v>6260.0</v>
      </c>
      <c r="D188" s="3">
        <v>5310.0</v>
      </c>
      <c r="F188" s="3">
        <v>6120.0</v>
      </c>
      <c r="G188" s="3">
        <v>6520.0</v>
      </c>
      <c r="H188" s="3">
        <v>5710.0</v>
      </c>
      <c r="I188" s="3">
        <v>5280.0</v>
      </c>
      <c r="K188" s="3">
        <v>6810.0</v>
      </c>
      <c r="L188" s="3">
        <v>6520.0</v>
      </c>
      <c r="M188" s="3">
        <v>6220.0</v>
      </c>
      <c r="N188" s="3">
        <v>6480.0</v>
      </c>
    </row>
    <row r="189">
      <c r="A189" s="3">
        <v>6860.0</v>
      </c>
      <c r="B189" s="3">
        <v>6260.0</v>
      </c>
      <c r="C189" s="3">
        <v>6060.0</v>
      </c>
      <c r="D189" s="3">
        <v>6210.0</v>
      </c>
      <c r="F189" s="3">
        <v>6320.0</v>
      </c>
      <c r="G189" s="3">
        <v>6410.0</v>
      </c>
      <c r="H189" s="3">
        <v>6440.0</v>
      </c>
      <c r="I189" s="3">
        <v>6290.0</v>
      </c>
      <c r="K189" s="3">
        <v>6530.0</v>
      </c>
      <c r="L189" s="3">
        <v>6600.0</v>
      </c>
      <c r="M189" s="3">
        <v>6110.0</v>
      </c>
      <c r="N189" s="3">
        <v>6640.0</v>
      </c>
    </row>
    <row r="190">
      <c r="A190" s="3">
        <v>6830.0</v>
      </c>
      <c r="B190" s="3">
        <v>6420.0</v>
      </c>
      <c r="C190" s="3">
        <v>5840.0</v>
      </c>
      <c r="D190" s="3">
        <v>5450.0</v>
      </c>
      <c r="F190" s="3">
        <v>5790.0</v>
      </c>
      <c r="G190" s="3">
        <v>6360.0</v>
      </c>
      <c r="H190" s="3">
        <v>5870.0</v>
      </c>
      <c r="I190" s="3">
        <v>6300.0</v>
      </c>
      <c r="K190" s="3">
        <v>6510.0</v>
      </c>
      <c r="L190" s="3">
        <v>6230.0</v>
      </c>
      <c r="M190" s="3">
        <v>5940.0</v>
      </c>
      <c r="N190" s="3">
        <v>6210.0</v>
      </c>
    </row>
    <row r="191">
      <c r="A191" s="3">
        <v>6240.0</v>
      </c>
      <c r="B191" s="3">
        <v>6510.0</v>
      </c>
      <c r="C191" s="3">
        <v>6490.0</v>
      </c>
      <c r="D191" s="3">
        <v>6080.0</v>
      </c>
      <c r="F191" s="3">
        <v>6350.0</v>
      </c>
      <c r="G191" s="3">
        <v>6510.0</v>
      </c>
      <c r="H191" s="3">
        <v>6260.0</v>
      </c>
      <c r="I191" s="3">
        <v>6550.0</v>
      </c>
      <c r="K191" s="3">
        <v>6500.0</v>
      </c>
      <c r="L191" s="3">
        <v>6620.0</v>
      </c>
      <c r="M191" s="3">
        <v>5980.0</v>
      </c>
      <c r="N191" s="3">
        <v>6200.0</v>
      </c>
    </row>
    <row r="192">
      <c r="A192" s="3">
        <v>5900.0</v>
      </c>
      <c r="B192" s="3">
        <v>6320.0</v>
      </c>
      <c r="C192" s="3">
        <v>5600.0</v>
      </c>
      <c r="D192" s="3">
        <v>6330.0</v>
      </c>
      <c r="F192" s="3">
        <v>6640.0</v>
      </c>
      <c r="G192" s="3">
        <v>6210.0</v>
      </c>
      <c r="H192" s="3">
        <v>5880.0</v>
      </c>
      <c r="I192" s="3">
        <v>5740.0</v>
      </c>
      <c r="K192" s="3">
        <v>6490.0</v>
      </c>
      <c r="L192" s="3">
        <v>6420.0</v>
      </c>
      <c r="M192" s="3">
        <v>6000.0</v>
      </c>
      <c r="N192" s="3">
        <v>6120.0</v>
      </c>
    </row>
    <row r="193">
      <c r="A193" s="3">
        <v>6320.0</v>
      </c>
      <c r="B193" s="3">
        <v>6410.0</v>
      </c>
      <c r="C193" s="3">
        <v>6140.0</v>
      </c>
      <c r="D193" s="3">
        <v>6000.0</v>
      </c>
      <c r="F193" s="3">
        <v>6220.0</v>
      </c>
      <c r="G193" s="3">
        <v>6320.0</v>
      </c>
      <c r="H193" s="3">
        <v>6340.0</v>
      </c>
      <c r="I193" s="3">
        <v>6010.0</v>
      </c>
      <c r="K193" s="3">
        <v>6590.0</v>
      </c>
      <c r="L193" s="3">
        <v>6310.0</v>
      </c>
      <c r="M193" s="3">
        <v>6110.0</v>
      </c>
      <c r="N193" s="3">
        <v>5910.0</v>
      </c>
    </row>
    <row r="194">
      <c r="A194" s="3">
        <v>6190.0</v>
      </c>
      <c r="B194" s="3">
        <v>6520.0</v>
      </c>
      <c r="C194" s="3">
        <v>5990.0</v>
      </c>
      <c r="D194" s="3">
        <v>6120.0</v>
      </c>
      <c r="F194" s="3">
        <v>5820.0</v>
      </c>
      <c r="G194" s="3">
        <v>6410.0</v>
      </c>
      <c r="H194" s="3">
        <v>7240.0</v>
      </c>
      <c r="I194" s="3">
        <v>6390.0</v>
      </c>
      <c r="K194" s="3">
        <v>6590.0</v>
      </c>
      <c r="L194" s="3">
        <v>6210.0</v>
      </c>
      <c r="M194" s="3">
        <v>6120.0</v>
      </c>
      <c r="N194" s="3">
        <v>6700.0</v>
      </c>
    </row>
    <row r="195">
      <c r="A195" s="3">
        <v>6420.0</v>
      </c>
      <c r="B195" s="3">
        <v>6360.0</v>
      </c>
      <c r="C195" s="3">
        <v>5640.0</v>
      </c>
      <c r="D195" s="3">
        <v>6310.0</v>
      </c>
      <c r="F195" s="3">
        <v>6080.0</v>
      </c>
      <c r="G195" s="3">
        <v>6210.0</v>
      </c>
      <c r="H195" s="3">
        <v>5910.0</v>
      </c>
      <c r="I195" s="3">
        <v>6020.0</v>
      </c>
      <c r="K195" s="3">
        <v>5590.0</v>
      </c>
      <c r="L195" s="3">
        <v>6320.0</v>
      </c>
      <c r="M195" s="3">
        <v>5890.0</v>
      </c>
      <c r="N195" s="3">
        <v>6130.0</v>
      </c>
    </row>
    <row r="196">
      <c r="A196" s="3">
        <v>6860.0</v>
      </c>
      <c r="B196" s="3">
        <v>6420.0</v>
      </c>
      <c r="C196" s="3">
        <v>6470.0</v>
      </c>
      <c r="D196" s="3">
        <v>6120.0</v>
      </c>
      <c r="F196" s="3">
        <v>6700.0</v>
      </c>
      <c r="G196" s="3">
        <v>6360.0</v>
      </c>
      <c r="H196" s="3">
        <v>5800.0</v>
      </c>
      <c r="I196" s="3">
        <v>5930.0</v>
      </c>
      <c r="K196" s="3">
        <v>6200.0</v>
      </c>
      <c r="L196" s="3">
        <v>6120.0</v>
      </c>
      <c r="M196" s="3">
        <v>6110.0</v>
      </c>
      <c r="N196" s="3">
        <v>6480.0</v>
      </c>
    </row>
    <row r="197">
      <c r="A197" s="3">
        <v>6080.0</v>
      </c>
      <c r="B197" s="3">
        <v>6260.0</v>
      </c>
      <c r="C197" s="3">
        <v>6430.0</v>
      </c>
      <c r="D197" s="3">
        <v>6370.0</v>
      </c>
      <c r="F197" s="3">
        <v>6070.0</v>
      </c>
      <c r="G197" s="3">
        <v>6530.0</v>
      </c>
      <c r="H197" s="3">
        <v>5540.0</v>
      </c>
      <c r="I197" s="3">
        <v>6870.0</v>
      </c>
      <c r="K197" s="3">
        <v>6450.0</v>
      </c>
      <c r="L197" s="3">
        <v>6110.0</v>
      </c>
      <c r="M197" s="3">
        <v>6210.0</v>
      </c>
      <c r="N197" s="3">
        <v>6170.0</v>
      </c>
    </row>
    <row r="198">
      <c r="A198" s="4">
        <f t="shared" ref="A198:D198" si="31">round((SUM(A183:A197)/60),2)</f>
        <v>1614.67</v>
      </c>
      <c r="B198" s="4">
        <f t="shared" si="31"/>
        <v>1597.33</v>
      </c>
      <c r="C198" s="4">
        <f t="shared" si="31"/>
        <v>1533.83</v>
      </c>
      <c r="D198" s="4">
        <f t="shared" si="31"/>
        <v>1516.5</v>
      </c>
      <c r="F198" s="4">
        <f t="shared" ref="F198:I198" si="32">round((SUM(F183:F197)/60),2)</f>
        <v>1581</v>
      </c>
      <c r="G198" s="4">
        <f t="shared" si="32"/>
        <v>1596.83</v>
      </c>
      <c r="H198" s="4">
        <f t="shared" si="32"/>
        <v>1529.33</v>
      </c>
      <c r="I198" s="4">
        <f t="shared" si="32"/>
        <v>1510.33</v>
      </c>
      <c r="K198" s="4">
        <f t="shared" ref="K198:N198" si="33">round((SUM(K183:K197)/60),2)</f>
        <v>1621.17</v>
      </c>
      <c r="L198" s="4">
        <f t="shared" si="33"/>
        <v>1588</v>
      </c>
      <c r="M198" s="4">
        <f t="shared" si="33"/>
        <v>1521.33</v>
      </c>
      <c r="N198" s="4">
        <f t="shared" si="33"/>
        <v>1550.17</v>
      </c>
    </row>
    <row r="201">
      <c r="A201" s="1" t="s">
        <v>38</v>
      </c>
      <c r="F201" s="1" t="s">
        <v>39</v>
      </c>
      <c r="K201" s="1" t="s">
        <v>40</v>
      </c>
    </row>
    <row r="202">
      <c r="A202" s="2" t="s">
        <v>28</v>
      </c>
      <c r="B202" s="2" t="s">
        <v>5</v>
      </c>
      <c r="C202" s="2" t="s">
        <v>6</v>
      </c>
      <c r="D202" s="2" t="s">
        <v>7</v>
      </c>
      <c r="F202" s="2" t="s">
        <v>28</v>
      </c>
      <c r="G202" s="2" t="s">
        <v>5</v>
      </c>
      <c r="H202" s="2" t="s">
        <v>6</v>
      </c>
      <c r="I202" s="2" t="s">
        <v>7</v>
      </c>
      <c r="K202" s="2" t="s">
        <v>28</v>
      </c>
      <c r="L202" s="2" t="s">
        <v>5</v>
      </c>
      <c r="M202" s="2" t="s">
        <v>6</v>
      </c>
      <c r="N202" s="2" t="s">
        <v>7</v>
      </c>
    </row>
    <row r="203">
      <c r="A203" s="3">
        <v>6200.0</v>
      </c>
      <c r="B203" s="3">
        <v>6310.0</v>
      </c>
      <c r="C203" s="3">
        <v>5660.0</v>
      </c>
      <c r="D203" s="3">
        <v>5600.0</v>
      </c>
      <c r="F203" s="3">
        <v>5070.0</v>
      </c>
      <c r="G203" s="3">
        <v>5480.0</v>
      </c>
      <c r="H203" s="3">
        <v>5060.0</v>
      </c>
      <c r="I203" s="3">
        <v>5170.0</v>
      </c>
      <c r="K203" s="3">
        <v>5530.0</v>
      </c>
      <c r="L203" s="3">
        <v>5960.0</v>
      </c>
      <c r="M203" s="3">
        <v>5320.0</v>
      </c>
      <c r="N203" s="3">
        <v>5820.0</v>
      </c>
    </row>
    <row r="204">
      <c r="A204" s="3">
        <v>6300.0</v>
      </c>
      <c r="B204" s="3">
        <v>6420.0</v>
      </c>
      <c r="C204" s="3">
        <v>5870.0</v>
      </c>
      <c r="D204" s="3">
        <v>6570.0</v>
      </c>
      <c r="F204" s="3">
        <v>4990.0</v>
      </c>
      <c r="G204" s="3">
        <v>5850.0</v>
      </c>
      <c r="H204" s="3">
        <v>5120.0</v>
      </c>
      <c r="I204" s="3">
        <v>5240.0</v>
      </c>
      <c r="K204" s="3">
        <v>5920.0</v>
      </c>
      <c r="L204" s="3">
        <v>5550.0</v>
      </c>
      <c r="M204" s="3">
        <v>5560.0</v>
      </c>
      <c r="N204" s="3">
        <v>5960.0</v>
      </c>
    </row>
    <row r="205">
      <c r="A205" s="3">
        <v>6320.0</v>
      </c>
      <c r="B205" s="3">
        <v>6210.0</v>
      </c>
      <c r="C205" s="3">
        <v>6090.0</v>
      </c>
      <c r="D205" s="3">
        <v>6540.0</v>
      </c>
      <c r="F205" s="3">
        <v>5080.0</v>
      </c>
      <c r="G205" s="3">
        <v>5240.0</v>
      </c>
      <c r="H205" s="3">
        <v>5010.0</v>
      </c>
      <c r="I205" s="3">
        <v>5430.0</v>
      </c>
      <c r="K205" s="3">
        <v>5850.0</v>
      </c>
      <c r="L205" s="3">
        <v>5610.0</v>
      </c>
      <c r="M205" s="3">
        <v>5620.0</v>
      </c>
      <c r="N205" s="3">
        <v>5720.0</v>
      </c>
    </row>
    <row r="206">
      <c r="A206" s="3">
        <v>6210.0</v>
      </c>
      <c r="B206" s="3">
        <v>6320.0</v>
      </c>
      <c r="C206" s="3">
        <v>5780.0</v>
      </c>
      <c r="D206" s="3">
        <v>6300.0</v>
      </c>
      <c r="F206" s="3">
        <v>4920.0</v>
      </c>
      <c r="G206" s="3">
        <v>5560.0</v>
      </c>
      <c r="H206" s="3">
        <v>4870.0</v>
      </c>
      <c r="I206" s="3">
        <v>4900.0</v>
      </c>
      <c r="K206" s="3">
        <v>5800.0</v>
      </c>
      <c r="L206" s="3">
        <v>5820.0</v>
      </c>
      <c r="M206" s="3">
        <v>5310.0</v>
      </c>
      <c r="N206" s="3">
        <v>5610.0</v>
      </c>
    </row>
    <row r="207">
      <c r="A207" s="3">
        <v>5910.0</v>
      </c>
      <c r="B207" s="3">
        <v>6460.0</v>
      </c>
      <c r="C207" s="3">
        <v>5820.0</v>
      </c>
      <c r="D207" s="3">
        <v>6380.0</v>
      </c>
      <c r="F207" s="3">
        <v>5270.0</v>
      </c>
      <c r="G207" s="3">
        <v>5770.0</v>
      </c>
      <c r="H207" s="3">
        <v>4920.0</v>
      </c>
      <c r="I207" s="3">
        <v>5180.0</v>
      </c>
      <c r="K207" s="3">
        <v>6520.0</v>
      </c>
      <c r="L207" s="3">
        <v>6330.0</v>
      </c>
      <c r="M207" s="3">
        <v>5620.0</v>
      </c>
      <c r="N207" s="3">
        <v>5720.0</v>
      </c>
    </row>
    <row r="208">
      <c r="A208" s="3">
        <v>6250.0</v>
      </c>
      <c r="B208" s="3">
        <v>6260.0</v>
      </c>
      <c r="C208" s="3">
        <v>5940.0</v>
      </c>
      <c r="D208" s="3">
        <v>6490.0</v>
      </c>
      <c r="F208" s="3">
        <v>5890.0</v>
      </c>
      <c r="G208" s="3">
        <v>5820.0</v>
      </c>
      <c r="H208" s="3">
        <v>5110.0</v>
      </c>
      <c r="I208" s="3">
        <v>5340.0</v>
      </c>
      <c r="K208" s="3">
        <v>5780.0</v>
      </c>
      <c r="L208" s="3">
        <v>5420.0</v>
      </c>
      <c r="M208" s="3">
        <v>5560.0</v>
      </c>
      <c r="N208" s="3">
        <v>5610.0</v>
      </c>
    </row>
    <row r="209">
      <c r="A209" s="3">
        <v>6240.0</v>
      </c>
      <c r="B209" s="3">
        <v>6320.0</v>
      </c>
      <c r="C209" s="3">
        <v>5920.0</v>
      </c>
      <c r="D209" s="3">
        <v>6170.0</v>
      </c>
      <c r="F209" s="3">
        <v>5550.0</v>
      </c>
      <c r="G209" s="3">
        <v>5910.0</v>
      </c>
      <c r="H209" s="3">
        <v>5010.0</v>
      </c>
      <c r="I209" s="3">
        <v>4890.0</v>
      </c>
      <c r="K209" s="3">
        <v>6170.0</v>
      </c>
      <c r="L209" s="3">
        <v>5860.0</v>
      </c>
      <c r="M209" s="3">
        <v>5620.0</v>
      </c>
      <c r="N209" s="3">
        <v>6080.0</v>
      </c>
    </row>
    <row r="210">
      <c r="A210" s="3">
        <v>6350.0</v>
      </c>
      <c r="B210" s="3">
        <v>6560.0</v>
      </c>
      <c r="C210" s="3">
        <v>6210.0</v>
      </c>
      <c r="D210" s="3">
        <v>7020.0</v>
      </c>
      <c r="F210" s="3">
        <v>5560.0</v>
      </c>
      <c r="G210" s="3">
        <v>5360.0</v>
      </c>
      <c r="H210" s="3">
        <v>4420.0</v>
      </c>
      <c r="I210" s="3">
        <v>5490.0</v>
      </c>
      <c r="K210" s="3">
        <v>6220.0</v>
      </c>
      <c r="L210" s="3">
        <v>5920.0</v>
      </c>
      <c r="M210" s="3">
        <v>5370.0</v>
      </c>
      <c r="N210" s="3">
        <v>5830.0</v>
      </c>
    </row>
    <row r="211">
      <c r="A211" s="3">
        <v>6500.0</v>
      </c>
      <c r="B211" s="3">
        <v>6420.0</v>
      </c>
      <c r="C211" s="3">
        <v>6150.0</v>
      </c>
      <c r="D211" s="3">
        <v>5980.0</v>
      </c>
      <c r="F211" s="3">
        <v>4990.0</v>
      </c>
      <c r="G211" s="3">
        <v>5130.0</v>
      </c>
      <c r="H211" s="3">
        <v>4890.0</v>
      </c>
      <c r="I211" s="3">
        <v>5680.0</v>
      </c>
      <c r="K211" s="3">
        <v>5760.0</v>
      </c>
      <c r="L211" s="3">
        <v>5810.0</v>
      </c>
      <c r="M211" s="3">
        <v>5420.0</v>
      </c>
      <c r="N211" s="3">
        <v>5660.0</v>
      </c>
    </row>
    <row r="212">
      <c r="A212" s="3">
        <v>6450.0</v>
      </c>
      <c r="B212" s="3">
        <v>6310.0</v>
      </c>
      <c r="C212" s="3">
        <v>6220.0</v>
      </c>
      <c r="D212" s="3">
        <v>5910.0</v>
      </c>
      <c r="F212" s="3">
        <v>5020.0</v>
      </c>
      <c r="G212" s="3">
        <v>5260.0</v>
      </c>
      <c r="H212" s="3">
        <v>5060.0</v>
      </c>
      <c r="I212" s="3">
        <v>4670.0</v>
      </c>
      <c r="K212" s="3">
        <v>5670.0</v>
      </c>
      <c r="L212" s="3">
        <v>5940.0</v>
      </c>
      <c r="M212" s="3">
        <v>5600.0</v>
      </c>
      <c r="N212" s="3">
        <v>5720.0</v>
      </c>
    </row>
    <row r="213">
      <c r="A213" s="3">
        <v>6180.0</v>
      </c>
      <c r="B213" s="3">
        <v>6240.0</v>
      </c>
      <c r="C213" s="3">
        <v>6540.0</v>
      </c>
      <c r="D213" s="3">
        <v>6530.0</v>
      </c>
      <c r="F213" s="3">
        <v>5010.0</v>
      </c>
      <c r="G213" s="3">
        <v>5160.0</v>
      </c>
      <c r="H213" s="3">
        <v>5020.0</v>
      </c>
      <c r="I213" s="3">
        <v>5550.0</v>
      </c>
      <c r="K213" s="3">
        <v>5540.0</v>
      </c>
      <c r="L213" s="3">
        <v>5720.0</v>
      </c>
      <c r="M213" s="3">
        <v>5520.0</v>
      </c>
      <c r="N213" s="3">
        <v>5510.0</v>
      </c>
    </row>
    <row r="214">
      <c r="A214" s="3">
        <v>6290.0</v>
      </c>
      <c r="B214" s="3">
        <v>6420.0</v>
      </c>
      <c r="C214" s="3">
        <v>6610.0</v>
      </c>
      <c r="D214" s="3">
        <v>6260.0</v>
      </c>
      <c r="F214" s="3">
        <v>5000.0</v>
      </c>
      <c r="G214" s="3">
        <v>5320.0</v>
      </c>
      <c r="H214" s="3">
        <v>4710.0</v>
      </c>
      <c r="I214" s="3">
        <v>4340.0</v>
      </c>
      <c r="K214" s="3">
        <v>5420.0</v>
      </c>
      <c r="L214" s="3">
        <v>5730.0</v>
      </c>
      <c r="M214" s="3">
        <v>5610.0</v>
      </c>
      <c r="N214" s="3">
        <v>5820.0</v>
      </c>
    </row>
    <row r="215">
      <c r="A215" s="3">
        <v>6500.0</v>
      </c>
      <c r="B215" s="3">
        <v>6610.0</v>
      </c>
      <c r="C215" s="3">
        <v>5910.0</v>
      </c>
      <c r="D215" s="3">
        <v>6340.0</v>
      </c>
      <c r="F215" s="3">
        <v>5720.0</v>
      </c>
      <c r="G215" s="3">
        <v>5370.0</v>
      </c>
      <c r="H215" s="3">
        <v>4620.0</v>
      </c>
      <c r="I215" s="3">
        <v>5420.0</v>
      </c>
      <c r="K215" s="3">
        <v>5860.0</v>
      </c>
      <c r="L215" s="3">
        <v>5660.0</v>
      </c>
      <c r="M215" s="3">
        <v>5720.0</v>
      </c>
      <c r="N215" s="3">
        <v>5760.0</v>
      </c>
    </row>
    <row r="216">
      <c r="A216" s="3">
        <v>6420.0</v>
      </c>
      <c r="B216" s="3">
        <v>6720.0</v>
      </c>
      <c r="C216" s="3">
        <v>6220.0</v>
      </c>
      <c r="D216" s="3">
        <v>6320.0</v>
      </c>
      <c r="F216" s="3">
        <v>5660.0</v>
      </c>
      <c r="G216" s="3">
        <v>5260.0</v>
      </c>
      <c r="H216" s="3">
        <v>4910.0</v>
      </c>
      <c r="I216" s="3">
        <v>5480.0</v>
      </c>
      <c r="K216" s="3">
        <v>5960.0</v>
      </c>
      <c r="L216" s="3">
        <v>5920.0</v>
      </c>
      <c r="M216" s="3">
        <v>5620.0</v>
      </c>
      <c r="N216" s="3">
        <v>5620.0</v>
      </c>
    </row>
    <row r="217">
      <c r="A217" s="3">
        <v>5980.0</v>
      </c>
      <c r="B217" s="3">
        <v>6160.0</v>
      </c>
      <c r="C217" s="3">
        <v>5650.0</v>
      </c>
      <c r="D217" s="3">
        <v>6050.0</v>
      </c>
      <c r="F217" s="3">
        <v>5390.0</v>
      </c>
      <c r="G217" s="3">
        <v>5060.0</v>
      </c>
      <c r="H217" s="3">
        <v>5210.0</v>
      </c>
      <c r="I217" s="3">
        <v>5670.0</v>
      </c>
      <c r="K217" s="3">
        <v>5720.0</v>
      </c>
      <c r="L217" s="3">
        <v>6560.0</v>
      </c>
      <c r="M217" s="3">
        <v>5820.0</v>
      </c>
      <c r="N217" s="3">
        <v>5910.0</v>
      </c>
    </row>
    <row r="218">
      <c r="A218" s="4">
        <f t="shared" ref="A218:D218" si="34">round((SUM(A203:A217)/60),2)</f>
        <v>1568.33</v>
      </c>
      <c r="B218" s="4">
        <f t="shared" si="34"/>
        <v>1595.67</v>
      </c>
      <c r="C218" s="4">
        <f t="shared" si="34"/>
        <v>1509.83</v>
      </c>
      <c r="D218" s="4">
        <f t="shared" si="34"/>
        <v>1574.33</v>
      </c>
      <c r="F218" s="4">
        <f t="shared" ref="F218:I218" si="35">round((SUM(F203:F217)/60),2)</f>
        <v>1318.67</v>
      </c>
      <c r="G218" s="4">
        <f t="shared" si="35"/>
        <v>1359.17</v>
      </c>
      <c r="H218" s="4">
        <f t="shared" si="35"/>
        <v>1232.33</v>
      </c>
      <c r="I218" s="4">
        <f t="shared" si="35"/>
        <v>1307.5</v>
      </c>
      <c r="K218" s="4">
        <f t="shared" ref="K218:N218" si="36">round((SUM(K203:K217)/60),2)</f>
        <v>1462</v>
      </c>
      <c r="L218" s="4">
        <f t="shared" si="36"/>
        <v>1463.5</v>
      </c>
      <c r="M218" s="4">
        <f t="shared" si="36"/>
        <v>1388.17</v>
      </c>
      <c r="N218" s="4">
        <f t="shared" si="36"/>
        <v>1439.17</v>
      </c>
    </row>
    <row r="221">
      <c r="A221" s="1" t="s">
        <v>41</v>
      </c>
      <c r="F221" s="1" t="s">
        <v>42</v>
      </c>
      <c r="K221" s="1" t="s">
        <v>43</v>
      </c>
    </row>
    <row r="222">
      <c r="A222" s="2" t="s">
        <v>28</v>
      </c>
      <c r="B222" s="2" t="s">
        <v>5</v>
      </c>
      <c r="C222" s="2" t="s">
        <v>6</v>
      </c>
      <c r="D222" s="2" t="s">
        <v>7</v>
      </c>
      <c r="F222" s="2" t="s">
        <v>28</v>
      </c>
      <c r="G222" s="2" t="s">
        <v>5</v>
      </c>
      <c r="H222" s="2" t="s">
        <v>6</v>
      </c>
      <c r="I222" s="2" t="s">
        <v>7</v>
      </c>
      <c r="K222" s="2" t="s">
        <v>28</v>
      </c>
      <c r="L222" s="2" t="s">
        <v>5</v>
      </c>
      <c r="M222" s="2" t="s">
        <v>6</v>
      </c>
      <c r="N222" s="2" t="s">
        <v>7</v>
      </c>
    </row>
    <row r="223">
      <c r="A223" s="3">
        <v>5920.0</v>
      </c>
      <c r="B223" s="3">
        <v>6020.0</v>
      </c>
      <c r="C223" s="3">
        <v>6060.0</v>
      </c>
      <c r="D223" s="3">
        <v>6120.0</v>
      </c>
      <c r="F223" s="3">
        <v>5570.0</v>
      </c>
      <c r="G223" s="3">
        <v>6020.0</v>
      </c>
      <c r="H223" s="3">
        <v>5490.0</v>
      </c>
      <c r="I223" s="3">
        <v>6010.0</v>
      </c>
      <c r="K223" s="3">
        <v>5910.0</v>
      </c>
      <c r="L223" s="3">
        <v>6410.0</v>
      </c>
      <c r="M223" s="3">
        <v>6040.0</v>
      </c>
      <c r="N223" s="3">
        <v>5950.0</v>
      </c>
    </row>
    <row r="224">
      <c r="A224" s="3">
        <v>5780.0</v>
      </c>
      <c r="B224" s="3">
        <v>6010.0</v>
      </c>
      <c r="C224" s="3">
        <v>6280.0</v>
      </c>
      <c r="D224" s="3">
        <v>5750.0</v>
      </c>
      <c r="F224" s="3">
        <v>590.0</v>
      </c>
      <c r="G224" s="3">
        <v>5910.0</v>
      </c>
      <c r="H224" s="3">
        <v>5510.0</v>
      </c>
      <c r="I224" s="3">
        <v>6760.0</v>
      </c>
      <c r="K224" s="3">
        <v>6640.0</v>
      </c>
      <c r="L224" s="3">
        <v>5430.0</v>
      </c>
      <c r="M224" s="3">
        <v>6650.0</v>
      </c>
      <c r="N224" s="3">
        <v>6130.0</v>
      </c>
    </row>
    <row r="225">
      <c r="A225" s="3">
        <v>5450.0</v>
      </c>
      <c r="B225" s="3">
        <v>5920.0</v>
      </c>
      <c r="C225" s="3">
        <v>6250.0</v>
      </c>
      <c r="D225" s="3">
        <v>6940.0</v>
      </c>
      <c r="F225" s="3">
        <v>6460.0</v>
      </c>
      <c r="G225" s="3">
        <v>5860.0</v>
      </c>
      <c r="H225" s="3">
        <v>5960.0</v>
      </c>
      <c r="I225" s="3">
        <v>6550.0</v>
      </c>
      <c r="K225" s="3">
        <v>6060.0</v>
      </c>
      <c r="L225" s="3">
        <v>6520.0</v>
      </c>
      <c r="M225" s="3">
        <v>6270.0</v>
      </c>
      <c r="N225" s="3">
        <v>6250.0</v>
      </c>
    </row>
    <row r="226">
      <c r="A226" s="3">
        <v>6270.0</v>
      </c>
      <c r="B226" s="3">
        <v>5860.0</v>
      </c>
      <c r="C226" s="3">
        <v>6390.0</v>
      </c>
      <c r="D226" s="3">
        <v>5790.0</v>
      </c>
      <c r="F226" s="3">
        <v>6360.0</v>
      </c>
      <c r="G226" s="3">
        <v>6560.0</v>
      </c>
      <c r="H226" s="3">
        <v>5720.0</v>
      </c>
      <c r="I226" s="3">
        <v>6200.0</v>
      </c>
      <c r="K226" s="3">
        <v>6550.0</v>
      </c>
      <c r="L226" s="3">
        <v>6720.0</v>
      </c>
      <c r="M226" s="3">
        <v>6060.0</v>
      </c>
      <c r="N226" s="3">
        <v>5980.0</v>
      </c>
    </row>
    <row r="227">
      <c r="A227" s="3">
        <v>6120.0</v>
      </c>
      <c r="B227" s="3">
        <v>5720.0</v>
      </c>
      <c r="C227" s="3">
        <v>6010.0</v>
      </c>
      <c r="D227" s="3">
        <v>6240.0</v>
      </c>
      <c r="F227" s="3">
        <v>6520.0</v>
      </c>
      <c r="G227" s="3">
        <v>6220.0</v>
      </c>
      <c r="H227" s="3">
        <v>5810.0</v>
      </c>
      <c r="I227" s="3">
        <v>6040.0</v>
      </c>
      <c r="K227" s="3">
        <v>6450.0</v>
      </c>
      <c r="L227" s="3">
        <v>6350.0</v>
      </c>
      <c r="M227" s="3">
        <v>6080.0</v>
      </c>
      <c r="N227" s="3">
        <v>6480.0</v>
      </c>
    </row>
    <row r="228">
      <c r="A228" s="3">
        <v>6020.0</v>
      </c>
      <c r="B228" s="3">
        <v>5660.0</v>
      </c>
      <c r="C228" s="3">
        <v>6270.0</v>
      </c>
      <c r="D228" s="3">
        <v>6500.0</v>
      </c>
      <c r="F228" s="3">
        <v>6160.0</v>
      </c>
      <c r="G228" s="3">
        <v>6190.0</v>
      </c>
      <c r="H228" s="3">
        <v>5720.0</v>
      </c>
      <c r="I228" s="3">
        <v>6210.0</v>
      </c>
      <c r="K228" s="3">
        <v>6630.0</v>
      </c>
      <c r="L228" s="3">
        <v>6550.0</v>
      </c>
      <c r="M228" s="3">
        <v>6200.0</v>
      </c>
      <c r="N228" s="3">
        <v>6510.0</v>
      </c>
    </row>
    <row r="229">
      <c r="A229" s="3">
        <v>6050.0</v>
      </c>
      <c r="B229" s="3">
        <v>5920.0</v>
      </c>
      <c r="C229" s="3">
        <v>6500.0</v>
      </c>
      <c r="D229" s="3">
        <v>6760.0</v>
      </c>
      <c r="F229" s="3">
        <v>6220.0</v>
      </c>
      <c r="G229" s="3">
        <v>6360.0</v>
      </c>
      <c r="H229" s="3">
        <v>5910.0</v>
      </c>
      <c r="I229" s="3">
        <v>6320.0</v>
      </c>
      <c r="K229" s="3">
        <v>6530.0</v>
      </c>
      <c r="L229" s="3">
        <v>6450.0</v>
      </c>
      <c r="M229" s="3">
        <v>6220.0</v>
      </c>
      <c r="N229" s="3">
        <v>5900.0</v>
      </c>
    </row>
    <row r="230">
      <c r="A230" s="3">
        <v>6280.0</v>
      </c>
      <c r="B230" s="3">
        <v>5610.0</v>
      </c>
      <c r="C230" s="3">
        <v>6100.0</v>
      </c>
      <c r="D230" s="3">
        <v>6220.0</v>
      </c>
      <c r="F230" s="3">
        <v>5910.0</v>
      </c>
      <c r="G230" s="3">
        <v>6220.0</v>
      </c>
      <c r="H230" s="3">
        <v>5660.0</v>
      </c>
      <c r="I230" s="3">
        <v>6060.0</v>
      </c>
      <c r="K230" s="3">
        <v>6620.0</v>
      </c>
      <c r="L230" s="3">
        <v>6730.0</v>
      </c>
      <c r="M230" s="3">
        <v>6750.0</v>
      </c>
      <c r="N230" s="3">
        <v>6620.0</v>
      </c>
    </row>
    <row r="231">
      <c r="A231" s="3">
        <v>6360.0</v>
      </c>
      <c r="B231" s="3">
        <v>5820.0</v>
      </c>
      <c r="C231" s="3">
        <v>6260.0</v>
      </c>
      <c r="D231" s="3">
        <v>6500.0</v>
      </c>
      <c r="F231" s="3">
        <v>6060.0</v>
      </c>
      <c r="G231" s="3">
        <v>6090.0</v>
      </c>
      <c r="H231" s="3">
        <v>5720.0</v>
      </c>
      <c r="I231" s="3">
        <v>5920.0</v>
      </c>
      <c r="K231" s="3">
        <v>6650.0</v>
      </c>
      <c r="L231" s="3">
        <v>6530.0</v>
      </c>
      <c r="M231" s="3">
        <v>6270.0</v>
      </c>
      <c r="N231" s="3">
        <v>6180.0</v>
      </c>
    </row>
    <row r="232">
      <c r="A232" s="3">
        <v>5830.0</v>
      </c>
      <c r="B232" s="3">
        <v>5960.0</v>
      </c>
      <c r="C232" s="3">
        <v>5450.0</v>
      </c>
      <c r="D232" s="3">
        <v>6230.0</v>
      </c>
      <c r="F232" s="3">
        <v>6210.0</v>
      </c>
      <c r="G232" s="3">
        <v>6260.0</v>
      </c>
      <c r="H232" s="3">
        <v>5910.0</v>
      </c>
      <c r="I232" s="3">
        <v>6020.0</v>
      </c>
      <c r="K232" s="3">
        <v>6310.0</v>
      </c>
      <c r="L232" s="3">
        <v>6830.0</v>
      </c>
      <c r="M232" s="3">
        <v>6270.0</v>
      </c>
      <c r="N232" s="3">
        <v>6400.0</v>
      </c>
    </row>
    <row r="233">
      <c r="A233" s="3">
        <v>6360.0</v>
      </c>
      <c r="B233" s="3">
        <v>5820.0</v>
      </c>
      <c r="C233" s="3">
        <v>5670.0</v>
      </c>
      <c r="D233" s="3">
        <v>5700.0</v>
      </c>
      <c r="F233" s="3">
        <v>5910.0</v>
      </c>
      <c r="G233" s="3">
        <v>6480.0</v>
      </c>
      <c r="H233" s="3">
        <v>5530.0</v>
      </c>
      <c r="I233" s="3">
        <v>6130.0</v>
      </c>
      <c r="K233" s="3">
        <v>6630.0</v>
      </c>
      <c r="L233" s="3">
        <v>5890.0</v>
      </c>
      <c r="M233" s="3">
        <v>6330.0</v>
      </c>
      <c r="N233" s="3">
        <v>6200.0</v>
      </c>
    </row>
    <row r="234">
      <c r="A234" s="3">
        <v>6440.0</v>
      </c>
      <c r="B234" s="3">
        <v>5760.0</v>
      </c>
      <c r="C234" s="3">
        <v>5740.0</v>
      </c>
      <c r="D234" s="3">
        <v>5620.0</v>
      </c>
      <c r="F234" s="3">
        <v>6000.0</v>
      </c>
      <c r="G234" s="3">
        <v>6320.0</v>
      </c>
      <c r="H234" s="3">
        <v>5640.0</v>
      </c>
      <c r="I234" s="3">
        <v>6120.0</v>
      </c>
      <c r="K234" s="3">
        <v>6190.0</v>
      </c>
      <c r="L234" s="3">
        <v>6590.0</v>
      </c>
      <c r="M234" s="3">
        <v>6090.0</v>
      </c>
      <c r="N234" s="3">
        <v>6120.0</v>
      </c>
    </row>
    <row r="235">
      <c r="A235" s="3">
        <v>5570.0</v>
      </c>
      <c r="B235" s="3">
        <v>5960.0</v>
      </c>
      <c r="C235" s="3">
        <v>5670.0</v>
      </c>
      <c r="D235" s="3">
        <v>5980.0</v>
      </c>
      <c r="F235" s="3">
        <v>6690.0</v>
      </c>
      <c r="G235" s="3">
        <v>6160.0</v>
      </c>
      <c r="H235" s="3">
        <v>5720.0</v>
      </c>
      <c r="I235" s="3">
        <v>6020.0</v>
      </c>
      <c r="K235" s="3">
        <v>6590.0</v>
      </c>
      <c r="L235" s="3">
        <v>6960.0</v>
      </c>
      <c r="M235" s="3">
        <v>6300.0</v>
      </c>
      <c r="N235" s="3">
        <v>6440.0</v>
      </c>
    </row>
    <row r="236">
      <c r="A236" s="3">
        <v>6170.0</v>
      </c>
      <c r="B236" s="3">
        <v>6060.0</v>
      </c>
      <c r="C236" s="3">
        <v>6050.0</v>
      </c>
      <c r="D236" s="3">
        <v>5270.0</v>
      </c>
      <c r="F236" s="3">
        <v>6320.0</v>
      </c>
      <c r="G236" s="3">
        <v>6010.0</v>
      </c>
      <c r="H236" s="3">
        <v>5450.0</v>
      </c>
      <c r="I236" s="3">
        <v>5820.0</v>
      </c>
      <c r="K236" s="3">
        <v>6510.0</v>
      </c>
      <c r="L236" s="3">
        <v>6830.0</v>
      </c>
      <c r="M236" s="3">
        <v>6130.0</v>
      </c>
      <c r="N236" s="3">
        <v>6220.0</v>
      </c>
    </row>
    <row r="237">
      <c r="A237" s="3">
        <v>6340.0</v>
      </c>
      <c r="B237" s="3">
        <v>6260.0</v>
      </c>
      <c r="C237" s="3">
        <v>5300.0</v>
      </c>
      <c r="D237" s="3">
        <v>6180.0</v>
      </c>
      <c r="F237" s="3">
        <v>5930.0</v>
      </c>
      <c r="G237" s="3">
        <v>5930.0</v>
      </c>
      <c r="H237" s="3">
        <v>5830.0</v>
      </c>
      <c r="I237" s="3">
        <v>6210.0</v>
      </c>
      <c r="K237" s="3">
        <v>6160.0</v>
      </c>
      <c r="L237" s="3">
        <v>6570.0</v>
      </c>
      <c r="M237" s="3">
        <v>6740.0</v>
      </c>
      <c r="N237" s="3">
        <v>6080.0</v>
      </c>
    </row>
    <row r="238">
      <c r="A238" s="4">
        <f t="shared" ref="A238:D238" si="37">round((SUM(A223:A237)/60),2)</f>
        <v>1516</v>
      </c>
      <c r="B238" s="4">
        <f t="shared" si="37"/>
        <v>1472.67</v>
      </c>
      <c r="C238" s="4">
        <f t="shared" si="37"/>
        <v>1500</v>
      </c>
      <c r="D238" s="4">
        <f t="shared" si="37"/>
        <v>1530</v>
      </c>
      <c r="F238" s="4">
        <f t="shared" ref="F238:I238" si="38">round((SUM(F223:F237)/60),2)</f>
        <v>1448.5</v>
      </c>
      <c r="G238" s="4">
        <f t="shared" si="38"/>
        <v>1543.17</v>
      </c>
      <c r="H238" s="4">
        <f t="shared" si="38"/>
        <v>1426.33</v>
      </c>
      <c r="I238" s="4">
        <f t="shared" si="38"/>
        <v>1539.83</v>
      </c>
      <c r="K238" s="4">
        <f t="shared" ref="K238:N238" si="39">round((SUM(K223:K237)/60),2)</f>
        <v>1607.17</v>
      </c>
      <c r="L238" s="4">
        <f t="shared" si="39"/>
        <v>1622.67</v>
      </c>
      <c r="M238" s="4">
        <f t="shared" si="39"/>
        <v>1573.33</v>
      </c>
      <c r="N238" s="4">
        <f t="shared" si="39"/>
        <v>1557.67</v>
      </c>
    </row>
    <row r="241">
      <c r="A241" s="1" t="s">
        <v>44</v>
      </c>
      <c r="F241" s="1" t="s">
        <v>45</v>
      </c>
      <c r="K241" s="1" t="s">
        <v>46</v>
      </c>
    </row>
    <row r="242">
      <c r="A242" s="2" t="s">
        <v>28</v>
      </c>
      <c r="B242" s="2" t="s">
        <v>5</v>
      </c>
      <c r="C242" s="2" t="s">
        <v>6</v>
      </c>
      <c r="D242" s="2" t="s">
        <v>7</v>
      </c>
      <c r="F242" s="2" t="s">
        <v>28</v>
      </c>
      <c r="G242" s="2" t="s">
        <v>5</v>
      </c>
      <c r="H242" s="2" t="s">
        <v>6</v>
      </c>
      <c r="I242" s="2" t="s">
        <v>7</v>
      </c>
      <c r="K242" s="2" t="s">
        <v>28</v>
      </c>
      <c r="L242" s="2" t="s">
        <v>5</v>
      </c>
      <c r="M242" s="2" t="s">
        <v>6</v>
      </c>
      <c r="N242" s="2" t="s">
        <v>7</v>
      </c>
    </row>
    <row r="243">
      <c r="A243" s="3">
        <v>5880.0</v>
      </c>
      <c r="B243" s="3">
        <v>6320.0</v>
      </c>
      <c r="C243" s="3">
        <v>6040.0</v>
      </c>
      <c r="D243" s="3">
        <v>5130.0</v>
      </c>
      <c r="F243" s="3">
        <v>6450.0</v>
      </c>
      <c r="G243" s="3">
        <v>6320.0</v>
      </c>
      <c r="H243" s="3">
        <v>5830.0</v>
      </c>
      <c r="I243" s="3">
        <v>6070.0</v>
      </c>
      <c r="K243" s="3">
        <v>5720.0</v>
      </c>
      <c r="L243" s="3">
        <v>6360.0</v>
      </c>
      <c r="M243" s="3">
        <v>6010.0</v>
      </c>
      <c r="N243" s="3">
        <v>5870.0</v>
      </c>
    </row>
    <row r="244">
      <c r="A244" s="3">
        <v>6380.0</v>
      </c>
      <c r="B244" s="3">
        <v>6460.0</v>
      </c>
      <c r="C244" s="3">
        <v>5930.0</v>
      </c>
      <c r="D244" s="3">
        <v>5550.0</v>
      </c>
      <c r="F244" s="3">
        <v>6750.0</v>
      </c>
      <c r="G244" s="3">
        <v>6410.0</v>
      </c>
      <c r="H244" s="3">
        <v>5810.0</v>
      </c>
      <c r="I244" s="3">
        <v>6130.0</v>
      </c>
      <c r="K244" s="3">
        <v>6210.0</v>
      </c>
      <c r="L244" s="3">
        <v>6420.0</v>
      </c>
      <c r="M244" s="3">
        <v>6450.0</v>
      </c>
      <c r="N244" s="3">
        <v>5840.0</v>
      </c>
    </row>
    <row r="245">
      <c r="A245" s="3">
        <v>6470.0</v>
      </c>
      <c r="B245" s="3">
        <v>6110.0</v>
      </c>
      <c r="C245" s="3">
        <v>6130.0</v>
      </c>
      <c r="D245" s="3">
        <v>6220.0</v>
      </c>
      <c r="F245" s="3">
        <v>6420.0</v>
      </c>
      <c r="G245" s="3">
        <v>6420.0</v>
      </c>
      <c r="H245" s="3">
        <v>6450.0</v>
      </c>
      <c r="I245" s="3">
        <v>6400.0</v>
      </c>
      <c r="K245" s="3">
        <v>6190.0</v>
      </c>
      <c r="L245" s="3">
        <v>6560.0</v>
      </c>
      <c r="M245" s="3">
        <v>5820.0</v>
      </c>
      <c r="N245" s="3">
        <v>6040.0</v>
      </c>
    </row>
    <row r="246">
      <c r="A246" s="3">
        <v>5990.0</v>
      </c>
      <c r="B246" s="3">
        <v>6590.0</v>
      </c>
      <c r="C246" s="3">
        <v>6020.0</v>
      </c>
      <c r="D246" s="3">
        <v>6420.0</v>
      </c>
      <c r="F246" s="3">
        <v>6360.0</v>
      </c>
      <c r="G246" s="3">
        <v>6360.0</v>
      </c>
      <c r="H246" s="3">
        <v>5930.0</v>
      </c>
      <c r="I246" s="3">
        <v>6530.0</v>
      </c>
      <c r="K246" s="3">
        <v>6510.0</v>
      </c>
      <c r="L246" s="3">
        <v>6620.0</v>
      </c>
      <c r="M246" s="3">
        <v>6000.0</v>
      </c>
      <c r="N246" s="3">
        <v>5460.0</v>
      </c>
    </row>
    <row r="247">
      <c r="A247" s="3">
        <v>5980.0</v>
      </c>
      <c r="B247" s="3">
        <v>6420.0</v>
      </c>
      <c r="C247" s="3">
        <v>6220.0</v>
      </c>
      <c r="D247" s="3">
        <v>6160.0</v>
      </c>
      <c r="F247" s="3">
        <v>6450.0</v>
      </c>
      <c r="G247" s="3">
        <v>6320.0</v>
      </c>
      <c r="H247" s="3">
        <v>6090.0</v>
      </c>
      <c r="I247" s="3">
        <v>6200.0</v>
      </c>
      <c r="K247" s="3">
        <v>5830.0</v>
      </c>
      <c r="L247" s="3">
        <v>6410.0</v>
      </c>
      <c r="M247" s="3">
        <v>6440.0</v>
      </c>
      <c r="N247" s="3">
        <v>6120.0</v>
      </c>
    </row>
    <row r="248">
      <c r="A248" s="3">
        <v>6470.0</v>
      </c>
      <c r="B248" s="3">
        <v>6360.0</v>
      </c>
      <c r="C248" s="3">
        <v>6290.0</v>
      </c>
      <c r="D248" s="3">
        <v>5880.0</v>
      </c>
      <c r="F248" s="3">
        <v>6380.0</v>
      </c>
      <c r="G248" s="3">
        <v>6240.0</v>
      </c>
      <c r="H248" s="3">
        <v>5960.0</v>
      </c>
      <c r="I248" s="3">
        <v>6140.0</v>
      </c>
      <c r="K248" s="3">
        <v>6260.0</v>
      </c>
      <c r="L248" s="3">
        <v>6520.0</v>
      </c>
      <c r="M248" s="3">
        <v>6300.0</v>
      </c>
      <c r="N248" s="3">
        <v>5810.0</v>
      </c>
    </row>
    <row r="249">
      <c r="A249" s="3">
        <v>5970.0</v>
      </c>
      <c r="B249" s="3">
        <v>6390.0</v>
      </c>
      <c r="C249" s="3">
        <v>6460.0</v>
      </c>
      <c r="D249" s="3">
        <v>6290.0</v>
      </c>
      <c r="F249" s="3">
        <v>6420.0</v>
      </c>
      <c r="G249" s="3">
        <v>6420.0</v>
      </c>
      <c r="H249" s="3">
        <v>5890.0</v>
      </c>
      <c r="I249" s="3">
        <v>6340.0</v>
      </c>
      <c r="K249" s="3">
        <v>6390.0</v>
      </c>
      <c r="L249" s="3">
        <v>6610.0</v>
      </c>
      <c r="M249" s="3">
        <v>6430.0</v>
      </c>
      <c r="N249" s="3">
        <v>6390.0</v>
      </c>
    </row>
    <row r="250">
      <c r="A250" s="3">
        <v>5980.0</v>
      </c>
      <c r="B250" s="3">
        <v>6450.0</v>
      </c>
      <c r="C250" s="3">
        <v>6430.0</v>
      </c>
      <c r="D250" s="3">
        <v>5920.0</v>
      </c>
      <c r="F250" s="3">
        <v>6560.0</v>
      </c>
      <c r="G250" s="3">
        <v>6510.0</v>
      </c>
      <c r="H250" s="3">
        <v>6350.0</v>
      </c>
      <c r="I250" s="3">
        <v>6350.0</v>
      </c>
      <c r="K250" s="3">
        <v>6260.0</v>
      </c>
      <c r="L250" s="3">
        <v>6630.0</v>
      </c>
      <c r="M250" s="3">
        <v>6040.0</v>
      </c>
      <c r="N250" s="3">
        <v>6210.0</v>
      </c>
    </row>
    <row r="251">
      <c r="A251" s="3">
        <v>6850.0</v>
      </c>
      <c r="B251" s="3">
        <v>6520.0</v>
      </c>
      <c r="C251" s="3">
        <v>6240.0</v>
      </c>
      <c r="D251" s="3">
        <v>6020.0</v>
      </c>
      <c r="F251" s="3">
        <v>6380.0</v>
      </c>
      <c r="G251" s="3">
        <v>6600.0</v>
      </c>
      <c r="H251" s="3">
        <v>6010.0</v>
      </c>
      <c r="I251" s="3">
        <v>6410.0</v>
      </c>
      <c r="K251" s="3">
        <v>6950.0</v>
      </c>
      <c r="L251" s="3">
        <v>6560.0</v>
      </c>
      <c r="M251" s="3">
        <v>6150.0</v>
      </c>
      <c r="N251" s="3">
        <v>6000.0</v>
      </c>
    </row>
    <row r="252">
      <c r="A252" s="3">
        <v>6390.0</v>
      </c>
      <c r="B252" s="3">
        <v>6210.0</v>
      </c>
      <c r="C252" s="3">
        <v>5780.0</v>
      </c>
      <c r="D252" s="3">
        <v>6130.0</v>
      </c>
      <c r="F252" s="3">
        <v>6260.0</v>
      </c>
      <c r="G252" s="3">
        <v>6360.0</v>
      </c>
      <c r="H252" s="3">
        <v>5970.0</v>
      </c>
      <c r="I252" s="3">
        <v>6220.0</v>
      </c>
      <c r="K252" s="3">
        <v>6730.0</v>
      </c>
      <c r="L252" s="3">
        <v>6320.0</v>
      </c>
      <c r="M252" s="3">
        <v>6220.0</v>
      </c>
      <c r="N252" s="3">
        <v>6240.0</v>
      </c>
    </row>
    <row r="253">
      <c r="A253" s="3">
        <v>6870.0</v>
      </c>
      <c r="B253" s="3">
        <v>6420.0</v>
      </c>
      <c r="C253" s="3">
        <v>6080.0</v>
      </c>
      <c r="D253" s="3">
        <v>6030.0</v>
      </c>
      <c r="F253" s="3">
        <v>6420.0</v>
      </c>
      <c r="G253" s="3">
        <v>6420.0</v>
      </c>
      <c r="H253" s="3">
        <v>6000.0</v>
      </c>
      <c r="I253" s="3">
        <v>5590.0</v>
      </c>
      <c r="K253" s="3">
        <v>6640.0</v>
      </c>
      <c r="L253" s="3">
        <v>6510.0</v>
      </c>
      <c r="M253" s="3">
        <v>5980.0</v>
      </c>
      <c r="N253" s="3">
        <v>6230.0</v>
      </c>
    </row>
    <row r="254">
      <c r="A254" s="3">
        <v>6180.0</v>
      </c>
      <c r="B254" s="3">
        <v>6310.0</v>
      </c>
      <c r="C254" s="3">
        <v>6320.0</v>
      </c>
      <c r="D254" s="3">
        <v>6090.0</v>
      </c>
      <c r="F254" s="3">
        <v>6380.0</v>
      </c>
      <c r="G254" s="3">
        <v>6510.0</v>
      </c>
      <c r="H254" s="3">
        <v>6060.0</v>
      </c>
      <c r="I254" s="3">
        <v>6370.0</v>
      </c>
      <c r="K254" s="3">
        <v>6280.0</v>
      </c>
      <c r="L254" s="3">
        <v>6660.0</v>
      </c>
      <c r="M254" s="3">
        <v>6070.0</v>
      </c>
      <c r="N254" s="3">
        <v>5710.0</v>
      </c>
    </row>
    <row r="255">
      <c r="A255" s="3">
        <v>6370.0</v>
      </c>
      <c r="B255" s="3">
        <v>6260.0</v>
      </c>
      <c r="C255" s="3">
        <v>6310.0</v>
      </c>
      <c r="D255" s="3">
        <v>6440.0</v>
      </c>
      <c r="F255" s="3">
        <v>6460.0</v>
      </c>
      <c r="G255" s="3">
        <v>6720.0</v>
      </c>
      <c r="H255" s="3">
        <v>5810.0</v>
      </c>
      <c r="I255" s="3">
        <v>6130.0</v>
      </c>
      <c r="K255" s="3">
        <v>6220.0</v>
      </c>
      <c r="L255" s="3">
        <v>6390.0</v>
      </c>
      <c r="M255" s="3">
        <v>6620.0</v>
      </c>
      <c r="N255" s="3">
        <v>5900.0</v>
      </c>
    </row>
    <row r="256">
      <c r="A256" s="3">
        <v>5970.0</v>
      </c>
      <c r="B256" s="3">
        <v>6620.0</v>
      </c>
      <c r="C256" s="3">
        <v>6230.0</v>
      </c>
      <c r="D256" s="3">
        <v>5910.0</v>
      </c>
      <c r="F256" s="3">
        <v>6320.0</v>
      </c>
      <c r="G256" s="3">
        <v>6460.0</v>
      </c>
      <c r="H256" s="3">
        <v>6180.0</v>
      </c>
      <c r="I256" s="3">
        <v>6120.0</v>
      </c>
      <c r="K256" s="3">
        <v>6450.0</v>
      </c>
      <c r="L256" s="3">
        <v>6420.0</v>
      </c>
      <c r="M256" s="3">
        <v>6630.0</v>
      </c>
      <c r="N256" s="3">
        <v>5660.0</v>
      </c>
    </row>
    <row r="257">
      <c r="A257" s="3">
        <v>6980.0</v>
      </c>
      <c r="B257" s="3">
        <v>6260.0</v>
      </c>
      <c r="C257" s="3">
        <v>6580.0</v>
      </c>
      <c r="D257" s="3">
        <v>6640.0</v>
      </c>
      <c r="F257" s="3">
        <v>6460.0</v>
      </c>
      <c r="G257" s="3">
        <v>6330.0</v>
      </c>
      <c r="H257" s="3">
        <v>5940.0</v>
      </c>
      <c r="I257" s="3">
        <v>6170.0</v>
      </c>
      <c r="K257" s="3">
        <v>5920.0</v>
      </c>
      <c r="L257" s="3">
        <v>6710.0</v>
      </c>
      <c r="M257" s="3">
        <v>5740.0</v>
      </c>
      <c r="N257" s="3">
        <v>5870.0</v>
      </c>
    </row>
    <row r="258">
      <c r="A258" s="4">
        <f t="shared" ref="A258:D258" si="40">round((SUM(A243:A257)/60),2)</f>
        <v>1578.83</v>
      </c>
      <c r="B258" s="4">
        <f t="shared" si="40"/>
        <v>1595</v>
      </c>
      <c r="C258" s="4">
        <f t="shared" si="40"/>
        <v>1551</v>
      </c>
      <c r="D258" s="4">
        <f t="shared" si="40"/>
        <v>1513.83</v>
      </c>
      <c r="F258" s="4">
        <f t="shared" ref="F258:I258" si="41">round((SUM(F243:F257)/60),2)</f>
        <v>1607.83</v>
      </c>
      <c r="G258" s="4">
        <f t="shared" si="41"/>
        <v>1606.67</v>
      </c>
      <c r="H258" s="4">
        <f t="shared" si="41"/>
        <v>1504.67</v>
      </c>
      <c r="I258" s="4">
        <f t="shared" si="41"/>
        <v>1552.83</v>
      </c>
      <c r="K258" s="4">
        <f t="shared" ref="K258:N258" si="42">round((SUM(K243:K257)/60),2)</f>
        <v>1576</v>
      </c>
      <c r="L258" s="4">
        <f t="shared" si="42"/>
        <v>1628.33</v>
      </c>
      <c r="M258" s="4">
        <f t="shared" si="42"/>
        <v>1548.33</v>
      </c>
      <c r="N258" s="4">
        <f t="shared" si="42"/>
        <v>1489.17</v>
      </c>
    </row>
    <row r="261">
      <c r="A261" s="1" t="s">
        <v>47</v>
      </c>
      <c r="F261" s="1" t="s">
        <v>48</v>
      </c>
      <c r="K261" s="1" t="s">
        <v>49</v>
      </c>
    </row>
    <row r="262">
      <c r="A262" s="2" t="s">
        <v>28</v>
      </c>
      <c r="B262" s="2" t="s">
        <v>5</v>
      </c>
      <c r="C262" s="2" t="s">
        <v>6</v>
      </c>
      <c r="D262" s="2" t="s">
        <v>7</v>
      </c>
      <c r="F262" s="2" t="s">
        <v>28</v>
      </c>
      <c r="G262" s="2" t="s">
        <v>5</v>
      </c>
      <c r="H262" s="2" t="s">
        <v>6</v>
      </c>
      <c r="I262" s="2" t="s">
        <v>7</v>
      </c>
      <c r="K262" s="2" t="s">
        <v>28</v>
      </c>
      <c r="L262" s="2" t="s">
        <v>5</v>
      </c>
      <c r="M262" s="2" t="s">
        <v>6</v>
      </c>
      <c r="N262" s="2" t="s">
        <v>7</v>
      </c>
    </row>
    <row r="263">
      <c r="A263" s="3">
        <v>6190.0</v>
      </c>
      <c r="B263" s="3">
        <v>6290.0</v>
      </c>
      <c r="C263" s="3">
        <v>6160.0</v>
      </c>
      <c r="D263" s="3">
        <v>6190.0</v>
      </c>
      <c r="F263" s="3">
        <v>6410.0</v>
      </c>
      <c r="G263" s="3">
        <v>6360.0</v>
      </c>
      <c r="H263" s="3">
        <v>6820.0</v>
      </c>
      <c r="I263" s="3">
        <v>6060.0</v>
      </c>
      <c r="K263" s="3">
        <v>6370.0</v>
      </c>
      <c r="L263" s="3">
        <v>6320.0</v>
      </c>
      <c r="M263" s="3">
        <v>5780.0</v>
      </c>
      <c r="N263" s="3">
        <v>6190.0</v>
      </c>
    </row>
    <row r="264">
      <c r="A264" s="3">
        <v>6580.0</v>
      </c>
      <c r="B264" s="3">
        <v>6350.0</v>
      </c>
      <c r="C264" s="3">
        <v>6670.0</v>
      </c>
      <c r="D264" s="3">
        <v>5850.0</v>
      </c>
      <c r="F264" s="3">
        <v>6720.0</v>
      </c>
      <c r="G264" s="3">
        <v>6210.0</v>
      </c>
      <c r="H264" s="3">
        <v>6910.0</v>
      </c>
      <c r="I264" s="3">
        <v>6580.0</v>
      </c>
      <c r="K264" s="3">
        <v>6010.0</v>
      </c>
      <c r="L264" s="3">
        <v>6410.0</v>
      </c>
      <c r="M264" s="3">
        <v>5910.0</v>
      </c>
      <c r="N264" s="3">
        <v>5850.0</v>
      </c>
    </row>
    <row r="265">
      <c r="A265" s="3">
        <v>6970.0</v>
      </c>
      <c r="B265" s="3">
        <v>6420.0</v>
      </c>
      <c r="C265" s="3">
        <v>6480.0</v>
      </c>
      <c r="D265" s="3">
        <v>5910.0</v>
      </c>
      <c r="F265" s="3">
        <v>6500.0</v>
      </c>
      <c r="G265" s="3">
        <v>6420.0</v>
      </c>
      <c r="H265" s="3">
        <v>6520.0</v>
      </c>
      <c r="I265" s="3">
        <v>6640.0</v>
      </c>
      <c r="K265" s="3">
        <v>5670.0</v>
      </c>
      <c r="L265" s="3">
        <v>6560.0</v>
      </c>
      <c r="M265" s="3">
        <v>6130.0</v>
      </c>
      <c r="N265" s="3">
        <v>5910.0</v>
      </c>
    </row>
    <row r="266">
      <c r="A266" s="3">
        <v>6580.0</v>
      </c>
      <c r="B266" s="3">
        <v>6460.0</v>
      </c>
      <c r="C266" s="3">
        <v>6040.0</v>
      </c>
      <c r="D266" s="3">
        <v>6510.0</v>
      </c>
      <c r="F266" s="3">
        <v>6050.0</v>
      </c>
      <c r="G266" s="3">
        <v>6320.0</v>
      </c>
      <c r="H266" s="3">
        <v>7110.0</v>
      </c>
      <c r="I266" s="3">
        <v>5850.0</v>
      </c>
      <c r="K266" s="3">
        <v>6410.0</v>
      </c>
      <c r="L266" s="3">
        <v>6720.0</v>
      </c>
      <c r="M266" s="3">
        <v>6320.0</v>
      </c>
      <c r="N266" s="3">
        <v>6510.0</v>
      </c>
    </row>
    <row r="267">
      <c r="A267" s="3">
        <v>6270.0</v>
      </c>
      <c r="B267" s="3">
        <v>6320.0</v>
      </c>
      <c r="C267" s="3">
        <v>6150.0</v>
      </c>
      <c r="D267" s="3">
        <v>6800.0</v>
      </c>
      <c r="F267" s="3">
        <v>6450.0</v>
      </c>
      <c r="G267" s="3">
        <v>6410.0</v>
      </c>
      <c r="H267" s="3">
        <v>6620.0</v>
      </c>
      <c r="I267" s="3">
        <v>6570.0</v>
      </c>
      <c r="K267" s="3">
        <v>6600.0</v>
      </c>
      <c r="L267" s="3">
        <v>6760.0</v>
      </c>
      <c r="M267" s="3">
        <v>6700.0</v>
      </c>
      <c r="N267" s="3">
        <v>6800.0</v>
      </c>
    </row>
    <row r="268">
      <c r="A268" s="3">
        <v>6650.0</v>
      </c>
      <c r="B268" s="3">
        <v>6210.0</v>
      </c>
      <c r="C268" s="3">
        <v>6760.0</v>
      </c>
      <c r="D268" s="3">
        <v>6240.0</v>
      </c>
      <c r="F268" s="3">
        <v>6430.0</v>
      </c>
      <c r="G268" s="3">
        <v>6320.0</v>
      </c>
      <c r="H268" s="3">
        <v>6480.0</v>
      </c>
      <c r="I268" s="3">
        <v>5480.0</v>
      </c>
      <c r="K268" s="3">
        <v>5790.0</v>
      </c>
      <c r="L268" s="3">
        <v>6650.0</v>
      </c>
      <c r="M268" s="3">
        <v>6490.0</v>
      </c>
      <c r="N268" s="3">
        <v>6240.0</v>
      </c>
    </row>
    <row r="269">
      <c r="A269" s="3">
        <v>6330.0</v>
      </c>
      <c r="B269" s="3">
        <v>6320.0</v>
      </c>
      <c r="C269" s="3">
        <v>6420.0</v>
      </c>
      <c r="D269" s="3">
        <v>6360.0</v>
      </c>
      <c r="F269" s="3">
        <v>6680.0</v>
      </c>
      <c r="G269" s="3">
        <v>6260.0</v>
      </c>
      <c r="H269" s="3">
        <v>7060.0</v>
      </c>
      <c r="I269" s="3">
        <v>5870.0</v>
      </c>
      <c r="K269" s="3">
        <v>5980.0</v>
      </c>
      <c r="L269" s="3">
        <v>6110.0</v>
      </c>
      <c r="M269" s="3">
        <v>6470.0</v>
      </c>
      <c r="N269" s="3">
        <v>5360.0</v>
      </c>
    </row>
    <row r="270">
      <c r="A270" s="3">
        <v>6680.0</v>
      </c>
      <c r="B270" s="3">
        <v>6410.0</v>
      </c>
      <c r="C270" s="3">
        <v>6710.0</v>
      </c>
      <c r="D270" s="3">
        <v>6450.0</v>
      </c>
      <c r="F270" s="3">
        <v>6730.0</v>
      </c>
      <c r="G270" s="3">
        <v>6330.0</v>
      </c>
      <c r="H270" s="3">
        <v>6720.0</v>
      </c>
      <c r="I270" s="3">
        <v>6390.0</v>
      </c>
      <c r="K270" s="3">
        <v>6130.0</v>
      </c>
      <c r="L270" s="3">
        <v>6390.0</v>
      </c>
      <c r="M270" s="3">
        <v>5870.0</v>
      </c>
      <c r="N270" s="3">
        <v>6450.0</v>
      </c>
    </row>
    <row r="271">
      <c r="A271" s="3">
        <v>6360.0</v>
      </c>
      <c r="B271" s="3">
        <v>6220.0</v>
      </c>
      <c r="C271" s="3">
        <v>6220.0</v>
      </c>
      <c r="D271" s="3">
        <v>5980.0</v>
      </c>
      <c r="F271" s="3">
        <v>5570.0</v>
      </c>
      <c r="G271" s="3">
        <v>6410.0</v>
      </c>
      <c r="H271" s="3">
        <v>6810.0</v>
      </c>
      <c r="I271" s="3">
        <v>6200.0</v>
      </c>
      <c r="K271" s="3">
        <v>6640.0</v>
      </c>
      <c r="L271" s="3">
        <v>6420.0</v>
      </c>
      <c r="M271" s="3">
        <v>6510.0</v>
      </c>
      <c r="N271" s="3">
        <v>5980.0</v>
      </c>
    </row>
    <row r="272">
      <c r="A272" s="3">
        <v>6390.0</v>
      </c>
      <c r="B272" s="3">
        <v>6510.0</v>
      </c>
      <c r="C272" s="3">
        <v>6530.0</v>
      </c>
      <c r="D272" s="3">
        <v>6390.0</v>
      </c>
      <c r="F272" s="3">
        <v>6380.0</v>
      </c>
      <c r="G272" s="3">
        <v>6290.0</v>
      </c>
      <c r="H272" s="3">
        <v>6520.0</v>
      </c>
      <c r="I272" s="3">
        <v>6310.0</v>
      </c>
      <c r="K272" s="3">
        <v>6590.0</v>
      </c>
      <c r="L272" s="3">
        <v>6260.0</v>
      </c>
      <c r="M272" s="3">
        <v>6430.0</v>
      </c>
      <c r="N272" s="3">
        <v>6390.0</v>
      </c>
    </row>
    <row r="273">
      <c r="A273" s="3">
        <v>6480.0</v>
      </c>
      <c r="B273" s="3">
        <v>6420.0</v>
      </c>
      <c r="C273" s="3">
        <v>6280.0</v>
      </c>
      <c r="D273" s="3">
        <v>6280.0</v>
      </c>
      <c r="F273" s="3">
        <v>6810.0</v>
      </c>
      <c r="G273" s="3">
        <v>6380.0</v>
      </c>
      <c r="H273" s="3">
        <v>6620.0</v>
      </c>
      <c r="I273" s="3">
        <v>6460.0</v>
      </c>
      <c r="K273" s="3">
        <v>6570.0</v>
      </c>
      <c r="L273" s="3">
        <v>6350.0</v>
      </c>
      <c r="M273" s="3">
        <v>6520.0</v>
      </c>
      <c r="N273" s="3">
        <v>6280.0</v>
      </c>
    </row>
    <row r="274">
      <c r="A274" s="3">
        <v>6570.0</v>
      </c>
      <c r="B274" s="3">
        <v>6360.0</v>
      </c>
      <c r="C274" s="3">
        <v>6270.0</v>
      </c>
      <c r="D274" s="3">
        <v>6210.0</v>
      </c>
      <c r="F274" s="3">
        <v>6560.0</v>
      </c>
      <c r="G274" s="3">
        <v>6460.0</v>
      </c>
      <c r="H274" s="3">
        <v>6710.0</v>
      </c>
      <c r="I274" s="3">
        <v>6510.0</v>
      </c>
      <c r="K274" s="3">
        <v>6620.0</v>
      </c>
      <c r="L274" s="3">
        <v>5920.0</v>
      </c>
      <c r="M274" s="3">
        <v>6320.0</v>
      </c>
      <c r="N274" s="3">
        <v>6210.0</v>
      </c>
    </row>
    <row r="275">
      <c r="A275" s="3">
        <v>6290.0</v>
      </c>
      <c r="B275" s="3">
        <v>6540.0</v>
      </c>
      <c r="C275" s="3">
        <v>6860.0</v>
      </c>
      <c r="D275" s="3">
        <v>6250.0</v>
      </c>
      <c r="F275" s="3">
        <v>6720.0</v>
      </c>
      <c r="G275" s="3">
        <v>6620.0</v>
      </c>
      <c r="H275" s="3">
        <v>7120.0</v>
      </c>
      <c r="I275" s="3">
        <v>6380.0</v>
      </c>
      <c r="K275" s="3">
        <v>5780.0</v>
      </c>
      <c r="L275" s="3">
        <v>6120.0</v>
      </c>
      <c r="M275" s="3">
        <v>6760.0</v>
      </c>
      <c r="N275" s="3">
        <v>6250.0</v>
      </c>
    </row>
    <row r="276">
      <c r="A276" s="3">
        <v>6590.0</v>
      </c>
      <c r="B276" s="3">
        <v>6360.0</v>
      </c>
      <c r="C276" s="3">
        <v>6640.0</v>
      </c>
      <c r="D276" s="3">
        <v>6260.0</v>
      </c>
      <c r="F276" s="3">
        <v>6010.0</v>
      </c>
      <c r="G276" s="3">
        <v>6510.0</v>
      </c>
      <c r="H276" s="3">
        <v>7010.0</v>
      </c>
      <c r="I276" s="3">
        <v>6070.0</v>
      </c>
      <c r="K276" s="3">
        <v>6470.0</v>
      </c>
      <c r="L276" s="3">
        <v>6260.0</v>
      </c>
      <c r="M276" s="3">
        <v>6290.0</v>
      </c>
      <c r="N276" s="3">
        <v>6260.0</v>
      </c>
    </row>
    <row r="277">
      <c r="A277" s="3">
        <v>6120.0</v>
      </c>
      <c r="B277" s="3">
        <v>6140.0</v>
      </c>
      <c r="C277" s="3">
        <v>6590.0</v>
      </c>
      <c r="D277" s="3">
        <v>5920.0</v>
      </c>
      <c r="F277" s="3">
        <v>6350.0</v>
      </c>
      <c r="G277" s="3">
        <v>6330.0</v>
      </c>
      <c r="H277" s="3">
        <v>6920.0</v>
      </c>
      <c r="I277" s="3">
        <v>6610.0</v>
      </c>
      <c r="K277" s="3">
        <v>6310.0</v>
      </c>
      <c r="L277" s="3">
        <v>6230.0</v>
      </c>
      <c r="M277" s="3">
        <v>7140.0</v>
      </c>
      <c r="N277" s="3">
        <v>5920.0</v>
      </c>
    </row>
    <row r="278">
      <c r="A278" s="4">
        <f t="shared" ref="A278:D278" si="43">round((SUM(A263:A277)/60),2)</f>
        <v>1617.5</v>
      </c>
      <c r="B278" s="4">
        <f t="shared" si="43"/>
        <v>1588.83</v>
      </c>
      <c r="C278" s="4">
        <f t="shared" si="43"/>
        <v>1613</v>
      </c>
      <c r="D278" s="4">
        <f t="shared" si="43"/>
        <v>1560</v>
      </c>
      <c r="F278" s="4">
        <f t="shared" ref="F278:I278" si="44">round((SUM(F263:F277)/60),2)</f>
        <v>1606.17</v>
      </c>
      <c r="G278" s="4">
        <f t="shared" si="44"/>
        <v>1593.83</v>
      </c>
      <c r="H278" s="4">
        <f t="shared" si="44"/>
        <v>1699.17</v>
      </c>
      <c r="I278" s="4">
        <f t="shared" si="44"/>
        <v>1566.33</v>
      </c>
      <c r="K278" s="4">
        <f t="shared" ref="K278:N278" si="45">round((SUM(K263:K277)/60),2)</f>
        <v>1565.67</v>
      </c>
      <c r="L278" s="4">
        <f t="shared" si="45"/>
        <v>1591.33</v>
      </c>
      <c r="M278" s="4">
        <f t="shared" si="45"/>
        <v>1594</v>
      </c>
      <c r="N278" s="4">
        <f t="shared" si="45"/>
        <v>1543.33</v>
      </c>
    </row>
    <row r="280">
      <c r="H280" s="3" t="s">
        <v>50</v>
      </c>
    </row>
    <row r="281">
      <c r="A281" s="1" t="s">
        <v>51</v>
      </c>
    </row>
    <row r="282">
      <c r="A282" s="2" t="s">
        <v>28</v>
      </c>
      <c r="B282" s="2" t="s">
        <v>5</v>
      </c>
      <c r="C282" s="2" t="s">
        <v>6</v>
      </c>
      <c r="D282" s="2" t="s">
        <v>7</v>
      </c>
    </row>
    <row r="283">
      <c r="A283" s="3">
        <v>5920.0</v>
      </c>
      <c r="B283" s="3">
        <v>6460.0</v>
      </c>
      <c r="C283" s="3">
        <v>6290.0</v>
      </c>
      <c r="D283" s="3">
        <v>6690.0</v>
      </c>
    </row>
    <row r="284">
      <c r="A284" s="3">
        <v>6670.0</v>
      </c>
      <c r="B284" s="3">
        <v>6450.0</v>
      </c>
      <c r="C284" s="3">
        <v>5910.0</v>
      </c>
      <c r="D284" s="3">
        <v>6040.0</v>
      </c>
    </row>
    <row r="285">
      <c r="A285" s="3">
        <v>6580.0</v>
      </c>
      <c r="B285" s="3">
        <v>6320.0</v>
      </c>
      <c r="C285" s="3">
        <v>6420.0</v>
      </c>
      <c r="D285" s="3">
        <v>6390.0</v>
      </c>
    </row>
    <row r="286">
      <c r="A286" s="3">
        <v>6740.0</v>
      </c>
      <c r="B286" s="3">
        <v>6190.0</v>
      </c>
      <c r="C286" s="3">
        <v>6490.0</v>
      </c>
      <c r="D286" s="3">
        <v>6810.0</v>
      </c>
    </row>
    <row r="287">
      <c r="A287" s="3">
        <v>6550.0</v>
      </c>
      <c r="B287" s="3">
        <v>6320.0</v>
      </c>
      <c r="C287" s="3">
        <v>6320.0</v>
      </c>
      <c r="D287" s="3">
        <v>6040.0</v>
      </c>
    </row>
    <row r="288">
      <c r="A288" s="3">
        <v>6640.0</v>
      </c>
      <c r="B288" s="3">
        <v>6210.0</v>
      </c>
      <c r="C288" s="3">
        <v>6520.0</v>
      </c>
      <c r="D288" s="3">
        <v>7050.0</v>
      </c>
    </row>
    <row r="289">
      <c r="A289" s="3">
        <v>5980.0</v>
      </c>
      <c r="B289" s="3">
        <v>6520.0</v>
      </c>
      <c r="C289" s="3">
        <v>6520.0</v>
      </c>
      <c r="D289" s="3">
        <v>6610.0</v>
      </c>
    </row>
    <row r="290">
      <c r="A290" s="3">
        <v>6750.0</v>
      </c>
      <c r="B290" s="3">
        <v>6410.0</v>
      </c>
      <c r="C290" s="3">
        <v>6490.0</v>
      </c>
      <c r="D290" s="3">
        <v>5960.0</v>
      </c>
    </row>
    <row r="291">
      <c r="A291" s="3">
        <v>6390.0</v>
      </c>
      <c r="B291" s="3">
        <v>6410.0</v>
      </c>
      <c r="C291" s="3">
        <v>6180.0</v>
      </c>
      <c r="D291" s="3">
        <v>5970.0</v>
      </c>
    </row>
    <row r="292">
      <c r="A292" s="3">
        <v>6870.0</v>
      </c>
      <c r="B292" s="3">
        <v>6320.0</v>
      </c>
      <c r="C292" s="3">
        <v>5920.0</v>
      </c>
      <c r="D292" s="3">
        <v>6400.0</v>
      </c>
    </row>
    <row r="293">
      <c r="A293" s="3">
        <v>6780.0</v>
      </c>
      <c r="B293" s="3">
        <v>6160.0</v>
      </c>
      <c r="C293" s="3">
        <v>6650.0</v>
      </c>
      <c r="D293" s="3">
        <v>6160.0</v>
      </c>
    </row>
    <row r="294">
      <c r="A294" s="3">
        <v>6000.0</v>
      </c>
      <c r="B294" s="3">
        <v>6050.0</v>
      </c>
      <c r="C294" s="3">
        <v>6200.0</v>
      </c>
      <c r="D294" s="3">
        <v>6990.0</v>
      </c>
    </row>
    <row r="295">
      <c r="A295" s="3">
        <v>6590.0</v>
      </c>
      <c r="B295" s="3">
        <v>6320.0</v>
      </c>
      <c r="C295" s="3">
        <v>6620.0</v>
      </c>
      <c r="D295" s="3">
        <v>6390.0</v>
      </c>
    </row>
    <row r="296">
      <c r="A296" s="3">
        <v>5970.0</v>
      </c>
      <c r="B296" s="3">
        <v>6410.0</v>
      </c>
      <c r="C296" s="3">
        <v>5990.0</v>
      </c>
      <c r="D296" s="3">
        <v>6120.0</v>
      </c>
    </row>
    <row r="297">
      <c r="A297" s="3">
        <v>6630.0</v>
      </c>
      <c r="B297" s="3">
        <v>6310.0</v>
      </c>
      <c r="C297" s="3">
        <v>6370.0</v>
      </c>
      <c r="D297" s="3">
        <v>6910.0</v>
      </c>
    </row>
    <row r="298">
      <c r="A298" s="4">
        <f t="shared" ref="A298:D298" si="46">round((SUM(A283:A297)/60),2)</f>
        <v>1617.67</v>
      </c>
      <c r="B298" s="4">
        <f t="shared" si="46"/>
        <v>1581</v>
      </c>
      <c r="C298" s="4">
        <f t="shared" si="46"/>
        <v>1581.5</v>
      </c>
      <c r="D298" s="4">
        <f t="shared" si="46"/>
        <v>1608.83</v>
      </c>
    </row>
  </sheetData>
  <mergeCells count="46">
    <mergeCell ref="A1:D1"/>
    <mergeCell ref="F1:I1"/>
    <mergeCell ref="K1:N1"/>
    <mergeCell ref="P1:S1"/>
    <mergeCell ref="F21:I21"/>
    <mergeCell ref="K21:N21"/>
    <mergeCell ref="P21:S21"/>
    <mergeCell ref="K61:N61"/>
    <mergeCell ref="P61:S61"/>
    <mergeCell ref="A21:D21"/>
    <mergeCell ref="A41:D41"/>
    <mergeCell ref="F41:I41"/>
    <mergeCell ref="K41:N41"/>
    <mergeCell ref="P41:S41"/>
    <mergeCell ref="A61:D61"/>
    <mergeCell ref="F61:I61"/>
    <mergeCell ref="A81:D81"/>
    <mergeCell ref="K81:N81"/>
    <mergeCell ref="A101:D101"/>
    <mergeCell ref="F101:I101"/>
    <mergeCell ref="K101:N101"/>
    <mergeCell ref="F121:I121"/>
    <mergeCell ref="K121:N121"/>
    <mergeCell ref="A121:D121"/>
    <mergeCell ref="A141:D141"/>
    <mergeCell ref="F141:I141"/>
    <mergeCell ref="K141:N141"/>
    <mergeCell ref="A161:D161"/>
    <mergeCell ref="F161:I161"/>
    <mergeCell ref="K161:N161"/>
    <mergeCell ref="F221:I221"/>
    <mergeCell ref="K221:N221"/>
    <mergeCell ref="A241:D241"/>
    <mergeCell ref="F241:I241"/>
    <mergeCell ref="K241:N241"/>
    <mergeCell ref="A261:D261"/>
    <mergeCell ref="F261:I261"/>
    <mergeCell ref="K261:N261"/>
    <mergeCell ref="A281:D281"/>
    <mergeCell ref="A181:D181"/>
    <mergeCell ref="F181:I181"/>
    <mergeCell ref="K181:N181"/>
    <mergeCell ref="A201:D201"/>
    <mergeCell ref="F201:I201"/>
    <mergeCell ref="K201:N201"/>
    <mergeCell ref="A221:D22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</v>
      </c>
      <c r="F1" s="1" t="s">
        <v>53</v>
      </c>
      <c r="K1" s="1" t="s">
        <v>54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4</v>
      </c>
      <c r="L2" s="2" t="s">
        <v>5</v>
      </c>
      <c r="M2" s="2" t="s">
        <v>6</v>
      </c>
      <c r="N2" s="2" t="s">
        <v>7</v>
      </c>
    </row>
    <row r="3">
      <c r="A3" s="3">
        <v>1960.0</v>
      </c>
      <c r="B3" s="3">
        <v>1930.0</v>
      </c>
      <c r="C3" s="3">
        <v>1870.0</v>
      </c>
      <c r="D3" s="3">
        <v>1780.0</v>
      </c>
      <c r="F3" s="3">
        <v>1950.0</v>
      </c>
      <c r="G3" s="3">
        <v>1980.0</v>
      </c>
      <c r="H3" s="3">
        <v>1890.0</v>
      </c>
      <c r="I3" s="3">
        <v>1920.0</v>
      </c>
      <c r="K3" s="3">
        <v>1960.0</v>
      </c>
      <c r="L3" s="3">
        <v>1940.0</v>
      </c>
      <c r="M3" s="3">
        <v>1900.0</v>
      </c>
      <c r="N3" s="3">
        <v>1880.0</v>
      </c>
    </row>
    <row r="4">
      <c r="A4" s="3">
        <v>1920.0</v>
      </c>
      <c r="B4" s="3">
        <v>1970.0</v>
      </c>
      <c r="C4" s="3">
        <v>1870.0</v>
      </c>
      <c r="D4" s="3">
        <v>1780.0</v>
      </c>
      <c r="F4" s="3">
        <v>1970.0</v>
      </c>
      <c r="G4" s="3">
        <v>2030.0</v>
      </c>
      <c r="H4" s="3">
        <v>1860.0</v>
      </c>
      <c r="I4" s="3">
        <v>1930.0</v>
      </c>
      <c r="K4" s="3">
        <v>1900.0</v>
      </c>
      <c r="L4" s="3">
        <v>1900.0</v>
      </c>
      <c r="M4" s="3">
        <v>1860.0</v>
      </c>
      <c r="N4" s="3">
        <v>1870.0</v>
      </c>
    </row>
    <row r="5">
      <c r="A5" s="3">
        <v>1960.0</v>
      </c>
      <c r="B5" s="3">
        <v>1850.0</v>
      </c>
      <c r="C5" s="3">
        <v>1880.0</v>
      </c>
      <c r="D5" s="3">
        <v>1790.0</v>
      </c>
      <c r="F5" s="3">
        <v>1870.0</v>
      </c>
      <c r="G5" s="3">
        <v>1990.0</v>
      </c>
      <c r="H5" s="3">
        <v>1860.0</v>
      </c>
      <c r="I5" s="3">
        <v>1910.0</v>
      </c>
      <c r="K5" s="3">
        <v>1930.0</v>
      </c>
      <c r="L5" s="3">
        <v>1920.0</v>
      </c>
      <c r="M5" s="3">
        <v>1900.0</v>
      </c>
      <c r="N5" s="3">
        <v>2000.0</v>
      </c>
    </row>
    <row r="6">
      <c r="A6" s="3">
        <v>1910.0</v>
      </c>
      <c r="B6" s="3">
        <v>1830.0</v>
      </c>
      <c r="C6" s="3">
        <v>1860.0</v>
      </c>
      <c r="D6" s="3">
        <v>1760.0</v>
      </c>
      <c r="F6" s="3">
        <v>1830.0</v>
      </c>
      <c r="G6" s="3">
        <v>2010.0</v>
      </c>
      <c r="H6" s="3">
        <v>1890.0</v>
      </c>
      <c r="I6" s="3">
        <v>1920.0</v>
      </c>
      <c r="K6" s="3">
        <v>1910.0</v>
      </c>
      <c r="L6" s="3">
        <v>1840.0</v>
      </c>
      <c r="M6" s="3">
        <v>1890.0</v>
      </c>
      <c r="N6" s="3">
        <v>1960.0</v>
      </c>
    </row>
    <row r="7">
      <c r="A7" s="3">
        <v>1930.0</v>
      </c>
      <c r="B7" s="3">
        <v>1830.0</v>
      </c>
      <c r="C7" s="3">
        <v>1860.0</v>
      </c>
      <c r="D7" s="3">
        <v>1800.0</v>
      </c>
      <c r="F7" s="3">
        <v>1920.0</v>
      </c>
      <c r="G7" s="3">
        <v>1960.0</v>
      </c>
      <c r="H7" s="3">
        <v>1840.0</v>
      </c>
      <c r="I7" s="3">
        <v>1950.0</v>
      </c>
      <c r="K7" s="3">
        <v>1930.0</v>
      </c>
      <c r="L7" s="3">
        <v>1870.0</v>
      </c>
      <c r="M7" s="3">
        <v>1880.0</v>
      </c>
      <c r="N7" s="3">
        <v>1970.0</v>
      </c>
    </row>
    <row r="8">
      <c r="A8" s="3">
        <v>1930.0</v>
      </c>
      <c r="B8" s="3">
        <v>1830.0</v>
      </c>
      <c r="C8" s="3">
        <v>1850.0</v>
      </c>
      <c r="D8" s="3">
        <v>1810.0</v>
      </c>
      <c r="F8" s="3">
        <v>1840.0</v>
      </c>
      <c r="G8" s="3">
        <v>1960.0</v>
      </c>
      <c r="H8" s="3">
        <v>1890.0</v>
      </c>
      <c r="I8" s="3">
        <v>1840.0</v>
      </c>
      <c r="K8" s="3">
        <v>1970.0</v>
      </c>
      <c r="L8" s="3">
        <v>1940.0</v>
      </c>
      <c r="M8" s="3">
        <v>1900.0</v>
      </c>
      <c r="N8" s="3">
        <v>1970.0</v>
      </c>
    </row>
    <row r="9">
      <c r="A9" s="3">
        <v>1870.0</v>
      </c>
      <c r="B9" s="3">
        <v>1790.0</v>
      </c>
      <c r="C9" s="3">
        <v>1820.0</v>
      </c>
      <c r="D9" s="3">
        <v>1800.0</v>
      </c>
      <c r="F9" s="3">
        <v>1870.0</v>
      </c>
      <c r="G9" s="3">
        <v>1990.0</v>
      </c>
      <c r="H9" s="3">
        <v>1880.0</v>
      </c>
      <c r="I9" s="3">
        <v>1890.0</v>
      </c>
      <c r="K9" s="3">
        <v>1980.0</v>
      </c>
      <c r="L9" s="3">
        <v>1940.0</v>
      </c>
      <c r="M9" s="3">
        <v>1940.0</v>
      </c>
      <c r="N9" s="3">
        <v>1850.0</v>
      </c>
    </row>
    <row r="10">
      <c r="A10" s="3">
        <v>1890.0</v>
      </c>
      <c r="B10" s="3">
        <v>1810.0</v>
      </c>
      <c r="C10" s="3">
        <v>1810.0</v>
      </c>
      <c r="D10" s="3">
        <v>1840.0</v>
      </c>
      <c r="F10" s="3">
        <v>1870.0</v>
      </c>
      <c r="G10" s="3">
        <v>2030.0</v>
      </c>
      <c r="H10" s="3">
        <v>1870.0</v>
      </c>
      <c r="I10" s="3">
        <v>1890.0</v>
      </c>
      <c r="K10" s="3">
        <v>2010.0</v>
      </c>
      <c r="L10" s="3">
        <v>1950.0</v>
      </c>
      <c r="M10" s="3">
        <v>1900.0</v>
      </c>
      <c r="N10" s="3">
        <v>1880.0</v>
      </c>
    </row>
    <row r="11">
      <c r="A11" s="3">
        <v>1860.0</v>
      </c>
      <c r="B11" s="3">
        <v>1850.0</v>
      </c>
      <c r="C11" s="3">
        <v>1840.0</v>
      </c>
      <c r="D11" s="3">
        <v>1790.0</v>
      </c>
      <c r="F11" s="3">
        <v>1950.0</v>
      </c>
      <c r="G11" s="3">
        <v>1960.0</v>
      </c>
      <c r="H11" s="3">
        <v>1900.0</v>
      </c>
      <c r="I11" s="3">
        <v>1830.0</v>
      </c>
      <c r="K11" s="3">
        <v>1970.0</v>
      </c>
      <c r="L11" s="3">
        <v>1950.0</v>
      </c>
      <c r="M11" s="3">
        <v>1890.0</v>
      </c>
      <c r="N11" s="3">
        <v>1900.0</v>
      </c>
    </row>
    <row r="12">
      <c r="A12" s="3">
        <v>1950.0</v>
      </c>
      <c r="B12" s="3">
        <v>1820.0</v>
      </c>
      <c r="C12" s="3">
        <v>1830.0</v>
      </c>
      <c r="D12" s="3">
        <v>1900.0</v>
      </c>
      <c r="F12" s="3">
        <v>1880.0</v>
      </c>
      <c r="G12" s="3">
        <v>1870.0</v>
      </c>
      <c r="H12" s="3">
        <v>1840.0</v>
      </c>
      <c r="I12" s="3">
        <v>1930.0</v>
      </c>
      <c r="K12" s="3">
        <v>1950.0</v>
      </c>
      <c r="L12" s="3">
        <v>1960.0</v>
      </c>
      <c r="M12" s="3">
        <v>1870.0</v>
      </c>
      <c r="N12" s="3">
        <v>1960.0</v>
      </c>
    </row>
    <row r="13">
      <c r="A13" s="3">
        <v>1950.0</v>
      </c>
      <c r="B13" s="3">
        <v>1900.0</v>
      </c>
      <c r="C13" s="3">
        <v>1840.0</v>
      </c>
      <c r="D13" s="3">
        <v>1840.0</v>
      </c>
      <c r="F13" s="3">
        <v>1870.0</v>
      </c>
      <c r="G13" s="3">
        <v>1850.0</v>
      </c>
      <c r="H13" s="3">
        <v>1910.0</v>
      </c>
      <c r="I13" s="3">
        <v>1900.0</v>
      </c>
      <c r="K13" s="3">
        <v>1990.0</v>
      </c>
      <c r="L13" s="3">
        <v>1900.0</v>
      </c>
      <c r="M13" s="3">
        <v>1880.0</v>
      </c>
      <c r="N13" s="3">
        <v>1910.0</v>
      </c>
    </row>
    <row r="14">
      <c r="A14" s="3">
        <v>1950.0</v>
      </c>
      <c r="B14" s="3">
        <v>1920.0</v>
      </c>
      <c r="C14" s="3">
        <v>1810.0</v>
      </c>
      <c r="D14" s="3">
        <v>1900.0</v>
      </c>
      <c r="F14" s="3">
        <v>1880.0</v>
      </c>
      <c r="G14" s="3">
        <v>1840.0</v>
      </c>
      <c r="H14" s="3">
        <v>1840.0</v>
      </c>
      <c r="I14" s="3">
        <v>1880.0</v>
      </c>
      <c r="K14" s="3">
        <v>1970.0</v>
      </c>
      <c r="L14" s="3">
        <v>1980.0</v>
      </c>
      <c r="M14" s="3">
        <v>1890.0</v>
      </c>
      <c r="N14" s="3">
        <v>1920.0</v>
      </c>
    </row>
    <row r="15">
      <c r="A15" s="3">
        <v>1940.0</v>
      </c>
      <c r="B15" s="3">
        <v>1890.0</v>
      </c>
      <c r="C15" s="3">
        <v>1770.0</v>
      </c>
      <c r="D15" s="3">
        <v>1910.0</v>
      </c>
      <c r="F15" s="3">
        <v>1920.0</v>
      </c>
      <c r="G15" s="3">
        <v>1910.0</v>
      </c>
      <c r="H15" s="3">
        <v>1920.0</v>
      </c>
      <c r="I15" s="3">
        <v>1810.0</v>
      </c>
      <c r="K15" s="3">
        <v>1960.0</v>
      </c>
      <c r="L15" s="3">
        <v>1960.0</v>
      </c>
      <c r="M15" s="3">
        <v>1940.0</v>
      </c>
      <c r="N15" s="3">
        <v>1900.0</v>
      </c>
    </row>
    <row r="16">
      <c r="A16" s="3">
        <v>1950.0</v>
      </c>
      <c r="B16" s="3">
        <v>1910.0</v>
      </c>
      <c r="C16" s="3">
        <v>1810.0</v>
      </c>
      <c r="D16" s="3">
        <v>1880.0</v>
      </c>
      <c r="F16" s="3">
        <v>1900.0</v>
      </c>
      <c r="G16" s="3">
        <v>1890.0</v>
      </c>
      <c r="H16" s="3">
        <v>1920.0</v>
      </c>
      <c r="I16" s="3">
        <v>1850.0</v>
      </c>
      <c r="K16" s="3">
        <v>1990.0</v>
      </c>
      <c r="L16" s="3">
        <v>1980.0</v>
      </c>
      <c r="M16" s="3">
        <v>1880.0</v>
      </c>
      <c r="N16" s="3">
        <v>1890.0</v>
      </c>
    </row>
    <row r="17">
      <c r="A17" s="3">
        <v>1920.0</v>
      </c>
      <c r="B17" s="3">
        <v>1850.0</v>
      </c>
      <c r="C17" s="3">
        <v>1790.0</v>
      </c>
      <c r="D17" s="3">
        <v>1870.0</v>
      </c>
      <c r="F17" s="3">
        <v>1890.0</v>
      </c>
      <c r="G17" s="3">
        <v>1980.0</v>
      </c>
      <c r="H17" s="3">
        <v>1890.0</v>
      </c>
      <c r="I17" s="3">
        <v>1850.0</v>
      </c>
      <c r="K17" s="3">
        <v>2000.0</v>
      </c>
      <c r="L17" s="3">
        <v>1950.0</v>
      </c>
      <c r="M17" s="3">
        <v>1860.0</v>
      </c>
      <c r="N17" s="3">
        <v>1990.0</v>
      </c>
    </row>
    <row r="18">
      <c r="A18" s="4">
        <f t="shared" ref="A18:D18" si="1">round((SUM(A3:A17)/15),2)</f>
        <v>1926</v>
      </c>
      <c r="B18" s="4">
        <f t="shared" si="1"/>
        <v>1865.33</v>
      </c>
      <c r="C18" s="4">
        <f t="shared" si="1"/>
        <v>1834</v>
      </c>
      <c r="D18" s="4">
        <f t="shared" si="1"/>
        <v>1830</v>
      </c>
      <c r="F18" s="4">
        <f t="shared" ref="F18:I18" si="2">round((SUM(F3:F17)/15),2)</f>
        <v>1894</v>
      </c>
      <c r="G18" s="4">
        <f t="shared" si="2"/>
        <v>1950</v>
      </c>
      <c r="H18" s="4">
        <f t="shared" si="2"/>
        <v>1880</v>
      </c>
      <c r="I18" s="4">
        <f t="shared" si="2"/>
        <v>1886.67</v>
      </c>
      <c r="K18" s="4">
        <f t="shared" ref="K18:N18" si="3">round((SUM(K3:K17)/15),2)</f>
        <v>1961.33</v>
      </c>
      <c r="L18" s="4">
        <f t="shared" si="3"/>
        <v>1932</v>
      </c>
      <c r="M18" s="4">
        <f t="shared" si="3"/>
        <v>1892</v>
      </c>
      <c r="N18" s="4">
        <f t="shared" si="3"/>
        <v>1923.33</v>
      </c>
    </row>
    <row r="21">
      <c r="A21" s="1" t="s">
        <v>55</v>
      </c>
      <c r="F21" s="1" t="s">
        <v>56</v>
      </c>
      <c r="K21" s="1" t="s">
        <v>57</v>
      </c>
    </row>
    <row r="22">
      <c r="A22" s="2" t="s">
        <v>4</v>
      </c>
      <c r="B22" s="2" t="s">
        <v>5</v>
      </c>
      <c r="C22" s="2" t="s">
        <v>6</v>
      </c>
      <c r="D22" s="2" t="s">
        <v>7</v>
      </c>
      <c r="F22" s="2" t="s">
        <v>4</v>
      </c>
      <c r="G22" s="2" t="s">
        <v>5</v>
      </c>
      <c r="H22" s="2" t="s">
        <v>6</v>
      </c>
      <c r="I22" s="2" t="s">
        <v>7</v>
      </c>
      <c r="K22" s="2" t="s">
        <v>4</v>
      </c>
      <c r="L22" s="2" t="s">
        <v>5</v>
      </c>
      <c r="M22" s="2" t="s">
        <v>6</v>
      </c>
      <c r="N22" s="2" t="s">
        <v>7</v>
      </c>
    </row>
    <row r="23">
      <c r="A23" s="3">
        <v>1950.0</v>
      </c>
      <c r="B23" s="3">
        <v>1930.0</v>
      </c>
      <c r="C23" s="3">
        <v>1880.0</v>
      </c>
      <c r="D23" s="3">
        <v>1840.0</v>
      </c>
      <c r="F23" s="3">
        <v>1840.0</v>
      </c>
      <c r="G23" s="3">
        <v>1890.0</v>
      </c>
      <c r="H23" s="3">
        <v>1930.0</v>
      </c>
      <c r="I23" s="3">
        <v>1830.0</v>
      </c>
      <c r="K23" s="3">
        <v>1930.0</v>
      </c>
      <c r="L23" s="3">
        <v>1890.0</v>
      </c>
      <c r="M23" s="3">
        <v>1930.0</v>
      </c>
      <c r="N23" s="3">
        <v>1900.0</v>
      </c>
    </row>
    <row r="24">
      <c r="A24" s="3">
        <v>1890.0</v>
      </c>
      <c r="B24" s="3">
        <v>1970.0</v>
      </c>
      <c r="C24" s="3">
        <v>1880.0</v>
      </c>
      <c r="D24" s="3">
        <v>1890.0</v>
      </c>
      <c r="F24" s="3">
        <v>1860.0</v>
      </c>
      <c r="G24" s="3">
        <v>1880.0</v>
      </c>
      <c r="H24" s="3">
        <v>1910.0</v>
      </c>
      <c r="I24" s="3">
        <v>1880.0</v>
      </c>
      <c r="K24" s="3">
        <v>1900.0</v>
      </c>
      <c r="L24" s="3">
        <v>1890.0</v>
      </c>
      <c r="M24" s="3">
        <v>1870.0</v>
      </c>
      <c r="N24" s="3">
        <v>1880.0</v>
      </c>
    </row>
    <row r="25">
      <c r="A25" s="3">
        <v>1960.0</v>
      </c>
      <c r="B25" s="3">
        <v>1950.0</v>
      </c>
      <c r="C25" s="3">
        <v>1910.0</v>
      </c>
      <c r="D25" s="3">
        <v>1880.0</v>
      </c>
      <c r="F25" s="3">
        <v>1900.0</v>
      </c>
      <c r="G25" s="3">
        <v>1860.0</v>
      </c>
      <c r="H25" s="3">
        <v>1930.0</v>
      </c>
      <c r="I25" s="3">
        <v>1880.0</v>
      </c>
      <c r="K25" s="3">
        <v>1900.0</v>
      </c>
      <c r="L25" s="3">
        <v>1940.0</v>
      </c>
      <c r="M25" s="3">
        <v>1860.0</v>
      </c>
      <c r="N25" s="3">
        <v>1940.0</v>
      </c>
    </row>
    <row r="26">
      <c r="A26" s="3">
        <v>1990.0</v>
      </c>
      <c r="B26" s="3">
        <v>1980.0</v>
      </c>
      <c r="C26" s="3">
        <v>1880.0</v>
      </c>
      <c r="D26" s="3">
        <v>1940.0</v>
      </c>
      <c r="F26" s="3">
        <v>1940.0</v>
      </c>
      <c r="G26" s="3">
        <v>1870.0</v>
      </c>
      <c r="H26" s="3">
        <v>1890.0</v>
      </c>
      <c r="I26" s="3">
        <v>1830.0</v>
      </c>
      <c r="K26" s="3">
        <v>1900.0</v>
      </c>
      <c r="L26" s="3">
        <v>1890.0</v>
      </c>
      <c r="M26" s="3">
        <v>1860.0</v>
      </c>
      <c r="N26" s="3">
        <v>1930.0</v>
      </c>
    </row>
    <row r="27">
      <c r="A27" s="3">
        <v>1900.0</v>
      </c>
      <c r="B27" s="3">
        <v>1970.0</v>
      </c>
      <c r="C27" s="3">
        <v>1880.0</v>
      </c>
      <c r="D27" s="3">
        <v>1950.0</v>
      </c>
      <c r="F27" s="3">
        <v>1860.0</v>
      </c>
      <c r="G27" s="3">
        <v>1840.0</v>
      </c>
      <c r="H27" s="3">
        <v>1890.0</v>
      </c>
      <c r="I27" s="3">
        <v>1890.0</v>
      </c>
      <c r="K27" s="3">
        <v>1850.0</v>
      </c>
      <c r="L27" s="3">
        <v>1950.0</v>
      </c>
      <c r="M27" s="3">
        <v>1880.0</v>
      </c>
      <c r="N27" s="3">
        <v>1910.0</v>
      </c>
    </row>
    <row r="28">
      <c r="A28" s="3">
        <v>1940.0</v>
      </c>
      <c r="B28" s="3">
        <v>1940.0</v>
      </c>
      <c r="C28" s="3">
        <v>1890.0</v>
      </c>
      <c r="D28" s="3">
        <v>1900.0</v>
      </c>
      <c r="E28" s="3" t="s">
        <v>50</v>
      </c>
      <c r="F28" s="3">
        <v>1810.0</v>
      </c>
      <c r="G28" s="3">
        <v>1930.0</v>
      </c>
      <c r="H28" s="3">
        <v>1960.0</v>
      </c>
      <c r="I28" s="3">
        <v>1890.0</v>
      </c>
      <c r="K28" s="3">
        <v>1900.0</v>
      </c>
      <c r="L28" s="3">
        <v>1940.0</v>
      </c>
      <c r="M28" s="3">
        <v>1830.0</v>
      </c>
      <c r="N28" s="3">
        <v>1900.0</v>
      </c>
    </row>
    <row r="29">
      <c r="A29" s="3">
        <v>2000.0</v>
      </c>
      <c r="B29" s="3">
        <v>1910.0</v>
      </c>
      <c r="C29" s="3">
        <v>1880.0</v>
      </c>
      <c r="D29" s="3">
        <v>1820.0</v>
      </c>
      <c r="F29" s="3">
        <v>1830.0</v>
      </c>
      <c r="G29" s="3">
        <v>1990.0</v>
      </c>
      <c r="H29" s="3">
        <v>1940.0</v>
      </c>
      <c r="I29" s="3">
        <v>1910.0</v>
      </c>
      <c r="K29" s="3">
        <v>1900.0</v>
      </c>
      <c r="L29" s="3">
        <v>1870.0</v>
      </c>
      <c r="M29" s="3">
        <v>1830.0</v>
      </c>
      <c r="N29" s="3">
        <v>1870.0</v>
      </c>
    </row>
    <row r="30">
      <c r="A30" s="3">
        <v>1900.0</v>
      </c>
      <c r="B30" s="3">
        <v>1940.0</v>
      </c>
      <c r="C30" s="3">
        <v>1830.0</v>
      </c>
      <c r="D30" s="3">
        <v>1870.0</v>
      </c>
      <c r="F30" s="3">
        <v>1860.0</v>
      </c>
      <c r="G30" s="3">
        <v>1950.0</v>
      </c>
      <c r="H30" s="3">
        <v>1870.0</v>
      </c>
      <c r="I30" s="3">
        <v>1950.0</v>
      </c>
      <c r="K30" s="3">
        <v>1920.0</v>
      </c>
      <c r="L30" s="3">
        <v>1870.0</v>
      </c>
      <c r="M30" s="3">
        <v>1900.0</v>
      </c>
      <c r="N30" s="3">
        <v>1900.0</v>
      </c>
    </row>
    <row r="31">
      <c r="A31" s="3">
        <v>1900.0</v>
      </c>
      <c r="B31" s="3">
        <v>1940.0</v>
      </c>
      <c r="C31" s="3">
        <v>1900.0</v>
      </c>
      <c r="D31" s="3">
        <v>1870.0</v>
      </c>
      <c r="F31" s="3">
        <v>1820.0</v>
      </c>
      <c r="G31" s="3">
        <v>1950.0</v>
      </c>
      <c r="H31" s="3">
        <v>1900.0</v>
      </c>
      <c r="I31" s="3">
        <v>1930.0</v>
      </c>
      <c r="K31" s="3">
        <v>1890.0</v>
      </c>
      <c r="L31" s="3">
        <v>1860.0</v>
      </c>
      <c r="M31" s="3">
        <v>1890.0</v>
      </c>
      <c r="N31" s="3">
        <v>1910.0</v>
      </c>
    </row>
    <row r="32">
      <c r="A32" s="3">
        <v>1900.0</v>
      </c>
      <c r="B32" s="3">
        <v>1970.0</v>
      </c>
      <c r="C32" s="3">
        <v>1990.0</v>
      </c>
      <c r="D32" s="3">
        <v>1930.0</v>
      </c>
      <c r="F32" s="3">
        <v>1850.0</v>
      </c>
      <c r="G32" s="3">
        <v>1910.0</v>
      </c>
      <c r="H32" s="3">
        <v>1960.0</v>
      </c>
      <c r="I32" s="3">
        <v>1980.0</v>
      </c>
      <c r="K32" s="3">
        <v>1900.0</v>
      </c>
      <c r="L32" s="3">
        <v>1890.0</v>
      </c>
      <c r="M32" s="3">
        <v>1840.0</v>
      </c>
      <c r="N32" s="3">
        <v>1890.0</v>
      </c>
    </row>
    <row r="33">
      <c r="A33" s="3">
        <v>1950.0</v>
      </c>
      <c r="B33" s="3">
        <v>1940.0</v>
      </c>
      <c r="C33" s="3">
        <v>1890.0</v>
      </c>
      <c r="D33" s="3">
        <v>1860.0</v>
      </c>
      <c r="F33" s="3">
        <v>1940.0</v>
      </c>
      <c r="G33" s="3">
        <v>1820.0</v>
      </c>
      <c r="H33" s="3">
        <v>1850.0</v>
      </c>
      <c r="I33" s="3">
        <v>1930.0</v>
      </c>
      <c r="K33" s="3">
        <v>1910.0</v>
      </c>
      <c r="L33" s="3">
        <v>1890.0</v>
      </c>
      <c r="M33" s="3">
        <v>1850.0</v>
      </c>
      <c r="N33" s="3">
        <v>1870.0</v>
      </c>
    </row>
    <row r="34">
      <c r="A34" s="3">
        <v>1950.0</v>
      </c>
      <c r="B34" s="3">
        <v>1960.0</v>
      </c>
      <c r="C34" s="3">
        <v>1920.0</v>
      </c>
      <c r="D34" s="3">
        <v>1860.0</v>
      </c>
      <c r="F34" s="3">
        <v>1960.0</v>
      </c>
      <c r="G34" s="3">
        <v>1870.0</v>
      </c>
      <c r="H34" s="3">
        <v>1870.0</v>
      </c>
      <c r="I34" s="3">
        <v>1990.0</v>
      </c>
      <c r="K34" s="3">
        <v>1950.0</v>
      </c>
      <c r="L34" s="3">
        <v>1860.0</v>
      </c>
      <c r="M34" s="3">
        <v>1870.0</v>
      </c>
      <c r="N34" s="3">
        <v>1900.0</v>
      </c>
    </row>
    <row r="35">
      <c r="A35" s="3">
        <v>1990.0</v>
      </c>
      <c r="B35" s="3">
        <v>1940.0</v>
      </c>
      <c r="C35" s="3">
        <v>1870.0</v>
      </c>
      <c r="D35" s="3">
        <v>1890.0</v>
      </c>
      <c r="F35" s="3">
        <v>1910.0</v>
      </c>
      <c r="G35" s="3">
        <v>1800.0</v>
      </c>
      <c r="H35" s="3">
        <v>1890.0</v>
      </c>
      <c r="I35" s="3">
        <v>1990.0</v>
      </c>
      <c r="K35" s="3">
        <v>1900.0</v>
      </c>
      <c r="L35" s="3">
        <v>1840.0</v>
      </c>
      <c r="M35" s="3">
        <v>1880.0</v>
      </c>
      <c r="N35" s="3">
        <v>1920.0</v>
      </c>
    </row>
    <row r="36">
      <c r="A36" s="3">
        <v>1930.0</v>
      </c>
      <c r="B36" s="3">
        <v>1930.0</v>
      </c>
      <c r="C36" s="3">
        <v>1890.0</v>
      </c>
      <c r="D36" s="3">
        <v>1920.0</v>
      </c>
      <c r="F36" s="3">
        <v>1910.0</v>
      </c>
      <c r="G36" s="3">
        <v>1820.0</v>
      </c>
      <c r="H36" s="3">
        <v>1820.0</v>
      </c>
      <c r="I36" s="3">
        <v>2010.0</v>
      </c>
      <c r="K36" s="3">
        <v>1990.0</v>
      </c>
      <c r="L36" s="3">
        <v>1850.0</v>
      </c>
      <c r="M36" s="3">
        <v>1860.0</v>
      </c>
      <c r="N36" s="3">
        <v>1860.0</v>
      </c>
    </row>
    <row r="37">
      <c r="A37" s="3">
        <v>1940.0</v>
      </c>
      <c r="B37" s="3">
        <v>1940.0</v>
      </c>
      <c r="C37" s="3">
        <v>1870.0</v>
      </c>
      <c r="D37" s="3">
        <v>1850.0</v>
      </c>
      <c r="F37" s="3">
        <v>1920.0</v>
      </c>
      <c r="G37" s="3">
        <v>1830.0</v>
      </c>
      <c r="H37" s="3">
        <v>1800.0</v>
      </c>
      <c r="I37" s="3">
        <v>1980.0</v>
      </c>
      <c r="K37" s="3">
        <v>1860.0</v>
      </c>
      <c r="L37" s="3">
        <v>1870.0</v>
      </c>
      <c r="M37" s="3">
        <v>1890.0</v>
      </c>
      <c r="N37" s="3">
        <v>1900.0</v>
      </c>
    </row>
    <row r="38">
      <c r="A38" s="4">
        <f t="shared" ref="A38:D38" si="4">round((SUM(A23:A37)/15),2)</f>
        <v>1939.33</v>
      </c>
      <c r="B38" s="4">
        <f t="shared" si="4"/>
        <v>1947.33</v>
      </c>
      <c r="C38" s="4">
        <f t="shared" si="4"/>
        <v>1890.67</v>
      </c>
      <c r="D38" s="4">
        <f t="shared" si="4"/>
        <v>1884.67</v>
      </c>
      <c r="F38" s="4">
        <f t="shared" ref="F38:I38" si="5">round((SUM(F23:F37)/15),2)</f>
        <v>1880.67</v>
      </c>
      <c r="G38" s="4">
        <f t="shared" si="5"/>
        <v>1880.67</v>
      </c>
      <c r="H38" s="4">
        <f t="shared" si="5"/>
        <v>1894</v>
      </c>
      <c r="I38" s="4">
        <f t="shared" si="5"/>
        <v>1924.67</v>
      </c>
      <c r="K38" s="4">
        <f t="shared" ref="K38:N38" si="6">round((SUM(K23:K37)/15),2)</f>
        <v>1906.67</v>
      </c>
      <c r="L38" s="4">
        <f t="shared" si="6"/>
        <v>1886.67</v>
      </c>
      <c r="M38" s="4">
        <f t="shared" si="6"/>
        <v>1869.33</v>
      </c>
      <c r="N38" s="4">
        <f t="shared" si="6"/>
        <v>1898.67</v>
      </c>
    </row>
    <row r="41">
      <c r="A41" s="1" t="s">
        <v>58</v>
      </c>
      <c r="F41" s="1" t="s">
        <v>59</v>
      </c>
      <c r="K41" s="1" t="s">
        <v>60</v>
      </c>
    </row>
    <row r="42">
      <c r="A42" s="2" t="s">
        <v>4</v>
      </c>
      <c r="B42" s="2" t="s">
        <v>5</v>
      </c>
      <c r="C42" s="2" t="s">
        <v>6</v>
      </c>
      <c r="D42" s="2" t="s">
        <v>7</v>
      </c>
      <c r="F42" s="2" t="s">
        <v>4</v>
      </c>
      <c r="G42" s="2" t="s">
        <v>5</v>
      </c>
      <c r="H42" s="2" t="s">
        <v>6</v>
      </c>
      <c r="I42" s="2" t="s">
        <v>7</v>
      </c>
      <c r="K42" s="2" t="s">
        <v>4</v>
      </c>
      <c r="L42" s="2" t="s">
        <v>5</v>
      </c>
      <c r="M42" s="2" t="s">
        <v>6</v>
      </c>
      <c r="N42" s="2" t="s">
        <v>7</v>
      </c>
    </row>
    <row r="43">
      <c r="A43" s="3">
        <v>1910.0</v>
      </c>
      <c r="B43" s="3">
        <v>1910.0</v>
      </c>
      <c r="C43" s="3">
        <v>1890.0</v>
      </c>
      <c r="D43" s="3">
        <v>1920.0</v>
      </c>
      <c r="F43" s="3">
        <v>1850.0</v>
      </c>
      <c r="G43" s="3">
        <v>1920.0</v>
      </c>
      <c r="H43" s="3">
        <v>1890.0</v>
      </c>
      <c r="I43" s="3">
        <v>1900.0</v>
      </c>
      <c r="K43" s="3">
        <v>1880.0</v>
      </c>
      <c r="L43" s="3">
        <v>1910.0</v>
      </c>
      <c r="M43" s="3">
        <v>1840.0</v>
      </c>
      <c r="N43" s="3">
        <v>1880.0</v>
      </c>
    </row>
    <row r="44">
      <c r="A44" s="3">
        <v>1990.0</v>
      </c>
      <c r="B44" s="3">
        <v>1940.0</v>
      </c>
      <c r="C44" s="3">
        <v>1910.0</v>
      </c>
      <c r="D44" s="3">
        <v>1930.0</v>
      </c>
      <c r="F44" s="3">
        <v>1900.0</v>
      </c>
      <c r="G44" s="3">
        <v>1930.0</v>
      </c>
      <c r="H44" s="3">
        <v>1910.0</v>
      </c>
      <c r="I44" s="3">
        <v>1900.0</v>
      </c>
      <c r="K44" s="3">
        <v>1890.0</v>
      </c>
      <c r="L44" s="3">
        <v>1930.0</v>
      </c>
      <c r="M44" s="3">
        <v>1830.0</v>
      </c>
      <c r="N44" s="3">
        <v>1910.0</v>
      </c>
    </row>
    <row r="45">
      <c r="A45" s="3">
        <v>1900.0</v>
      </c>
      <c r="B45" s="3">
        <v>1930.0</v>
      </c>
      <c r="C45" s="3">
        <v>1890.0</v>
      </c>
      <c r="D45" s="3">
        <v>1820.0</v>
      </c>
      <c r="F45" s="3">
        <v>1900.0</v>
      </c>
      <c r="G45" s="3">
        <v>1950.0</v>
      </c>
      <c r="H45" s="3">
        <v>1850.0</v>
      </c>
      <c r="I45" s="3">
        <v>1930.0</v>
      </c>
      <c r="K45" s="3">
        <v>1900.0</v>
      </c>
      <c r="L45" s="3">
        <v>1950.0</v>
      </c>
      <c r="M45" s="3">
        <v>1830.0</v>
      </c>
      <c r="N45" s="3">
        <v>1880.0</v>
      </c>
    </row>
    <row r="46">
      <c r="A46" s="3">
        <v>1920.0</v>
      </c>
      <c r="B46" s="3">
        <v>1910.0</v>
      </c>
      <c r="C46" s="3">
        <v>1970.0</v>
      </c>
      <c r="D46" s="3">
        <v>1950.0</v>
      </c>
      <c r="F46" s="3">
        <v>1870.0</v>
      </c>
      <c r="G46" s="3">
        <v>1910.0</v>
      </c>
      <c r="H46" s="3">
        <v>1840.0</v>
      </c>
      <c r="I46" s="3">
        <v>1920.0</v>
      </c>
      <c r="K46" s="3">
        <v>1930.0</v>
      </c>
      <c r="L46" s="3">
        <v>1920.0</v>
      </c>
      <c r="M46" s="3">
        <v>1840.0</v>
      </c>
      <c r="N46" s="3">
        <v>1880.0</v>
      </c>
    </row>
    <row r="47">
      <c r="A47" s="3">
        <v>1970.0</v>
      </c>
      <c r="B47" s="3">
        <v>1950.0</v>
      </c>
      <c r="C47" s="3">
        <v>1890.0</v>
      </c>
      <c r="D47" s="3">
        <v>1890.0</v>
      </c>
      <c r="F47" s="3">
        <v>1900.0</v>
      </c>
      <c r="G47" s="3">
        <v>1920.0</v>
      </c>
      <c r="H47" s="3">
        <v>1930.0</v>
      </c>
      <c r="I47" s="3">
        <v>1900.0</v>
      </c>
      <c r="K47" s="3">
        <v>1940.0</v>
      </c>
      <c r="L47" s="3">
        <v>1920.0</v>
      </c>
      <c r="M47" s="3">
        <v>1830.0</v>
      </c>
      <c r="N47" s="3">
        <v>1890.0</v>
      </c>
    </row>
    <row r="48">
      <c r="A48" s="3">
        <v>1940.0</v>
      </c>
      <c r="B48" s="3">
        <v>1920.0</v>
      </c>
      <c r="C48" s="3">
        <v>1840.0</v>
      </c>
      <c r="D48" s="3">
        <v>1900.0</v>
      </c>
      <c r="F48" s="3">
        <v>1920.0</v>
      </c>
      <c r="G48" s="3">
        <v>1930.0</v>
      </c>
      <c r="H48" s="3">
        <v>1870.0</v>
      </c>
      <c r="I48" s="3">
        <v>1870.0</v>
      </c>
      <c r="K48" s="3">
        <v>1930.0</v>
      </c>
      <c r="L48" s="3">
        <v>1880.0</v>
      </c>
      <c r="M48" s="3">
        <v>1810.0</v>
      </c>
      <c r="N48" s="3">
        <v>1890.0</v>
      </c>
    </row>
    <row r="49">
      <c r="A49" s="3">
        <v>1920.0</v>
      </c>
      <c r="B49" s="3">
        <v>1940.0</v>
      </c>
      <c r="C49" s="3">
        <v>1830.0</v>
      </c>
      <c r="D49" s="3">
        <v>1920.0</v>
      </c>
      <c r="F49" s="3">
        <v>1940.0</v>
      </c>
      <c r="G49" s="3">
        <v>1890.0</v>
      </c>
      <c r="H49" s="3">
        <v>1870.0</v>
      </c>
      <c r="I49" s="3">
        <v>1860.0</v>
      </c>
      <c r="K49" s="3">
        <v>1880.0</v>
      </c>
      <c r="L49" s="3">
        <v>1910.0</v>
      </c>
      <c r="M49" s="3">
        <v>1840.0</v>
      </c>
      <c r="N49" s="3">
        <v>1860.0</v>
      </c>
    </row>
    <row r="50">
      <c r="A50" s="3">
        <v>1940.0</v>
      </c>
      <c r="B50" s="3">
        <v>1950.0</v>
      </c>
      <c r="C50" s="3">
        <v>1880.0</v>
      </c>
      <c r="D50" s="3">
        <v>1860.0</v>
      </c>
      <c r="F50" s="3">
        <v>1920.0</v>
      </c>
      <c r="G50" s="3">
        <v>1920.0</v>
      </c>
      <c r="H50" s="3">
        <v>1890.0</v>
      </c>
      <c r="I50" s="3">
        <v>1880.0</v>
      </c>
      <c r="K50" s="3">
        <v>1850.0</v>
      </c>
      <c r="L50" s="3">
        <v>1890.0</v>
      </c>
      <c r="M50" s="3">
        <v>1860.0</v>
      </c>
      <c r="N50" s="3">
        <v>1910.0</v>
      </c>
    </row>
    <row r="51">
      <c r="A51" s="3">
        <v>1920.0</v>
      </c>
      <c r="B51" s="3">
        <v>1920.0</v>
      </c>
      <c r="C51" s="3">
        <v>1860.0</v>
      </c>
      <c r="D51" s="3">
        <v>1870.0</v>
      </c>
      <c r="F51" s="3">
        <v>1940.0</v>
      </c>
      <c r="G51" s="3">
        <v>1910.0</v>
      </c>
      <c r="H51" s="3">
        <v>1860.0</v>
      </c>
      <c r="I51" s="3">
        <v>1940.0</v>
      </c>
      <c r="K51" s="3">
        <v>1900.0</v>
      </c>
      <c r="L51" s="3">
        <v>1910.0</v>
      </c>
      <c r="M51" s="3">
        <v>1840.0</v>
      </c>
      <c r="N51" s="3">
        <v>1900.0</v>
      </c>
    </row>
    <row r="52">
      <c r="A52" s="3">
        <v>1890.0</v>
      </c>
      <c r="B52" s="3">
        <v>1930.0</v>
      </c>
      <c r="C52" s="3">
        <v>1910.0</v>
      </c>
      <c r="D52" s="3">
        <v>1890.0</v>
      </c>
      <c r="F52" s="3">
        <v>1920.0</v>
      </c>
      <c r="G52" s="3">
        <v>1920.0</v>
      </c>
      <c r="H52" s="3">
        <v>1960.0</v>
      </c>
      <c r="I52" s="3">
        <v>1870.0</v>
      </c>
      <c r="K52" s="3">
        <v>1910.0</v>
      </c>
      <c r="L52" s="3">
        <v>1870.0</v>
      </c>
      <c r="M52" s="3">
        <v>1910.0</v>
      </c>
      <c r="N52" s="3">
        <v>1880.0</v>
      </c>
    </row>
    <row r="53">
      <c r="A53" s="3">
        <v>1960.0</v>
      </c>
      <c r="B53" s="3">
        <v>1910.0</v>
      </c>
      <c r="C53" s="3">
        <v>1880.0</v>
      </c>
      <c r="D53" s="3">
        <v>1920.0</v>
      </c>
      <c r="F53" s="3">
        <v>1900.0</v>
      </c>
      <c r="G53" s="3">
        <v>1910.0</v>
      </c>
      <c r="H53" s="3">
        <v>1870.0</v>
      </c>
      <c r="I53" s="3">
        <v>1890.0</v>
      </c>
      <c r="K53" s="3">
        <v>1930.0</v>
      </c>
      <c r="L53" s="3">
        <v>1840.0</v>
      </c>
      <c r="M53" s="3">
        <v>1850.0</v>
      </c>
      <c r="N53" s="3">
        <v>1840.0</v>
      </c>
    </row>
    <row r="54">
      <c r="A54" s="3">
        <v>1940.0</v>
      </c>
      <c r="B54" s="3">
        <v>1920.0</v>
      </c>
      <c r="C54" s="3">
        <v>1880.0</v>
      </c>
      <c r="D54" s="3">
        <v>1910.0</v>
      </c>
      <c r="F54" s="3">
        <v>1930.0</v>
      </c>
      <c r="G54" s="3">
        <v>1920.0</v>
      </c>
      <c r="H54" s="3">
        <v>1850.0</v>
      </c>
      <c r="I54" s="3">
        <v>1890.0</v>
      </c>
      <c r="K54" s="3">
        <v>1890.0</v>
      </c>
      <c r="L54" s="3">
        <v>1910.0</v>
      </c>
      <c r="M54" s="3">
        <v>1890.0</v>
      </c>
      <c r="N54" s="3">
        <v>1910.0</v>
      </c>
    </row>
    <row r="55">
      <c r="A55" s="3">
        <v>1910.0</v>
      </c>
      <c r="B55" s="3">
        <v>1890.0</v>
      </c>
      <c r="C55" s="3">
        <v>1870.0</v>
      </c>
      <c r="D55" s="3">
        <v>1900.0</v>
      </c>
      <c r="F55" s="3">
        <v>1890.0</v>
      </c>
      <c r="G55" s="3">
        <v>1880.0</v>
      </c>
      <c r="H55" s="3">
        <v>1870.0</v>
      </c>
      <c r="I55" s="3">
        <v>1860.0</v>
      </c>
      <c r="K55" s="3">
        <v>1910.0</v>
      </c>
      <c r="L55" s="3">
        <v>1910.0</v>
      </c>
      <c r="M55" s="3">
        <v>1810.0</v>
      </c>
      <c r="N55" s="3">
        <v>1880.0</v>
      </c>
    </row>
    <row r="56">
      <c r="A56" s="3">
        <v>1930.0</v>
      </c>
      <c r="B56" s="3">
        <v>1910.0</v>
      </c>
      <c r="C56" s="3">
        <v>1870.0</v>
      </c>
      <c r="D56" s="3">
        <v>1860.0</v>
      </c>
      <c r="F56" s="3">
        <v>1930.0</v>
      </c>
      <c r="G56" s="3">
        <v>1930.0</v>
      </c>
      <c r="H56" s="3">
        <v>1900.0</v>
      </c>
      <c r="I56" s="3">
        <v>1920.0</v>
      </c>
      <c r="K56" s="3">
        <v>1900.0</v>
      </c>
      <c r="L56" s="3">
        <v>1920.0</v>
      </c>
      <c r="M56" s="3">
        <v>1820.0</v>
      </c>
      <c r="N56" s="3">
        <v>1910.0</v>
      </c>
    </row>
    <row r="57">
      <c r="A57" s="3">
        <v>1910.0</v>
      </c>
      <c r="B57" s="3">
        <v>1920.0</v>
      </c>
      <c r="C57" s="3">
        <v>1860.0</v>
      </c>
      <c r="D57" s="3">
        <v>1930.0</v>
      </c>
      <c r="F57" s="3">
        <v>1900.0</v>
      </c>
      <c r="G57" s="3">
        <v>1920.0</v>
      </c>
      <c r="H57" s="3">
        <v>1880.0</v>
      </c>
      <c r="I57" s="3">
        <v>1930.0</v>
      </c>
      <c r="K57" s="3">
        <v>1870.0</v>
      </c>
      <c r="L57" s="3">
        <v>1840.0</v>
      </c>
      <c r="M57" s="3">
        <v>1910.0</v>
      </c>
      <c r="N57" s="3">
        <v>1880.0</v>
      </c>
    </row>
    <row r="58">
      <c r="A58" s="4">
        <f t="shared" ref="A58:D58" si="7">round((SUM(A43:A57)/15),2)</f>
        <v>1930</v>
      </c>
      <c r="B58" s="4">
        <f t="shared" si="7"/>
        <v>1923.33</v>
      </c>
      <c r="C58" s="4">
        <f t="shared" si="7"/>
        <v>1882</v>
      </c>
      <c r="D58" s="4">
        <f t="shared" si="7"/>
        <v>1898</v>
      </c>
      <c r="F58" s="4">
        <f t="shared" ref="F58:I58" si="8">round((SUM(F43:F57)/15),2)</f>
        <v>1907.33</v>
      </c>
      <c r="G58" s="4">
        <f t="shared" si="8"/>
        <v>1917.33</v>
      </c>
      <c r="H58" s="4">
        <f t="shared" si="8"/>
        <v>1882.67</v>
      </c>
      <c r="I58" s="4">
        <f t="shared" si="8"/>
        <v>1897.33</v>
      </c>
      <c r="K58" s="4">
        <f t="shared" ref="K58:N58" si="9">round((SUM(K43:K57)/15),2)</f>
        <v>1900.67</v>
      </c>
      <c r="L58" s="4">
        <f t="shared" si="9"/>
        <v>1900.67</v>
      </c>
      <c r="M58" s="4">
        <f t="shared" si="9"/>
        <v>1847.33</v>
      </c>
      <c r="N58" s="4">
        <f t="shared" si="9"/>
        <v>1886.67</v>
      </c>
    </row>
    <row r="61">
      <c r="A61" s="1" t="s">
        <v>61</v>
      </c>
      <c r="F61" s="1" t="s">
        <v>62</v>
      </c>
      <c r="K61" s="1" t="s">
        <v>63</v>
      </c>
    </row>
    <row r="62">
      <c r="A62" s="2" t="s">
        <v>4</v>
      </c>
      <c r="B62" s="2" t="s">
        <v>5</v>
      </c>
      <c r="C62" s="2" t="s">
        <v>6</v>
      </c>
      <c r="D62" s="2" t="s">
        <v>7</v>
      </c>
      <c r="F62" s="2" t="s">
        <v>4</v>
      </c>
      <c r="G62" s="2" t="s">
        <v>5</v>
      </c>
      <c r="H62" s="2" t="s">
        <v>6</v>
      </c>
      <c r="I62" s="2" t="s">
        <v>7</v>
      </c>
      <c r="K62" s="2" t="s">
        <v>4</v>
      </c>
      <c r="L62" s="2" t="s">
        <v>5</v>
      </c>
      <c r="M62" s="2" t="s">
        <v>6</v>
      </c>
      <c r="N62" s="2" t="s">
        <v>7</v>
      </c>
    </row>
    <row r="63">
      <c r="A63" s="3">
        <v>1910.0</v>
      </c>
      <c r="B63" s="3">
        <v>1880.0</v>
      </c>
      <c r="C63" s="3">
        <v>1930.0</v>
      </c>
      <c r="D63" s="3">
        <v>1870.0</v>
      </c>
      <c r="F63" s="3">
        <v>1910.0</v>
      </c>
      <c r="G63" s="3">
        <v>1910.0</v>
      </c>
      <c r="H63" s="3">
        <v>1840.0</v>
      </c>
      <c r="I63" s="3">
        <v>1880.0</v>
      </c>
      <c r="K63" s="3">
        <v>1900.0</v>
      </c>
      <c r="L63" s="3">
        <v>1900.0</v>
      </c>
      <c r="M63" s="3">
        <v>1850.0</v>
      </c>
      <c r="N63" s="3">
        <v>1880.0</v>
      </c>
    </row>
    <row r="64">
      <c r="A64" s="3">
        <v>1890.0</v>
      </c>
      <c r="B64" s="3">
        <v>1880.0</v>
      </c>
      <c r="C64" s="3">
        <v>1920.0</v>
      </c>
      <c r="D64" s="3">
        <v>1870.0</v>
      </c>
      <c r="F64" s="3">
        <v>1870.0</v>
      </c>
      <c r="G64" s="3">
        <v>1890.0</v>
      </c>
      <c r="H64" s="3">
        <v>1900.0</v>
      </c>
      <c r="I64" s="3">
        <v>1950.0</v>
      </c>
      <c r="K64" s="3">
        <v>1900.0</v>
      </c>
      <c r="L64" s="3">
        <v>1890.0</v>
      </c>
      <c r="M64" s="3">
        <v>1810.0</v>
      </c>
      <c r="N64" s="3">
        <v>1860.0</v>
      </c>
    </row>
    <row r="65">
      <c r="A65" s="3">
        <v>1920.0</v>
      </c>
      <c r="B65" s="3">
        <v>1900.0</v>
      </c>
      <c r="C65" s="3">
        <v>1890.0</v>
      </c>
      <c r="D65" s="3">
        <v>1890.0</v>
      </c>
      <c r="F65" s="3">
        <v>1860.0</v>
      </c>
      <c r="G65" s="3">
        <v>1940.0</v>
      </c>
      <c r="H65" s="3">
        <v>1880.0</v>
      </c>
      <c r="I65" s="3">
        <v>1870.0</v>
      </c>
      <c r="K65" s="3">
        <v>1910.0</v>
      </c>
      <c r="L65" s="3">
        <v>1910.0</v>
      </c>
      <c r="M65" s="3">
        <v>1890.0</v>
      </c>
      <c r="N65" s="3">
        <v>1900.0</v>
      </c>
    </row>
    <row r="66">
      <c r="A66" s="3">
        <v>1970.0</v>
      </c>
      <c r="B66" s="3">
        <v>1930.0</v>
      </c>
      <c r="C66" s="3">
        <v>1880.0</v>
      </c>
      <c r="D66" s="3">
        <v>1940.0</v>
      </c>
      <c r="F66" s="3">
        <v>1900.0</v>
      </c>
      <c r="G66" s="3">
        <v>1890.0</v>
      </c>
      <c r="H66" s="3">
        <v>1880.0</v>
      </c>
      <c r="I66" s="3">
        <v>1850.0</v>
      </c>
      <c r="K66" s="3">
        <v>1860.0</v>
      </c>
      <c r="L66" s="3">
        <v>1920.0</v>
      </c>
      <c r="M66" s="3">
        <v>1880.0</v>
      </c>
      <c r="N66" s="3">
        <v>1890.0</v>
      </c>
    </row>
    <row r="67">
      <c r="A67" s="3">
        <v>1920.0</v>
      </c>
      <c r="B67" s="3">
        <v>1890.0</v>
      </c>
      <c r="C67" s="3">
        <v>1910.0</v>
      </c>
      <c r="D67" s="3">
        <v>1820.0</v>
      </c>
      <c r="F67" s="3">
        <v>1890.0</v>
      </c>
      <c r="G67" s="3">
        <v>1930.0</v>
      </c>
      <c r="H67" s="3">
        <v>1910.0</v>
      </c>
      <c r="I67" s="3">
        <v>1890.0</v>
      </c>
      <c r="K67" s="3">
        <v>1920.0</v>
      </c>
      <c r="L67" s="3">
        <v>1930.0</v>
      </c>
      <c r="M67" s="3">
        <v>1840.0</v>
      </c>
      <c r="N67" s="3">
        <v>1880.0</v>
      </c>
    </row>
    <row r="68">
      <c r="A68" s="3">
        <v>1900.0</v>
      </c>
      <c r="B68" s="3">
        <v>1910.0</v>
      </c>
      <c r="C68" s="3">
        <v>1870.0</v>
      </c>
      <c r="D68" s="3">
        <v>1900.0</v>
      </c>
      <c r="F68" s="3">
        <v>1890.0</v>
      </c>
      <c r="G68" s="3">
        <v>1920.0</v>
      </c>
      <c r="H68" s="3">
        <v>1900.0</v>
      </c>
      <c r="I68" s="3">
        <v>1830.0</v>
      </c>
      <c r="K68" s="3">
        <v>1910.0</v>
      </c>
      <c r="L68" s="3">
        <v>1900.0</v>
      </c>
      <c r="M68" s="3">
        <v>1800.0</v>
      </c>
      <c r="N68" s="3">
        <v>1890.0</v>
      </c>
    </row>
    <row r="69">
      <c r="A69" s="3">
        <v>1920.0</v>
      </c>
      <c r="B69" s="3">
        <v>1920.0</v>
      </c>
      <c r="C69" s="3">
        <v>1860.0</v>
      </c>
      <c r="D69" s="3">
        <v>1890.0</v>
      </c>
      <c r="F69" s="3">
        <v>1920.0</v>
      </c>
      <c r="G69" s="3">
        <v>1860.0</v>
      </c>
      <c r="H69" s="3">
        <v>1880.0</v>
      </c>
      <c r="I69" s="3">
        <v>1920.0</v>
      </c>
      <c r="K69" s="3">
        <v>1930.0</v>
      </c>
      <c r="L69" s="3">
        <v>1890.0</v>
      </c>
      <c r="M69" s="3">
        <v>1820.0</v>
      </c>
      <c r="N69" s="3">
        <v>1940.0</v>
      </c>
    </row>
    <row r="70">
      <c r="A70" s="3">
        <v>1930.0</v>
      </c>
      <c r="B70" s="3">
        <v>1880.0</v>
      </c>
      <c r="C70" s="3">
        <v>1890.0</v>
      </c>
      <c r="D70" s="3">
        <v>1870.0</v>
      </c>
      <c r="F70" s="3">
        <v>1880.0</v>
      </c>
      <c r="G70" s="3">
        <v>1910.0</v>
      </c>
      <c r="H70" s="3">
        <v>1930.0</v>
      </c>
      <c r="I70" s="3">
        <v>1860.0</v>
      </c>
      <c r="K70" s="3">
        <v>1850.0</v>
      </c>
      <c r="L70" s="3">
        <v>1900.0</v>
      </c>
      <c r="M70" s="3">
        <v>1860.0</v>
      </c>
      <c r="N70" s="3">
        <v>1900.0</v>
      </c>
    </row>
    <row r="71">
      <c r="A71" s="3">
        <v>1920.0</v>
      </c>
      <c r="B71" s="3">
        <v>1890.0</v>
      </c>
      <c r="C71" s="3">
        <v>1940.0</v>
      </c>
      <c r="D71" s="3">
        <v>1810.0</v>
      </c>
      <c r="F71" s="3">
        <v>1910.0</v>
      </c>
      <c r="G71" s="3">
        <v>1920.0</v>
      </c>
      <c r="H71" s="3">
        <v>1890.0</v>
      </c>
      <c r="I71" s="3">
        <v>1840.0</v>
      </c>
      <c r="K71" s="3">
        <v>1910.0</v>
      </c>
      <c r="L71" s="3">
        <v>1910.0</v>
      </c>
      <c r="M71" s="3">
        <v>1860.0</v>
      </c>
      <c r="N71" s="3">
        <v>1860.0</v>
      </c>
    </row>
    <row r="72">
      <c r="A72" s="3">
        <v>1940.0</v>
      </c>
      <c r="B72" s="3">
        <v>1910.0</v>
      </c>
      <c r="C72" s="3">
        <v>1930.0</v>
      </c>
      <c r="D72" s="3">
        <v>1840.0</v>
      </c>
      <c r="F72" s="3">
        <v>1920.0</v>
      </c>
      <c r="G72" s="3">
        <v>1880.0</v>
      </c>
      <c r="H72" s="3">
        <v>1880.0</v>
      </c>
      <c r="I72" s="3">
        <v>1950.0</v>
      </c>
      <c r="K72" s="3">
        <v>1920.0</v>
      </c>
      <c r="L72" s="3">
        <v>1920.0</v>
      </c>
      <c r="M72" s="3">
        <v>1840.0</v>
      </c>
      <c r="N72" s="3">
        <v>1880.0</v>
      </c>
    </row>
    <row r="73">
      <c r="A73" s="3">
        <v>1960.0</v>
      </c>
      <c r="B73" s="3">
        <v>1930.0</v>
      </c>
      <c r="C73" s="3">
        <v>1890.0</v>
      </c>
      <c r="D73" s="3">
        <v>1940.0</v>
      </c>
      <c r="F73" s="3">
        <v>1870.0</v>
      </c>
      <c r="G73" s="3">
        <v>1890.0</v>
      </c>
      <c r="H73" s="3">
        <v>1830.0</v>
      </c>
      <c r="I73" s="3">
        <v>1920.0</v>
      </c>
      <c r="K73" s="3">
        <v>1890.0</v>
      </c>
      <c r="L73" s="3">
        <v>1910.0</v>
      </c>
      <c r="M73" s="3">
        <v>1880.0</v>
      </c>
      <c r="N73" s="3">
        <v>1820.0</v>
      </c>
    </row>
    <row r="74">
      <c r="A74" s="3">
        <v>1980.0</v>
      </c>
      <c r="B74" s="3">
        <v>1920.0</v>
      </c>
      <c r="C74" s="3">
        <v>1900.0</v>
      </c>
      <c r="D74" s="3">
        <v>1900.0</v>
      </c>
      <c r="F74" s="3">
        <v>1860.0</v>
      </c>
      <c r="G74" s="3">
        <v>1880.0</v>
      </c>
      <c r="H74" s="3">
        <v>1870.0</v>
      </c>
      <c r="I74" s="3">
        <v>1850.0</v>
      </c>
      <c r="K74" s="3">
        <v>1990.0</v>
      </c>
      <c r="L74" s="3">
        <v>1930.0</v>
      </c>
      <c r="M74" s="3">
        <v>1850.0</v>
      </c>
      <c r="N74" s="3">
        <v>1890.0</v>
      </c>
    </row>
    <row r="75">
      <c r="A75" s="3">
        <v>1920.0</v>
      </c>
      <c r="B75" s="3">
        <v>1890.0</v>
      </c>
      <c r="C75" s="3">
        <v>1870.0</v>
      </c>
      <c r="D75" s="3">
        <v>1900.0</v>
      </c>
      <c r="F75" s="3">
        <v>1890.0</v>
      </c>
      <c r="G75" s="3">
        <v>1840.0</v>
      </c>
      <c r="H75" s="3">
        <v>1900.0</v>
      </c>
      <c r="I75" s="3">
        <v>1850.0</v>
      </c>
      <c r="K75" s="3">
        <v>1910.0</v>
      </c>
      <c r="L75" s="3">
        <v>1900.0</v>
      </c>
      <c r="M75" s="3">
        <v>1890.0</v>
      </c>
      <c r="N75" s="3">
        <v>1920.0</v>
      </c>
    </row>
    <row r="76">
      <c r="A76" s="3">
        <v>1930.0</v>
      </c>
      <c r="B76" s="3">
        <v>1880.0</v>
      </c>
      <c r="C76" s="3">
        <v>1910.0</v>
      </c>
      <c r="D76" s="3">
        <v>1880.0</v>
      </c>
      <c r="F76" s="3">
        <v>1870.0</v>
      </c>
      <c r="G76" s="3">
        <v>1910.0</v>
      </c>
      <c r="H76" s="3">
        <v>1900.0</v>
      </c>
      <c r="I76" s="3">
        <v>1800.0</v>
      </c>
      <c r="K76" s="3">
        <v>1920.0</v>
      </c>
      <c r="L76" s="3">
        <v>1920.0</v>
      </c>
      <c r="M76" s="3">
        <v>1820.0</v>
      </c>
      <c r="N76" s="3">
        <v>1830.0</v>
      </c>
    </row>
    <row r="77">
      <c r="A77" s="3">
        <v>1880.0</v>
      </c>
      <c r="B77" s="3">
        <v>1980.0</v>
      </c>
      <c r="C77" s="3">
        <v>1880.0</v>
      </c>
      <c r="D77" s="3">
        <v>1910.0</v>
      </c>
      <c r="F77" s="3">
        <v>1880.0</v>
      </c>
      <c r="G77" s="3">
        <v>1890.0</v>
      </c>
      <c r="H77" s="3">
        <v>1880.0</v>
      </c>
      <c r="I77" s="3">
        <v>1900.0</v>
      </c>
      <c r="K77" s="3">
        <v>1860.0</v>
      </c>
      <c r="L77" s="3">
        <v>1910.0</v>
      </c>
      <c r="M77" s="3">
        <v>1880.0</v>
      </c>
      <c r="N77" s="3">
        <v>1930.0</v>
      </c>
    </row>
    <row r="78">
      <c r="A78" s="4">
        <f t="shared" ref="A78:D78" si="10">round((SUM(A63:A77)/15),2)</f>
        <v>1926</v>
      </c>
      <c r="B78" s="4">
        <f t="shared" si="10"/>
        <v>1906</v>
      </c>
      <c r="C78" s="4">
        <f t="shared" si="10"/>
        <v>1898</v>
      </c>
      <c r="D78" s="4">
        <f t="shared" si="10"/>
        <v>1882</v>
      </c>
      <c r="F78" s="4">
        <f t="shared" ref="F78:I78" si="11">round((SUM(F63:F77)/15),2)</f>
        <v>1888</v>
      </c>
      <c r="G78" s="4">
        <f t="shared" si="11"/>
        <v>1897.33</v>
      </c>
      <c r="H78" s="4">
        <f t="shared" si="11"/>
        <v>1884.67</v>
      </c>
      <c r="I78" s="4">
        <f t="shared" si="11"/>
        <v>1877.33</v>
      </c>
      <c r="K78" s="4">
        <f t="shared" ref="K78:N78" si="12">round((SUM(K63:K77)/15),2)</f>
        <v>1905.33</v>
      </c>
      <c r="L78" s="4">
        <f t="shared" si="12"/>
        <v>1909.33</v>
      </c>
      <c r="M78" s="4">
        <f t="shared" si="12"/>
        <v>1851.33</v>
      </c>
      <c r="N78" s="4">
        <f t="shared" si="12"/>
        <v>1884.67</v>
      </c>
    </row>
    <row r="81">
      <c r="A81" s="1" t="s">
        <v>64</v>
      </c>
      <c r="F81" s="1" t="s">
        <v>65</v>
      </c>
      <c r="K81" s="1" t="s">
        <v>66</v>
      </c>
    </row>
    <row r="82">
      <c r="A82" s="2" t="s">
        <v>4</v>
      </c>
      <c r="B82" s="2" t="s">
        <v>5</v>
      </c>
      <c r="C82" s="2" t="s">
        <v>6</v>
      </c>
      <c r="D82" s="2" t="s">
        <v>7</v>
      </c>
      <c r="F82" s="2" t="s">
        <v>4</v>
      </c>
      <c r="G82" s="2" t="s">
        <v>5</v>
      </c>
      <c r="H82" s="2" t="s">
        <v>6</v>
      </c>
      <c r="I82" s="2" t="s">
        <v>7</v>
      </c>
      <c r="K82" s="2" t="s">
        <v>4</v>
      </c>
      <c r="L82" s="2" t="s">
        <v>5</v>
      </c>
      <c r="M82" s="2" t="s">
        <v>6</v>
      </c>
      <c r="N82" s="2" t="s">
        <v>7</v>
      </c>
    </row>
    <row r="83">
      <c r="A83" s="3">
        <v>1910.0</v>
      </c>
      <c r="B83" s="3">
        <v>1830.0</v>
      </c>
      <c r="C83" s="3">
        <v>1910.0</v>
      </c>
      <c r="D83" s="3">
        <v>1800.0</v>
      </c>
      <c r="F83" s="3">
        <v>1920.0</v>
      </c>
      <c r="G83" s="3">
        <v>1870.0</v>
      </c>
      <c r="H83" s="3">
        <v>1850.0</v>
      </c>
      <c r="I83" s="3">
        <v>1860.0</v>
      </c>
      <c r="K83" s="3">
        <v>1920.0</v>
      </c>
      <c r="L83" s="3">
        <v>1880.0</v>
      </c>
      <c r="M83" s="3">
        <v>1860.0</v>
      </c>
      <c r="N83" s="3">
        <v>1900.0</v>
      </c>
    </row>
    <row r="84">
      <c r="A84" s="3">
        <v>1930.0</v>
      </c>
      <c r="B84" s="3">
        <v>1860.0</v>
      </c>
      <c r="C84" s="3">
        <v>1950.0</v>
      </c>
      <c r="D84" s="3">
        <v>1820.0</v>
      </c>
      <c r="F84" s="3">
        <v>1900.0</v>
      </c>
      <c r="G84" s="3">
        <v>1950.0</v>
      </c>
      <c r="H84" s="3">
        <v>1890.0</v>
      </c>
      <c r="I84" s="3">
        <v>1910.0</v>
      </c>
      <c r="K84" s="3">
        <v>1930.0</v>
      </c>
      <c r="L84" s="3">
        <v>1910.0</v>
      </c>
      <c r="M84" s="3">
        <v>1880.0</v>
      </c>
      <c r="N84" s="3">
        <v>1950.0</v>
      </c>
    </row>
    <row r="85">
      <c r="A85" s="3">
        <v>1930.0</v>
      </c>
      <c r="B85" s="3">
        <v>1870.0</v>
      </c>
      <c r="C85" s="3">
        <v>1840.0</v>
      </c>
      <c r="D85" s="3">
        <v>1890.0</v>
      </c>
      <c r="F85" s="3">
        <v>1880.0</v>
      </c>
      <c r="G85" s="3">
        <v>1860.0</v>
      </c>
      <c r="H85" s="3">
        <v>1840.0</v>
      </c>
      <c r="I85" s="3">
        <v>1860.0</v>
      </c>
      <c r="K85" s="3">
        <v>1860.0</v>
      </c>
      <c r="L85" s="3">
        <v>1920.0</v>
      </c>
      <c r="M85" s="3">
        <v>1870.0</v>
      </c>
      <c r="N85" s="3">
        <v>1900.0</v>
      </c>
    </row>
    <row r="86">
      <c r="A86" s="3">
        <v>1880.0</v>
      </c>
      <c r="B86" s="3">
        <v>1900.0</v>
      </c>
      <c r="C86" s="3">
        <v>1850.0</v>
      </c>
      <c r="D86" s="3">
        <v>1840.0</v>
      </c>
      <c r="F86" s="3">
        <v>1930.0</v>
      </c>
      <c r="G86" s="3">
        <v>1930.0</v>
      </c>
      <c r="H86" s="3">
        <v>1870.0</v>
      </c>
      <c r="I86" s="3">
        <v>1910.0</v>
      </c>
      <c r="K86" s="3">
        <v>1900.0</v>
      </c>
      <c r="L86" s="3">
        <v>1900.0</v>
      </c>
      <c r="M86" s="3">
        <v>1850.0</v>
      </c>
      <c r="N86" s="3">
        <v>1930.0</v>
      </c>
    </row>
    <row r="87">
      <c r="A87" s="3">
        <v>1890.0</v>
      </c>
      <c r="B87" s="3">
        <v>1870.0</v>
      </c>
      <c r="C87" s="3">
        <v>1870.0</v>
      </c>
      <c r="D87" s="3">
        <v>1890.0</v>
      </c>
      <c r="F87" s="3">
        <v>1880.0</v>
      </c>
      <c r="G87" s="3">
        <v>1870.0</v>
      </c>
      <c r="H87" s="3">
        <v>1840.0</v>
      </c>
      <c r="I87" s="3">
        <v>1940.0</v>
      </c>
      <c r="K87" s="3">
        <v>1910.0</v>
      </c>
      <c r="L87" s="3">
        <v>1920.0</v>
      </c>
      <c r="M87" s="3">
        <v>1880.0</v>
      </c>
      <c r="N87" s="3">
        <v>1890.0</v>
      </c>
    </row>
    <row r="88">
      <c r="A88" s="3">
        <v>1870.0</v>
      </c>
      <c r="B88" s="3">
        <v>1850.0</v>
      </c>
      <c r="C88" s="3">
        <v>1840.0</v>
      </c>
      <c r="D88" s="3">
        <v>1930.0</v>
      </c>
      <c r="F88" s="3">
        <v>1920.0</v>
      </c>
      <c r="G88" s="3">
        <v>1920.0</v>
      </c>
      <c r="H88" s="3">
        <v>1820.0</v>
      </c>
      <c r="I88" s="3">
        <v>1950.0</v>
      </c>
      <c r="K88" s="3">
        <v>1890.0</v>
      </c>
      <c r="L88" s="3">
        <v>1920.0</v>
      </c>
      <c r="M88" s="3">
        <v>1840.0</v>
      </c>
      <c r="N88" s="3">
        <v>1820.0</v>
      </c>
    </row>
    <row r="89">
      <c r="A89" s="3">
        <v>1900.0</v>
      </c>
      <c r="B89" s="3">
        <v>1870.0</v>
      </c>
      <c r="C89" s="3">
        <v>1900.0</v>
      </c>
      <c r="D89" s="3">
        <v>1900.0</v>
      </c>
      <c r="F89" s="3">
        <v>1930.0</v>
      </c>
      <c r="G89" s="3">
        <v>1910.0</v>
      </c>
      <c r="H89" s="3">
        <v>1860.0</v>
      </c>
      <c r="I89" s="3">
        <v>1870.0</v>
      </c>
      <c r="K89" s="3">
        <v>1870.0</v>
      </c>
      <c r="L89" s="3">
        <v>1920.0</v>
      </c>
      <c r="M89" s="3">
        <v>1910.0</v>
      </c>
      <c r="N89" s="3">
        <v>1870.0</v>
      </c>
    </row>
    <row r="90">
      <c r="A90" s="3">
        <v>1870.0</v>
      </c>
      <c r="B90" s="3">
        <v>1890.0</v>
      </c>
      <c r="C90" s="3">
        <v>1880.0</v>
      </c>
      <c r="D90" s="3">
        <v>1910.0</v>
      </c>
      <c r="F90" s="3">
        <v>1890.0</v>
      </c>
      <c r="G90" s="3">
        <v>1930.0</v>
      </c>
      <c r="H90" s="3">
        <v>1840.0</v>
      </c>
      <c r="I90" s="3">
        <v>1850.0</v>
      </c>
      <c r="K90" s="3">
        <v>1890.0</v>
      </c>
      <c r="L90" s="3">
        <v>1930.0</v>
      </c>
      <c r="M90" s="3">
        <v>1910.0</v>
      </c>
      <c r="N90" s="3">
        <v>1880.0</v>
      </c>
    </row>
    <row r="91">
      <c r="A91" s="3">
        <v>1950.0</v>
      </c>
      <c r="B91" s="3">
        <v>1900.0</v>
      </c>
      <c r="C91" s="3">
        <v>1890.0</v>
      </c>
      <c r="D91" s="3">
        <v>1850.0</v>
      </c>
      <c r="F91" s="3">
        <v>1940.0</v>
      </c>
      <c r="G91" s="3">
        <v>1930.0</v>
      </c>
      <c r="H91" s="3">
        <v>1860.0</v>
      </c>
      <c r="I91" s="3">
        <v>1870.0</v>
      </c>
      <c r="K91" s="3">
        <v>1930.0</v>
      </c>
      <c r="L91" s="3">
        <v>1920.0</v>
      </c>
      <c r="M91" s="3">
        <v>1900.0</v>
      </c>
      <c r="N91" s="3">
        <v>1910.0</v>
      </c>
    </row>
    <row r="92">
      <c r="A92" s="3">
        <v>1900.0</v>
      </c>
      <c r="B92" s="3">
        <v>1800.0</v>
      </c>
      <c r="C92" s="3">
        <v>1920.0</v>
      </c>
      <c r="D92" s="3">
        <v>1870.0</v>
      </c>
      <c r="F92" s="3">
        <v>1880.0</v>
      </c>
      <c r="G92" s="3">
        <v>1930.0</v>
      </c>
      <c r="H92" s="3">
        <v>1890.0</v>
      </c>
      <c r="I92" s="3">
        <v>1850.0</v>
      </c>
      <c r="K92" s="3">
        <v>1940.0</v>
      </c>
      <c r="L92" s="3">
        <v>2000.0</v>
      </c>
      <c r="M92" s="3">
        <v>1840.0</v>
      </c>
      <c r="N92" s="3">
        <v>1870.0</v>
      </c>
    </row>
    <row r="93">
      <c r="A93" s="3">
        <v>1880.0</v>
      </c>
      <c r="B93" s="3">
        <v>1840.0</v>
      </c>
      <c r="C93" s="3">
        <v>1890.0</v>
      </c>
      <c r="D93" s="3">
        <v>1880.0</v>
      </c>
      <c r="F93" s="3">
        <v>1900.0</v>
      </c>
      <c r="G93" s="3">
        <v>1920.0</v>
      </c>
      <c r="H93" s="3">
        <v>1880.0</v>
      </c>
      <c r="I93" s="3">
        <v>1860.0</v>
      </c>
      <c r="K93" s="3">
        <v>1960.0</v>
      </c>
      <c r="L93" s="3">
        <v>1890.0</v>
      </c>
      <c r="M93" s="3">
        <v>1830.0</v>
      </c>
      <c r="N93" s="3">
        <v>1840.0</v>
      </c>
    </row>
    <row r="94">
      <c r="A94" s="3">
        <v>1870.0</v>
      </c>
      <c r="B94" s="3">
        <v>1850.0</v>
      </c>
      <c r="C94" s="3">
        <v>1890.0</v>
      </c>
      <c r="D94" s="3">
        <v>1890.0</v>
      </c>
      <c r="F94" s="3">
        <v>1900.0</v>
      </c>
      <c r="G94" s="3">
        <v>1940.0</v>
      </c>
      <c r="H94" s="3">
        <v>1880.0</v>
      </c>
      <c r="I94" s="3">
        <v>1860.0</v>
      </c>
      <c r="K94" s="3">
        <v>1900.0</v>
      </c>
      <c r="L94" s="3">
        <v>1950.0</v>
      </c>
      <c r="M94" s="3">
        <v>1850.0</v>
      </c>
      <c r="N94" s="3">
        <v>1920.0</v>
      </c>
    </row>
    <row r="95">
      <c r="A95" s="3">
        <v>1900.0</v>
      </c>
      <c r="B95" s="3">
        <v>1860.0</v>
      </c>
      <c r="C95" s="3">
        <v>1840.0</v>
      </c>
      <c r="D95" s="3">
        <v>1870.0</v>
      </c>
      <c r="F95" s="3">
        <v>1930.0</v>
      </c>
      <c r="G95" s="3">
        <v>1910.0</v>
      </c>
      <c r="H95" s="3">
        <v>1880.0</v>
      </c>
      <c r="I95" s="3">
        <v>1890.0</v>
      </c>
      <c r="K95" s="3">
        <v>1870.0</v>
      </c>
      <c r="L95" s="3">
        <v>1920.0</v>
      </c>
      <c r="M95" s="3">
        <v>1850.0</v>
      </c>
      <c r="N95" s="3">
        <v>1910.0</v>
      </c>
    </row>
    <row r="96">
      <c r="A96" s="3">
        <v>1950.0</v>
      </c>
      <c r="B96" s="3">
        <v>1870.0</v>
      </c>
      <c r="C96" s="3">
        <v>1860.0</v>
      </c>
      <c r="D96" s="3">
        <v>1850.0</v>
      </c>
      <c r="F96" s="3">
        <v>1920.0</v>
      </c>
      <c r="G96" s="3">
        <v>1890.0</v>
      </c>
      <c r="H96" s="3">
        <v>1870.0</v>
      </c>
      <c r="I96" s="3">
        <v>1850.0</v>
      </c>
      <c r="K96" s="3">
        <v>1840.0</v>
      </c>
      <c r="L96" s="3">
        <v>1900.0</v>
      </c>
      <c r="M96" s="3">
        <v>1860.0</v>
      </c>
      <c r="N96" s="3">
        <v>1830.0</v>
      </c>
    </row>
    <row r="97">
      <c r="A97" s="3">
        <v>1920.0</v>
      </c>
      <c r="B97" s="3">
        <v>1870.0</v>
      </c>
      <c r="C97" s="3">
        <v>1910.0</v>
      </c>
      <c r="D97" s="3">
        <v>1890.0</v>
      </c>
      <c r="F97" s="3">
        <v>1880.0</v>
      </c>
      <c r="G97" s="3">
        <v>1910.0</v>
      </c>
      <c r="H97" s="3">
        <v>1890.0</v>
      </c>
      <c r="I97" s="3">
        <v>1890.0</v>
      </c>
      <c r="K97" s="3">
        <v>1920.0</v>
      </c>
      <c r="L97" s="3">
        <v>1970.0</v>
      </c>
      <c r="M97" s="3">
        <v>1910.0</v>
      </c>
      <c r="N97" s="3">
        <v>1900.0</v>
      </c>
    </row>
    <row r="98">
      <c r="A98" s="4">
        <f t="shared" ref="A98:D98" si="13">round((SUM(A83:A97)/15),2)</f>
        <v>1903.33</v>
      </c>
      <c r="B98" s="4">
        <f t="shared" si="13"/>
        <v>1862</v>
      </c>
      <c r="C98" s="4">
        <f t="shared" si="13"/>
        <v>1882.67</v>
      </c>
      <c r="D98" s="4">
        <f t="shared" si="13"/>
        <v>1872</v>
      </c>
      <c r="F98" s="4">
        <f t="shared" ref="F98:I98" si="14">round((SUM(F83:F97)/15),2)</f>
        <v>1906.67</v>
      </c>
      <c r="G98" s="4">
        <f t="shared" si="14"/>
        <v>1911.33</v>
      </c>
      <c r="H98" s="4">
        <f t="shared" si="14"/>
        <v>1864</v>
      </c>
      <c r="I98" s="4">
        <f t="shared" si="14"/>
        <v>1881.33</v>
      </c>
      <c r="K98" s="4">
        <f t="shared" ref="K98:N98" si="15">round((SUM(K83:K97)/15),2)</f>
        <v>1902</v>
      </c>
      <c r="L98" s="4">
        <f t="shared" si="15"/>
        <v>1923.33</v>
      </c>
      <c r="M98" s="4">
        <f t="shared" si="15"/>
        <v>1869.33</v>
      </c>
      <c r="N98" s="4">
        <f t="shared" si="15"/>
        <v>1888</v>
      </c>
    </row>
    <row r="101">
      <c r="A101" s="1" t="s">
        <v>67</v>
      </c>
      <c r="F101" s="1" t="s">
        <v>68</v>
      </c>
      <c r="K101" s="1" t="s">
        <v>69</v>
      </c>
    </row>
    <row r="102">
      <c r="A102" s="2" t="s">
        <v>4</v>
      </c>
      <c r="B102" s="2" t="s">
        <v>5</v>
      </c>
      <c r="C102" s="2" t="s">
        <v>6</v>
      </c>
      <c r="D102" s="2" t="s">
        <v>7</v>
      </c>
      <c r="F102" s="2" t="s">
        <v>4</v>
      </c>
      <c r="G102" s="2" t="s">
        <v>5</v>
      </c>
      <c r="H102" s="2" t="s">
        <v>6</v>
      </c>
      <c r="I102" s="2" t="s">
        <v>7</v>
      </c>
      <c r="K102" s="2" t="s">
        <v>4</v>
      </c>
      <c r="L102" s="2" t="s">
        <v>5</v>
      </c>
      <c r="M102" s="2" t="s">
        <v>6</v>
      </c>
      <c r="N102" s="2" t="s">
        <v>7</v>
      </c>
    </row>
    <row r="103">
      <c r="A103" s="3">
        <v>1950.0</v>
      </c>
      <c r="B103" s="3">
        <v>1880.0</v>
      </c>
      <c r="C103" s="3">
        <v>1930.0</v>
      </c>
      <c r="D103" s="3">
        <v>1890.0</v>
      </c>
      <c r="F103" s="3">
        <v>1900.0</v>
      </c>
      <c r="G103" s="3">
        <v>1880.0</v>
      </c>
      <c r="H103" s="3">
        <v>1900.0</v>
      </c>
      <c r="I103" s="3">
        <v>1830.0</v>
      </c>
      <c r="K103" s="3">
        <v>1920.0</v>
      </c>
      <c r="L103" s="3">
        <v>1910.0</v>
      </c>
      <c r="M103" s="3">
        <v>1920.0</v>
      </c>
      <c r="N103" s="3">
        <v>1950.0</v>
      </c>
    </row>
    <row r="104">
      <c r="A104" s="3">
        <v>1870.0</v>
      </c>
      <c r="B104" s="3">
        <v>1880.0</v>
      </c>
      <c r="C104" s="3">
        <v>1900.0</v>
      </c>
      <c r="D104" s="3">
        <v>1930.0</v>
      </c>
      <c r="F104" s="3">
        <v>1870.0</v>
      </c>
      <c r="G104" s="3">
        <v>1910.0</v>
      </c>
      <c r="H104" s="3">
        <v>1880.0</v>
      </c>
      <c r="I104" s="3">
        <v>1920.0</v>
      </c>
      <c r="K104" s="3">
        <v>1870.0</v>
      </c>
      <c r="L104" s="3">
        <v>1890.0</v>
      </c>
      <c r="M104" s="3">
        <v>1890.0</v>
      </c>
      <c r="N104" s="3">
        <v>1930.0</v>
      </c>
    </row>
    <row r="105">
      <c r="A105" s="3">
        <v>1890.0</v>
      </c>
      <c r="B105" s="3">
        <v>1880.0</v>
      </c>
      <c r="C105" s="3">
        <v>1880.0</v>
      </c>
      <c r="D105" s="3">
        <v>1950.0</v>
      </c>
      <c r="F105" s="3">
        <v>1910.0</v>
      </c>
      <c r="G105" s="3">
        <v>1920.0</v>
      </c>
      <c r="H105" s="3">
        <v>1850.0</v>
      </c>
      <c r="I105" s="3">
        <v>1800.0</v>
      </c>
      <c r="K105" s="3">
        <v>1930.0</v>
      </c>
      <c r="L105" s="3">
        <v>1880.0</v>
      </c>
      <c r="M105" s="3">
        <v>1920.0</v>
      </c>
      <c r="N105" s="3">
        <v>1920.0</v>
      </c>
    </row>
    <row r="106">
      <c r="A106" s="3">
        <v>1870.0</v>
      </c>
      <c r="B106" s="3">
        <v>1920.0</v>
      </c>
      <c r="C106" s="3">
        <v>1880.0</v>
      </c>
      <c r="D106" s="3">
        <v>1930.0</v>
      </c>
      <c r="F106" s="3">
        <v>1860.0</v>
      </c>
      <c r="G106" s="3">
        <v>1900.0</v>
      </c>
      <c r="H106" s="3">
        <v>1880.0</v>
      </c>
      <c r="I106" s="3">
        <v>1840.0</v>
      </c>
      <c r="K106" s="3">
        <v>1920.0</v>
      </c>
      <c r="L106" s="3">
        <v>1890.0</v>
      </c>
      <c r="M106" s="3">
        <v>1880.0</v>
      </c>
      <c r="N106" s="3">
        <v>1930.0</v>
      </c>
    </row>
    <row r="107">
      <c r="A107" s="3">
        <v>1900.0</v>
      </c>
      <c r="B107" s="3">
        <v>1920.0</v>
      </c>
      <c r="C107" s="3">
        <v>1860.0</v>
      </c>
      <c r="D107" s="3">
        <v>1900.0</v>
      </c>
      <c r="F107" s="3">
        <v>1870.0</v>
      </c>
      <c r="G107" s="3">
        <v>1920.0</v>
      </c>
      <c r="H107" s="3">
        <v>1880.0</v>
      </c>
      <c r="I107" s="3">
        <v>1830.0</v>
      </c>
      <c r="K107" s="3">
        <v>1950.0</v>
      </c>
      <c r="L107" s="3">
        <v>1930.0</v>
      </c>
      <c r="M107" s="3">
        <v>1880.0</v>
      </c>
      <c r="N107" s="3">
        <v>1880.0</v>
      </c>
    </row>
    <row r="108">
      <c r="A108" s="3">
        <v>1800.0</v>
      </c>
      <c r="B108" s="3">
        <v>1950.0</v>
      </c>
      <c r="C108" s="3">
        <v>1840.0</v>
      </c>
      <c r="D108" s="3">
        <v>1901.0</v>
      </c>
      <c r="F108" s="3">
        <v>1820.0</v>
      </c>
      <c r="G108" s="3">
        <v>1920.0</v>
      </c>
      <c r="H108" s="3">
        <v>1910.0</v>
      </c>
      <c r="I108" s="3">
        <v>1880.0</v>
      </c>
      <c r="K108" s="3">
        <v>1900.0</v>
      </c>
      <c r="L108" s="3">
        <v>1910.0</v>
      </c>
      <c r="M108" s="3">
        <v>1870.0</v>
      </c>
      <c r="N108" s="3">
        <v>1880.0</v>
      </c>
    </row>
    <row r="109">
      <c r="A109" s="3">
        <v>1880.0</v>
      </c>
      <c r="B109" s="3">
        <v>1990.0</v>
      </c>
      <c r="C109" s="3">
        <v>1880.0</v>
      </c>
      <c r="D109" s="3">
        <v>1880.0</v>
      </c>
      <c r="F109" s="3">
        <v>1820.0</v>
      </c>
      <c r="G109" s="3">
        <v>1920.0</v>
      </c>
      <c r="H109" s="3">
        <v>1860.0</v>
      </c>
      <c r="I109" s="3">
        <v>1930.0</v>
      </c>
      <c r="K109" s="3">
        <v>1870.0</v>
      </c>
      <c r="L109" s="3">
        <v>1900.0</v>
      </c>
      <c r="M109" s="3">
        <v>1910.0</v>
      </c>
      <c r="N109" s="3">
        <v>1860.0</v>
      </c>
    </row>
    <row r="110">
      <c r="A110" s="3">
        <v>1910.0</v>
      </c>
      <c r="B110" s="3">
        <v>1910.0</v>
      </c>
      <c r="C110" s="3">
        <v>1860.0</v>
      </c>
      <c r="D110" s="3">
        <v>1850.0</v>
      </c>
      <c r="F110" s="3">
        <v>1910.0</v>
      </c>
      <c r="G110" s="3">
        <v>1930.0</v>
      </c>
      <c r="H110" s="3">
        <v>1860.0</v>
      </c>
      <c r="I110" s="3">
        <v>1800.0</v>
      </c>
      <c r="K110" s="3">
        <v>1940.0</v>
      </c>
      <c r="L110" s="3">
        <v>1940.0</v>
      </c>
      <c r="M110" s="3">
        <v>1830.0</v>
      </c>
      <c r="N110" s="3">
        <v>1880.0</v>
      </c>
    </row>
    <row r="111">
      <c r="A111" s="3">
        <v>1860.0</v>
      </c>
      <c r="B111" s="3">
        <v>1920.0</v>
      </c>
      <c r="C111" s="3">
        <v>1870.0</v>
      </c>
      <c r="D111" s="3">
        <v>1850.0</v>
      </c>
      <c r="F111" s="3">
        <v>1890.0</v>
      </c>
      <c r="G111" s="3">
        <v>1920.0</v>
      </c>
      <c r="H111" s="3">
        <v>1890.0</v>
      </c>
      <c r="I111" s="3">
        <v>1800.0</v>
      </c>
      <c r="K111" s="3">
        <v>1910.0</v>
      </c>
      <c r="L111" s="3">
        <v>1950.0</v>
      </c>
      <c r="M111" s="3">
        <v>1910.0</v>
      </c>
      <c r="N111" s="3">
        <v>1870.0</v>
      </c>
    </row>
    <row r="112">
      <c r="A112" s="3">
        <v>1870.0</v>
      </c>
      <c r="B112" s="3">
        <v>1960.0</v>
      </c>
      <c r="C112" s="3">
        <v>1900.0</v>
      </c>
      <c r="D112" s="3">
        <v>1860.0</v>
      </c>
      <c r="F112" s="3">
        <v>1900.0</v>
      </c>
      <c r="G112" s="3">
        <v>2000.0</v>
      </c>
      <c r="H112" s="3">
        <v>1850.0</v>
      </c>
      <c r="I112" s="3">
        <v>1830.0</v>
      </c>
      <c r="K112" s="3">
        <v>1920.0</v>
      </c>
      <c r="L112" s="3">
        <v>1910.0</v>
      </c>
      <c r="M112" s="3">
        <v>1920.0</v>
      </c>
      <c r="N112" s="3">
        <v>1900.0</v>
      </c>
    </row>
    <row r="113">
      <c r="A113" s="3">
        <v>1870.0</v>
      </c>
      <c r="B113" s="3">
        <v>1910.0</v>
      </c>
      <c r="C113" s="3">
        <v>1900.0</v>
      </c>
      <c r="D113" s="3">
        <v>1910.0</v>
      </c>
      <c r="F113" s="3">
        <v>1940.0</v>
      </c>
      <c r="G113" s="3">
        <v>1890.0</v>
      </c>
      <c r="H113" s="3">
        <v>1850.0</v>
      </c>
      <c r="I113" s="3">
        <v>1990.0</v>
      </c>
      <c r="K113" s="3">
        <v>1860.0</v>
      </c>
      <c r="L113" s="3">
        <v>1910.0</v>
      </c>
      <c r="M113" s="3">
        <v>1900.0</v>
      </c>
      <c r="N113" s="3">
        <v>1920.0</v>
      </c>
    </row>
    <row r="114">
      <c r="A114" s="3">
        <v>1860.0</v>
      </c>
      <c r="B114" s="3">
        <v>1930.0</v>
      </c>
      <c r="C114" s="3">
        <v>1910.0</v>
      </c>
      <c r="D114" s="3">
        <v>1860.0</v>
      </c>
      <c r="F114" s="3">
        <v>1900.0</v>
      </c>
      <c r="G114" s="3">
        <v>1950.0</v>
      </c>
      <c r="H114" s="3">
        <v>1870.0</v>
      </c>
      <c r="I114" s="3">
        <v>1950.0</v>
      </c>
      <c r="K114" s="3">
        <v>1910.0</v>
      </c>
      <c r="L114" s="3">
        <v>1940.0</v>
      </c>
      <c r="M114" s="3">
        <v>1870.0</v>
      </c>
      <c r="N114" s="3">
        <v>1880.0</v>
      </c>
    </row>
    <row r="115">
      <c r="A115" s="3">
        <v>1900.0</v>
      </c>
      <c r="B115" s="3">
        <v>1920.0</v>
      </c>
      <c r="C115" s="3">
        <v>1870.0</v>
      </c>
      <c r="D115" s="3">
        <v>1850.0</v>
      </c>
      <c r="F115" s="3">
        <v>1880.0</v>
      </c>
      <c r="G115" s="3">
        <v>1920.0</v>
      </c>
      <c r="H115" s="3">
        <v>1840.0</v>
      </c>
      <c r="I115" s="3">
        <v>1890.0</v>
      </c>
      <c r="K115" s="3">
        <v>1870.0</v>
      </c>
      <c r="L115" s="3">
        <v>1890.0</v>
      </c>
      <c r="M115" s="3">
        <v>1860.0</v>
      </c>
      <c r="N115" s="3">
        <v>1850.0</v>
      </c>
    </row>
    <row r="116">
      <c r="A116" s="3">
        <v>1850.0</v>
      </c>
      <c r="B116" s="3">
        <v>1900.0</v>
      </c>
      <c r="C116" s="3">
        <v>1840.0</v>
      </c>
      <c r="D116" s="3">
        <v>1910.0</v>
      </c>
      <c r="F116" s="3">
        <v>1890.0</v>
      </c>
      <c r="G116" s="3">
        <v>1900.0</v>
      </c>
      <c r="H116" s="3">
        <v>1890.0</v>
      </c>
      <c r="I116" s="3">
        <v>1940.0</v>
      </c>
      <c r="K116" s="3">
        <v>1910.0</v>
      </c>
      <c r="L116" s="3">
        <v>1920.0</v>
      </c>
      <c r="M116" s="3">
        <v>1900.0</v>
      </c>
      <c r="N116" s="3">
        <v>1920.0</v>
      </c>
    </row>
    <row r="117">
      <c r="A117" s="3">
        <v>1820.0</v>
      </c>
      <c r="B117" s="3">
        <v>1910.0</v>
      </c>
      <c r="C117" s="3">
        <v>1850.0</v>
      </c>
      <c r="D117" s="3">
        <v>1810.0</v>
      </c>
      <c r="F117" s="3">
        <v>1850.0</v>
      </c>
      <c r="G117" s="3">
        <v>1970.0</v>
      </c>
      <c r="H117" s="3">
        <v>1850.0</v>
      </c>
      <c r="I117" s="3">
        <v>1830.0</v>
      </c>
      <c r="K117" s="3">
        <v>1890.0</v>
      </c>
      <c r="L117" s="3">
        <v>1950.0</v>
      </c>
      <c r="M117" s="3">
        <v>1900.0</v>
      </c>
      <c r="N117" s="3">
        <v>1920.0</v>
      </c>
    </row>
    <row r="118">
      <c r="A118" s="4">
        <f t="shared" ref="A118:D118" si="16">round((SUM(A103:A117)/15),2)</f>
        <v>1873.33</v>
      </c>
      <c r="B118" s="4">
        <f t="shared" si="16"/>
        <v>1918.67</v>
      </c>
      <c r="C118" s="4">
        <f t="shared" si="16"/>
        <v>1878</v>
      </c>
      <c r="D118" s="4">
        <f t="shared" si="16"/>
        <v>1885.4</v>
      </c>
      <c r="F118" s="4">
        <f t="shared" ref="F118:I118" si="17">round((SUM(F103:F117)/15),2)</f>
        <v>1880.67</v>
      </c>
      <c r="G118" s="4">
        <f t="shared" si="17"/>
        <v>1923.33</v>
      </c>
      <c r="H118" s="4">
        <f t="shared" si="17"/>
        <v>1870.67</v>
      </c>
      <c r="I118" s="4">
        <f t="shared" si="17"/>
        <v>1870.67</v>
      </c>
      <c r="K118" s="4">
        <f t="shared" ref="K118:N118" si="18">round((SUM(K103:K117)/15),2)</f>
        <v>1904.67</v>
      </c>
      <c r="L118" s="4">
        <f t="shared" si="18"/>
        <v>1914.67</v>
      </c>
      <c r="M118" s="4">
        <f t="shared" si="18"/>
        <v>1890.67</v>
      </c>
      <c r="N118" s="4">
        <f t="shared" si="18"/>
        <v>1899.33</v>
      </c>
    </row>
    <row r="121">
      <c r="A121" s="1" t="s">
        <v>70</v>
      </c>
      <c r="F121" s="1" t="s">
        <v>71</v>
      </c>
      <c r="K121" s="1" t="s">
        <v>72</v>
      </c>
    </row>
    <row r="122">
      <c r="A122" s="2" t="s">
        <v>4</v>
      </c>
      <c r="B122" s="2" t="s">
        <v>5</v>
      </c>
      <c r="C122" s="2" t="s">
        <v>6</v>
      </c>
      <c r="D122" s="2" t="s">
        <v>7</v>
      </c>
      <c r="F122" s="2" t="s">
        <v>4</v>
      </c>
      <c r="G122" s="2" t="s">
        <v>5</v>
      </c>
      <c r="H122" s="2" t="s">
        <v>6</v>
      </c>
      <c r="I122" s="2" t="s">
        <v>7</v>
      </c>
      <c r="K122" s="2" t="s">
        <v>4</v>
      </c>
      <c r="L122" s="2" t="s">
        <v>5</v>
      </c>
      <c r="M122" s="2" t="s">
        <v>6</v>
      </c>
      <c r="N122" s="2" t="s">
        <v>7</v>
      </c>
    </row>
    <row r="123">
      <c r="A123" s="3">
        <v>1990.0</v>
      </c>
      <c r="B123" s="3">
        <v>1920.0</v>
      </c>
      <c r="C123" s="3">
        <v>1890.0</v>
      </c>
      <c r="D123" s="3">
        <v>1900.0</v>
      </c>
      <c r="F123" s="3">
        <v>1900.0</v>
      </c>
      <c r="G123" s="3">
        <v>1880.0</v>
      </c>
      <c r="H123" s="3">
        <v>1910.0</v>
      </c>
      <c r="I123" s="3">
        <v>1910.0</v>
      </c>
      <c r="K123" s="3">
        <v>1940.0</v>
      </c>
      <c r="L123" s="3">
        <v>1920.0</v>
      </c>
      <c r="M123" s="3">
        <v>1930.0</v>
      </c>
      <c r="N123" s="3">
        <v>1850.0</v>
      </c>
    </row>
    <row r="124">
      <c r="A124" s="3">
        <v>1910.0</v>
      </c>
      <c r="B124" s="3">
        <v>1950.0</v>
      </c>
      <c r="C124" s="3">
        <v>1920.0</v>
      </c>
      <c r="D124" s="3">
        <v>1890.0</v>
      </c>
      <c r="F124" s="3">
        <v>1900.0</v>
      </c>
      <c r="G124" s="3">
        <v>1940.0</v>
      </c>
      <c r="H124" s="3">
        <v>1870.0</v>
      </c>
      <c r="I124" s="3">
        <v>1920.0</v>
      </c>
      <c r="K124" s="3">
        <v>1890.0</v>
      </c>
      <c r="L124" s="3">
        <v>1980.0</v>
      </c>
      <c r="M124" s="3">
        <v>1940.0</v>
      </c>
      <c r="N124" s="3">
        <v>1940.0</v>
      </c>
    </row>
    <row r="125">
      <c r="A125" s="3">
        <v>1900.0</v>
      </c>
      <c r="B125" s="3">
        <v>1930.0</v>
      </c>
      <c r="C125" s="3">
        <v>1890.0</v>
      </c>
      <c r="D125" s="3">
        <v>1890.0</v>
      </c>
      <c r="F125" s="3">
        <v>1920.0</v>
      </c>
      <c r="G125" s="3">
        <v>1890.0</v>
      </c>
      <c r="H125" s="3">
        <v>1950.0</v>
      </c>
      <c r="I125" s="3">
        <v>1860.0</v>
      </c>
      <c r="K125" s="3">
        <v>1930.0</v>
      </c>
      <c r="L125" s="3">
        <v>1990.0</v>
      </c>
      <c r="M125" s="3">
        <v>1870.0</v>
      </c>
      <c r="N125" s="3">
        <v>1840.0</v>
      </c>
    </row>
    <row r="126">
      <c r="A126" s="3">
        <v>1870.0</v>
      </c>
      <c r="B126" s="3">
        <v>1910.0</v>
      </c>
      <c r="C126" s="3">
        <v>1900.0</v>
      </c>
      <c r="D126" s="3">
        <v>1860.0</v>
      </c>
      <c r="F126" s="3">
        <v>1940.0</v>
      </c>
      <c r="G126" s="3">
        <v>1910.0</v>
      </c>
      <c r="H126" s="3">
        <v>1930.0</v>
      </c>
      <c r="I126" s="3">
        <v>1930.0</v>
      </c>
      <c r="K126" s="3">
        <v>1900.0</v>
      </c>
      <c r="L126" s="3">
        <v>1990.0</v>
      </c>
      <c r="M126" s="3">
        <v>1870.0</v>
      </c>
      <c r="N126" s="3">
        <v>1890.0</v>
      </c>
    </row>
    <row r="127">
      <c r="A127" s="3">
        <v>1900.0</v>
      </c>
      <c r="B127" s="3">
        <v>1920.0</v>
      </c>
      <c r="C127" s="3">
        <v>1910.0</v>
      </c>
      <c r="D127" s="3">
        <v>1880.0</v>
      </c>
      <c r="F127" s="3">
        <v>1910.0</v>
      </c>
      <c r="G127" s="3">
        <v>1890.0</v>
      </c>
      <c r="H127" s="3">
        <v>1900.0</v>
      </c>
      <c r="I127" s="3">
        <v>1880.0</v>
      </c>
      <c r="K127" s="3">
        <v>1890.0</v>
      </c>
      <c r="L127" s="3">
        <v>1890.0</v>
      </c>
      <c r="M127" s="3">
        <v>1880.0</v>
      </c>
      <c r="N127" s="3">
        <v>1870.0</v>
      </c>
    </row>
    <row r="128">
      <c r="A128" s="3">
        <v>1910.0</v>
      </c>
      <c r="B128" s="3">
        <v>1940.0</v>
      </c>
      <c r="C128" s="3">
        <v>1860.0</v>
      </c>
      <c r="D128" s="3">
        <v>1910.0</v>
      </c>
      <c r="F128" s="3">
        <v>1930.0</v>
      </c>
      <c r="G128" s="3">
        <v>1910.0</v>
      </c>
      <c r="H128" s="3">
        <v>1850.0</v>
      </c>
      <c r="I128" s="3">
        <v>1880.0</v>
      </c>
      <c r="K128" s="3">
        <v>1880.0</v>
      </c>
      <c r="L128" s="3">
        <v>1940.0</v>
      </c>
      <c r="M128" s="3">
        <v>1880.0</v>
      </c>
      <c r="N128" s="3">
        <v>1940.0</v>
      </c>
    </row>
    <row r="129">
      <c r="A129" s="3">
        <v>1900.0</v>
      </c>
      <c r="B129" s="3">
        <v>1960.0</v>
      </c>
      <c r="C129" s="3">
        <v>1940.0</v>
      </c>
      <c r="D129" s="3">
        <v>1890.0</v>
      </c>
      <c r="F129" s="3">
        <v>1910.0</v>
      </c>
      <c r="G129" s="3">
        <v>1950.0</v>
      </c>
      <c r="H129" s="3">
        <v>1930.0</v>
      </c>
      <c r="I129" s="3">
        <v>1940.0</v>
      </c>
      <c r="K129" s="3">
        <v>1940.0</v>
      </c>
      <c r="L129" s="3">
        <v>1900.0</v>
      </c>
      <c r="M129" s="3">
        <v>1930.0</v>
      </c>
      <c r="N129" s="3">
        <v>1890.0</v>
      </c>
    </row>
    <row r="130">
      <c r="A130" s="3">
        <v>1910.0</v>
      </c>
      <c r="B130" s="3">
        <v>1930.0</v>
      </c>
      <c r="C130" s="3">
        <v>1910.0</v>
      </c>
      <c r="D130" s="3">
        <v>1870.0</v>
      </c>
      <c r="F130" s="3">
        <v>1910.0</v>
      </c>
      <c r="G130" s="3">
        <v>1920.0</v>
      </c>
      <c r="H130" s="3">
        <v>1930.0</v>
      </c>
      <c r="I130" s="3">
        <v>1900.0</v>
      </c>
      <c r="K130" s="3">
        <v>1920.0</v>
      </c>
      <c r="L130" s="3">
        <v>1940.0</v>
      </c>
      <c r="M130" s="3">
        <v>1910.0</v>
      </c>
      <c r="N130" s="3">
        <v>1960.0</v>
      </c>
    </row>
    <row r="131">
      <c r="A131" s="3">
        <v>1890.0</v>
      </c>
      <c r="B131" s="3">
        <v>1930.0</v>
      </c>
      <c r="C131" s="3">
        <v>1900.0</v>
      </c>
      <c r="D131" s="3">
        <v>1910.0</v>
      </c>
      <c r="F131" s="3">
        <v>1920.0</v>
      </c>
      <c r="G131" s="3">
        <v>1930.0</v>
      </c>
      <c r="H131" s="3">
        <v>1930.0</v>
      </c>
      <c r="I131" s="3">
        <v>1940.0</v>
      </c>
      <c r="K131" s="3">
        <v>1940.0</v>
      </c>
      <c r="L131" s="3">
        <v>1940.0</v>
      </c>
      <c r="M131" s="3">
        <v>1930.0</v>
      </c>
      <c r="N131" s="3">
        <v>1900.0</v>
      </c>
    </row>
    <row r="132">
      <c r="A132" s="3">
        <v>1880.0</v>
      </c>
      <c r="B132" s="3">
        <v>1940.0</v>
      </c>
      <c r="C132" s="3">
        <v>1910.0</v>
      </c>
      <c r="D132" s="3">
        <v>1950.0</v>
      </c>
      <c r="F132" s="3">
        <v>1960.0</v>
      </c>
      <c r="G132" s="3">
        <v>1990.0</v>
      </c>
      <c r="H132" s="3">
        <v>1890.0</v>
      </c>
      <c r="I132" s="3">
        <v>1890.0</v>
      </c>
      <c r="K132" s="3">
        <v>1910.0</v>
      </c>
      <c r="L132" s="3">
        <v>1900.0</v>
      </c>
      <c r="M132" s="3">
        <v>1900.0</v>
      </c>
      <c r="N132" s="3">
        <v>1990.0</v>
      </c>
    </row>
    <row r="133">
      <c r="A133" s="3">
        <v>1920.0</v>
      </c>
      <c r="B133" s="3">
        <v>1900.0</v>
      </c>
      <c r="C133" s="3">
        <v>1920.0</v>
      </c>
      <c r="D133" s="3">
        <v>1900.0</v>
      </c>
      <c r="F133" s="3">
        <v>1900.0</v>
      </c>
      <c r="G133" s="3">
        <v>1940.0</v>
      </c>
      <c r="H133" s="3">
        <v>1930.0</v>
      </c>
      <c r="I133" s="3">
        <v>1890.0</v>
      </c>
      <c r="K133" s="3">
        <v>1940.0</v>
      </c>
      <c r="L133" s="3">
        <v>1990.0</v>
      </c>
      <c r="M133" s="3">
        <v>1860.0</v>
      </c>
      <c r="N133" s="3">
        <v>1900.0</v>
      </c>
    </row>
    <row r="134">
      <c r="A134" s="3">
        <v>1950.0</v>
      </c>
      <c r="B134" s="3">
        <v>1940.0</v>
      </c>
      <c r="C134" s="3">
        <v>1930.0</v>
      </c>
      <c r="D134" s="3">
        <v>1930.0</v>
      </c>
      <c r="F134" s="3">
        <v>1870.0</v>
      </c>
      <c r="G134" s="3">
        <v>1910.0</v>
      </c>
      <c r="H134" s="3">
        <v>1870.0</v>
      </c>
      <c r="I134" s="3">
        <v>1870.0</v>
      </c>
      <c r="K134" s="3">
        <v>1910.0</v>
      </c>
      <c r="L134" s="3">
        <v>1890.0</v>
      </c>
      <c r="M134" s="3">
        <v>1900.0</v>
      </c>
      <c r="N134" s="3">
        <v>1890.0</v>
      </c>
    </row>
    <row r="135">
      <c r="A135" s="3">
        <v>1870.0</v>
      </c>
      <c r="B135" s="3">
        <v>1890.0</v>
      </c>
      <c r="C135" s="3">
        <v>1930.0</v>
      </c>
      <c r="D135" s="3">
        <v>1900.0</v>
      </c>
      <c r="F135" s="3">
        <v>1940.0</v>
      </c>
      <c r="G135" s="3">
        <v>1950.0</v>
      </c>
      <c r="H135" s="3">
        <v>1900.0</v>
      </c>
      <c r="I135" s="3">
        <v>1940.0</v>
      </c>
      <c r="K135" s="3">
        <v>1860.0</v>
      </c>
      <c r="L135" s="3">
        <v>1880.0</v>
      </c>
      <c r="M135" s="3">
        <v>1890.0</v>
      </c>
      <c r="N135" s="3">
        <v>1870.0</v>
      </c>
    </row>
    <row r="136">
      <c r="A136" s="3">
        <v>1990.0</v>
      </c>
      <c r="B136" s="3">
        <v>1920.0</v>
      </c>
      <c r="C136" s="3">
        <v>1850.0</v>
      </c>
      <c r="D136" s="3">
        <v>1910.0</v>
      </c>
      <c r="F136" s="3">
        <v>1860.0</v>
      </c>
      <c r="G136" s="3">
        <v>1920.0</v>
      </c>
      <c r="H136" s="3">
        <v>1930.0</v>
      </c>
      <c r="I136" s="3">
        <v>1980.0</v>
      </c>
      <c r="K136" s="3">
        <v>1850.0</v>
      </c>
      <c r="L136" s="3">
        <v>1900.0</v>
      </c>
      <c r="M136" s="3">
        <v>1920.0</v>
      </c>
      <c r="N136" s="3">
        <v>1850.0</v>
      </c>
    </row>
    <row r="137">
      <c r="A137" s="3">
        <v>1870.0</v>
      </c>
      <c r="B137" s="3">
        <v>1950.0</v>
      </c>
      <c r="C137" s="3">
        <v>1920.0</v>
      </c>
      <c r="D137" s="3">
        <v>1950.0</v>
      </c>
      <c r="F137" s="3">
        <v>1910.0</v>
      </c>
      <c r="G137" s="3">
        <v>1880.0</v>
      </c>
      <c r="H137" s="3">
        <v>1900.0</v>
      </c>
      <c r="I137" s="3">
        <v>1960.0</v>
      </c>
      <c r="K137" s="3">
        <v>1870.0</v>
      </c>
      <c r="L137" s="3">
        <v>1940.0</v>
      </c>
      <c r="M137" s="3">
        <v>1860.0</v>
      </c>
      <c r="N137" s="3">
        <v>1870.0</v>
      </c>
    </row>
    <row r="138">
      <c r="A138" s="4">
        <f t="shared" ref="A138:D138" si="19">round((SUM(A123:A137)/15),2)</f>
        <v>1910.67</v>
      </c>
      <c r="B138" s="4">
        <f t="shared" si="19"/>
        <v>1928.67</v>
      </c>
      <c r="C138" s="4">
        <f t="shared" si="19"/>
        <v>1905.33</v>
      </c>
      <c r="D138" s="4">
        <f t="shared" si="19"/>
        <v>1902.67</v>
      </c>
      <c r="F138" s="4">
        <f>round((SUM(F123:F137)/15),2)</f>
        <v>1912</v>
      </c>
      <c r="G138" s="5">
        <v>1880.0</v>
      </c>
      <c r="H138" s="4">
        <f t="shared" ref="H138:I138" si="20">round((SUM(H123:H137)/15),2)</f>
        <v>1908</v>
      </c>
      <c r="I138" s="4">
        <f t="shared" si="20"/>
        <v>1912.67</v>
      </c>
      <c r="K138" s="4">
        <f>round((SUM(K123:K137)/15),2)</f>
        <v>1904.67</v>
      </c>
      <c r="L138" s="5">
        <v>1880.0</v>
      </c>
      <c r="M138" s="4">
        <f t="shared" ref="M138:N138" si="21">round((SUM(M123:M137)/15),2)</f>
        <v>1898</v>
      </c>
      <c r="N138" s="4">
        <f t="shared" si="21"/>
        <v>1896.67</v>
      </c>
    </row>
    <row r="141">
      <c r="A141" s="1" t="s">
        <v>73</v>
      </c>
      <c r="F141" s="1" t="s">
        <v>74</v>
      </c>
      <c r="K141" s="1" t="s">
        <v>75</v>
      </c>
    </row>
    <row r="142">
      <c r="A142" s="2" t="s">
        <v>4</v>
      </c>
      <c r="B142" s="2" t="s">
        <v>5</v>
      </c>
      <c r="C142" s="2" t="s">
        <v>6</v>
      </c>
      <c r="D142" s="2" t="s">
        <v>7</v>
      </c>
      <c r="F142" s="2" t="s">
        <v>4</v>
      </c>
      <c r="G142" s="2" t="s">
        <v>5</v>
      </c>
      <c r="H142" s="2" t="s">
        <v>6</v>
      </c>
      <c r="I142" s="2" t="s">
        <v>7</v>
      </c>
      <c r="K142" s="2" t="s">
        <v>4</v>
      </c>
      <c r="L142" s="2" t="s">
        <v>5</v>
      </c>
      <c r="M142" s="2" t="s">
        <v>6</v>
      </c>
      <c r="N142" s="2" t="s">
        <v>7</v>
      </c>
    </row>
    <row r="143">
      <c r="A143" s="3">
        <v>1910.0</v>
      </c>
      <c r="B143" s="3">
        <v>1880.0</v>
      </c>
      <c r="C143" s="3">
        <v>1870.0</v>
      </c>
      <c r="D143" s="3">
        <v>1900.0</v>
      </c>
      <c r="F143" s="3">
        <v>1880.0</v>
      </c>
      <c r="G143" s="3">
        <v>1980.0</v>
      </c>
      <c r="H143" s="3">
        <v>1870.0</v>
      </c>
      <c r="I143" s="3">
        <v>1890.0</v>
      </c>
      <c r="K143" s="3">
        <v>1950.0</v>
      </c>
      <c r="L143" s="3">
        <v>1990.0</v>
      </c>
      <c r="M143" s="3">
        <v>1900.0</v>
      </c>
      <c r="N143" s="3">
        <v>1910.0</v>
      </c>
    </row>
    <row r="144">
      <c r="A144" s="3">
        <v>1930.0</v>
      </c>
      <c r="B144" s="3">
        <v>1800.0</v>
      </c>
      <c r="C144" s="3">
        <v>1900.0</v>
      </c>
      <c r="D144" s="3">
        <v>1890.0</v>
      </c>
      <c r="F144" s="3">
        <v>1860.0</v>
      </c>
      <c r="G144" s="3">
        <v>1890.0</v>
      </c>
      <c r="H144" s="3">
        <v>1900.0</v>
      </c>
      <c r="I144" s="3">
        <v>1820.0</v>
      </c>
      <c r="K144" s="3">
        <v>1910.0</v>
      </c>
      <c r="L144" s="3">
        <v>1890.0</v>
      </c>
      <c r="M144" s="3">
        <v>1860.0</v>
      </c>
      <c r="N144" s="3">
        <v>1930.0</v>
      </c>
    </row>
    <row r="145">
      <c r="A145" s="3">
        <v>1920.0</v>
      </c>
      <c r="B145" s="3">
        <v>1840.0</v>
      </c>
      <c r="C145" s="3">
        <v>1890.0</v>
      </c>
      <c r="D145" s="3">
        <v>1920.0</v>
      </c>
      <c r="F145" s="3">
        <v>1860.0</v>
      </c>
      <c r="G145" s="3">
        <v>1910.0</v>
      </c>
      <c r="H145" s="3">
        <v>1890.0</v>
      </c>
      <c r="I145" s="3">
        <v>1800.0</v>
      </c>
      <c r="K145" s="3">
        <v>1950.0</v>
      </c>
      <c r="L145" s="3">
        <v>1920.0</v>
      </c>
      <c r="M145" s="3">
        <v>1900.0</v>
      </c>
      <c r="N145" s="3">
        <v>1930.0</v>
      </c>
    </row>
    <row r="146">
      <c r="A146" s="3">
        <v>1860.0</v>
      </c>
      <c r="B146" s="3">
        <v>1850.0</v>
      </c>
      <c r="C146" s="3">
        <v>1890.0</v>
      </c>
      <c r="D146" s="3">
        <v>1880.0</v>
      </c>
      <c r="F146" s="3">
        <v>1870.0</v>
      </c>
      <c r="G146" s="3">
        <v>1900.0</v>
      </c>
      <c r="H146" s="3">
        <v>1890.0</v>
      </c>
      <c r="I146" s="3">
        <v>1890.0</v>
      </c>
      <c r="K146" s="3">
        <v>1930.0</v>
      </c>
      <c r="L146" s="3">
        <v>1890.0</v>
      </c>
      <c r="M146" s="3">
        <v>1870.0</v>
      </c>
      <c r="N146" s="3">
        <v>1890.0</v>
      </c>
    </row>
    <row r="147">
      <c r="A147" s="3">
        <v>1860.0</v>
      </c>
      <c r="B147" s="3">
        <v>1820.0</v>
      </c>
      <c r="C147" s="3">
        <v>1870.0</v>
      </c>
      <c r="D147" s="3">
        <v>1890.0</v>
      </c>
      <c r="F147" s="3">
        <v>1830.0</v>
      </c>
      <c r="G147" s="3">
        <v>1980.0</v>
      </c>
      <c r="H147" s="3">
        <v>1870.0</v>
      </c>
      <c r="I147" s="3">
        <v>1840.0</v>
      </c>
      <c r="K147" s="3">
        <v>1960.0</v>
      </c>
      <c r="L147" s="3">
        <v>1880.0</v>
      </c>
      <c r="M147" s="3">
        <v>1900.0</v>
      </c>
      <c r="N147" s="3">
        <v>1900.0</v>
      </c>
    </row>
    <row r="148">
      <c r="A148" s="3">
        <v>1890.0</v>
      </c>
      <c r="B148" s="3">
        <v>1880.0</v>
      </c>
      <c r="C148" s="3">
        <v>1930.0</v>
      </c>
      <c r="D148" s="3">
        <v>1880.0</v>
      </c>
      <c r="F148" s="3">
        <v>1810.0</v>
      </c>
      <c r="G148" s="3">
        <v>1890.0</v>
      </c>
      <c r="H148" s="3">
        <v>1930.0</v>
      </c>
      <c r="I148" s="3">
        <v>1860.0</v>
      </c>
      <c r="K148" s="3">
        <v>1910.0</v>
      </c>
      <c r="L148" s="3">
        <v>1960.0</v>
      </c>
      <c r="M148" s="3">
        <v>1910.0</v>
      </c>
      <c r="N148" s="3">
        <v>1950.0</v>
      </c>
    </row>
    <row r="149">
      <c r="A149" s="3">
        <v>1910.0</v>
      </c>
      <c r="B149" s="3">
        <v>1870.0</v>
      </c>
      <c r="C149" s="3">
        <v>1890.0</v>
      </c>
      <c r="D149" s="3">
        <v>1920.0</v>
      </c>
      <c r="F149" s="3">
        <v>1820.0</v>
      </c>
      <c r="G149" s="3">
        <v>1910.0</v>
      </c>
      <c r="H149" s="3">
        <v>1890.0</v>
      </c>
      <c r="I149" s="3">
        <v>1890.0</v>
      </c>
      <c r="K149" s="3">
        <v>1860.0</v>
      </c>
      <c r="L149" s="3">
        <v>1920.0</v>
      </c>
      <c r="M149" s="3">
        <v>1910.0</v>
      </c>
      <c r="N149" s="3">
        <v>1940.0</v>
      </c>
    </row>
    <row r="150">
      <c r="A150" s="3">
        <v>1810.0</v>
      </c>
      <c r="B150" s="3">
        <v>1880.0</v>
      </c>
      <c r="C150" s="3">
        <v>1900.0</v>
      </c>
      <c r="D150" s="3">
        <v>1920.0</v>
      </c>
      <c r="F150" s="3">
        <v>1840.0</v>
      </c>
      <c r="G150" s="3">
        <v>1870.0</v>
      </c>
      <c r="H150" s="3">
        <v>1900.0</v>
      </c>
      <c r="I150" s="3">
        <v>1880.0</v>
      </c>
      <c r="K150" s="3">
        <v>1880.0</v>
      </c>
      <c r="L150" s="3">
        <v>1890.0</v>
      </c>
      <c r="M150" s="3">
        <v>1880.0</v>
      </c>
      <c r="N150" s="3">
        <v>1880.0</v>
      </c>
    </row>
    <row r="151">
      <c r="A151" s="3">
        <v>1840.0</v>
      </c>
      <c r="B151" s="3">
        <v>1880.0</v>
      </c>
      <c r="C151" s="3">
        <v>1910.0</v>
      </c>
      <c r="D151" s="3">
        <v>1920.0</v>
      </c>
      <c r="F151" s="3">
        <v>1840.0</v>
      </c>
      <c r="G151" s="3">
        <v>1970.0</v>
      </c>
      <c r="H151" s="3">
        <v>1910.0</v>
      </c>
      <c r="I151" s="3">
        <v>1810.0</v>
      </c>
      <c r="K151" s="3">
        <v>1880.0</v>
      </c>
      <c r="L151" s="3">
        <v>1930.0</v>
      </c>
      <c r="M151" s="3">
        <v>1890.0</v>
      </c>
      <c r="N151" s="3">
        <v>1870.0</v>
      </c>
    </row>
    <row r="152">
      <c r="A152" s="3">
        <v>1850.0</v>
      </c>
      <c r="B152" s="3">
        <v>1800.0</v>
      </c>
      <c r="C152" s="3">
        <v>1830.0</v>
      </c>
      <c r="D152" s="3">
        <v>1990.0</v>
      </c>
      <c r="F152" s="3">
        <v>1850.0</v>
      </c>
      <c r="G152" s="3">
        <v>1880.0</v>
      </c>
      <c r="H152" s="3">
        <v>1830.0</v>
      </c>
      <c r="I152" s="3">
        <v>1880.0</v>
      </c>
      <c r="K152" s="3">
        <v>1840.0</v>
      </c>
      <c r="L152" s="3">
        <v>1900.0</v>
      </c>
      <c r="M152" s="3">
        <v>1910.0</v>
      </c>
      <c r="N152" s="3">
        <v>1930.0</v>
      </c>
    </row>
    <row r="153">
      <c r="A153" s="3">
        <v>1870.0</v>
      </c>
      <c r="B153" s="3">
        <v>1890.0</v>
      </c>
      <c r="C153" s="3">
        <v>1880.0</v>
      </c>
      <c r="D153" s="3">
        <v>1880.0</v>
      </c>
      <c r="F153" s="3">
        <v>1940.0</v>
      </c>
      <c r="G153" s="3">
        <v>1840.0</v>
      </c>
      <c r="H153" s="3">
        <v>1880.0</v>
      </c>
      <c r="I153" s="3">
        <v>1860.0</v>
      </c>
      <c r="K153" s="3">
        <v>1910.0</v>
      </c>
      <c r="L153" s="3">
        <v>1910.0</v>
      </c>
      <c r="M153" s="3">
        <v>1870.0</v>
      </c>
      <c r="N153" s="3">
        <v>1950.0</v>
      </c>
    </row>
    <row r="154">
      <c r="A154" s="3">
        <v>1900.0</v>
      </c>
      <c r="B154" s="3">
        <v>1840.0</v>
      </c>
      <c r="C154" s="3">
        <v>1830.0</v>
      </c>
      <c r="D154" s="3">
        <v>1980.0</v>
      </c>
      <c r="F154" s="3">
        <v>1870.0</v>
      </c>
      <c r="G154" s="3">
        <v>1990.0</v>
      </c>
      <c r="H154" s="3">
        <v>1830.0</v>
      </c>
      <c r="I154" s="3">
        <v>1840.0</v>
      </c>
      <c r="K154" s="3">
        <v>1900.0</v>
      </c>
      <c r="L154" s="3">
        <v>1920.0</v>
      </c>
      <c r="M154" s="3">
        <v>1900.0</v>
      </c>
      <c r="N154" s="3">
        <v>1900.0</v>
      </c>
    </row>
    <row r="155">
      <c r="A155" s="3">
        <v>1880.0</v>
      </c>
      <c r="B155" s="3">
        <v>1860.0</v>
      </c>
      <c r="C155" s="3">
        <v>1890.0</v>
      </c>
      <c r="D155" s="3">
        <v>1910.0</v>
      </c>
      <c r="F155" s="3">
        <v>1880.0</v>
      </c>
      <c r="G155" s="3">
        <v>1910.0</v>
      </c>
      <c r="H155" s="3">
        <v>1890.0</v>
      </c>
      <c r="I155" s="3">
        <v>1890.0</v>
      </c>
      <c r="K155" s="3">
        <v>1940.0</v>
      </c>
      <c r="L155" s="3">
        <v>1920.0</v>
      </c>
      <c r="M155" s="3">
        <v>1930.0</v>
      </c>
      <c r="N155" s="3">
        <v>1910.0</v>
      </c>
    </row>
    <row r="156">
      <c r="A156" s="3">
        <v>1890.0</v>
      </c>
      <c r="B156" s="3">
        <v>1850.0</v>
      </c>
      <c r="C156" s="3">
        <v>1900.0</v>
      </c>
      <c r="D156" s="3">
        <v>1900.0</v>
      </c>
      <c r="F156" s="3">
        <v>1920.0</v>
      </c>
      <c r="G156" s="3">
        <v>1880.0</v>
      </c>
      <c r="H156" s="3">
        <v>1900.0</v>
      </c>
      <c r="I156" s="3">
        <v>1870.0</v>
      </c>
      <c r="K156" s="3">
        <v>1840.0</v>
      </c>
      <c r="L156" s="3">
        <v>1960.0</v>
      </c>
      <c r="M156" s="3">
        <v>1880.0</v>
      </c>
      <c r="N156" s="3">
        <v>1890.0</v>
      </c>
    </row>
    <row r="157">
      <c r="A157" s="3">
        <v>1880.0</v>
      </c>
      <c r="B157" s="3">
        <v>1890.0</v>
      </c>
      <c r="C157" s="3">
        <v>1890.0</v>
      </c>
      <c r="D157" s="3">
        <v>1910.0</v>
      </c>
      <c r="F157" s="3">
        <v>1810.0</v>
      </c>
      <c r="G157" s="3">
        <v>1900.0</v>
      </c>
      <c r="H157" s="3">
        <v>1890.0</v>
      </c>
      <c r="I157" s="3">
        <v>1880.0</v>
      </c>
      <c r="K157" s="3">
        <v>1950.0</v>
      </c>
      <c r="L157" s="3">
        <v>1910.0</v>
      </c>
      <c r="M157" s="3">
        <v>1900.0</v>
      </c>
      <c r="N157" s="3">
        <v>1850.0</v>
      </c>
    </row>
    <row r="158">
      <c r="A158" s="4">
        <f>round((SUM(A143:A157)/15),2)</f>
        <v>1880</v>
      </c>
      <c r="B158" s="5">
        <v>1880.0</v>
      </c>
      <c r="C158" s="4">
        <f t="shared" ref="C158:D158" si="22">round((SUM(C143:C157)/15),2)</f>
        <v>1884.67</v>
      </c>
      <c r="D158" s="4">
        <f t="shared" si="22"/>
        <v>1912.67</v>
      </c>
      <c r="F158" s="4">
        <f>round((SUM(F143:F157)/15),2)</f>
        <v>1858.67</v>
      </c>
      <c r="G158" s="5">
        <v>1880.0</v>
      </c>
      <c r="H158" s="4">
        <f t="shared" ref="H158:I158" si="23">round((SUM(H143:H157)/15),2)</f>
        <v>1884.67</v>
      </c>
      <c r="I158" s="4">
        <f t="shared" si="23"/>
        <v>1860</v>
      </c>
      <c r="K158" s="4">
        <f t="shared" ref="K158:N158" si="24">round((SUM(K143:K157)/15),2)</f>
        <v>1907.33</v>
      </c>
      <c r="L158" s="5">
        <f t="shared" si="24"/>
        <v>1919.33</v>
      </c>
      <c r="M158" s="4">
        <f t="shared" si="24"/>
        <v>1894</v>
      </c>
      <c r="N158" s="4">
        <f t="shared" si="24"/>
        <v>1908.67</v>
      </c>
    </row>
    <row r="161">
      <c r="A161" s="1" t="s">
        <v>76</v>
      </c>
      <c r="F161" s="1" t="s">
        <v>77</v>
      </c>
      <c r="K161" s="1" t="s">
        <v>78</v>
      </c>
    </row>
    <row r="162">
      <c r="A162" s="2" t="s">
        <v>4</v>
      </c>
      <c r="B162" s="2" t="s">
        <v>5</v>
      </c>
      <c r="C162" s="2" t="s">
        <v>6</v>
      </c>
      <c r="D162" s="2" t="s">
        <v>7</v>
      </c>
      <c r="F162" s="2" t="s">
        <v>4</v>
      </c>
      <c r="G162" s="2" t="s">
        <v>5</v>
      </c>
      <c r="H162" s="2" t="s">
        <v>6</v>
      </c>
      <c r="I162" s="2" t="s">
        <v>7</v>
      </c>
      <c r="K162" s="2" t="s">
        <v>4</v>
      </c>
      <c r="L162" s="2" t="s">
        <v>5</v>
      </c>
      <c r="M162" s="2" t="s">
        <v>6</v>
      </c>
      <c r="N162" s="2" t="s">
        <v>7</v>
      </c>
    </row>
    <row r="163">
      <c r="A163" s="3">
        <v>1880.0</v>
      </c>
      <c r="B163" s="3">
        <v>1900.0</v>
      </c>
      <c r="C163" s="3">
        <v>1880.0</v>
      </c>
      <c r="D163" s="3">
        <v>1910.0</v>
      </c>
      <c r="F163" s="3">
        <v>1920.0</v>
      </c>
      <c r="G163" s="3">
        <v>1910.0</v>
      </c>
      <c r="H163" s="3">
        <v>1870.0</v>
      </c>
      <c r="I163" s="3">
        <v>1880.0</v>
      </c>
      <c r="K163" s="3">
        <v>1790.0</v>
      </c>
      <c r="L163" s="3">
        <v>1880.0</v>
      </c>
      <c r="M163" s="3">
        <v>1780.0</v>
      </c>
      <c r="N163" s="3">
        <v>1720.0</v>
      </c>
    </row>
    <row r="164">
      <c r="A164" s="3">
        <v>1840.0</v>
      </c>
      <c r="B164" s="3">
        <v>1900.0</v>
      </c>
      <c r="C164" s="3">
        <v>1870.0</v>
      </c>
      <c r="D164" s="3">
        <v>1900.0</v>
      </c>
      <c r="F164" s="3">
        <v>1800.0</v>
      </c>
      <c r="G164" s="3">
        <v>1910.0</v>
      </c>
      <c r="H164" s="3">
        <v>1910.0</v>
      </c>
      <c r="I164" s="3">
        <v>1930.0</v>
      </c>
      <c r="K164" s="3">
        <v>1780.0</v>
      </c>
      <c r="L164" s="3">
        <v>1840.0</v>
      </c>
      <c r="M164" s="3">
        <v>1780.0</v>
      </c>
      <c r="N164" s="3">
        <v>1790.0</v>
      </c>
    </row>
    <row r="165">
      <c r="A165" s="3">
        <v>1870.0</v>
      </c>
      <c r="B165" s="3">
        <v>1880.0</v>
      </c>
      <c r="C165" s="3">
        <v>1910.0</v>
      </c>
      <c r="D165" s="3">
        <v>1880.0</v>
      </c>
      <c r="F165" s="3">
        <v>1920.0</v>
      </c>
      <c r="G165" s="3">
        <v>1910.0</v>
      </c>
      <c r="H165" s="3">
        <v>1950.0</v>
      </c>
      <c r="I165" s="3">
        <v>1860.0</v>
      </c>
      <c r="K165" s="3">
        <v>1690.0</v>
      </c>
      <c r="L165" s="3">
        <v>1890.0</v>
      </c>
      <c r="M165" s="3">
        <v>1740.0</v>
      </c>
      <c r="N165" s="3">
        <v>1740.0</v>
      </c>
    </row>
    <row r="166">
      <c r="A166" s="3">
        <v>1920.0</v>
      </c>
      <c r="B166" s="3">
        <v>1900.0</v>
      </c>
      <c r="C166" s="3">
        <v>1910.0</v>
      </c>
      <c r="D166" s="3">
        <v>1920.0</v>
      </c>
      <c r="F166" s="3">
        <v>1870.0</v>
      </c>
      <c r="G166" s="3">
        <v>1930.0</v>
      </c>
      <c r="H166" s="3">
        <v>1910.0</v>
      </c>
      <c r="I166" s="3">
        <v>1840.0</v>
      </c>
      <c r="K166" s="3">
        <v>1790.0</v>
      </c>
      <c r="L166" s="3">
        <v>1780.0</v>
      </c>
      <c r="M166" s="3">
        <v>1730.0</v>
      </c>
      <c r="N166" s="3">
        <v>1780.0</v>
      </c>
    </row>
    <row r="167">
      <c r="A167" s="3">
        <v>1880.0</v>
      </c>
      <c r="B167" s="3">
        <v>1910.0</v>
      </c>
      <c r="C167" s="3">
        <v>1910.0</v>
      </c>
      <c r="D167" s="3">
        <v>1990.0</v>
      </c>
      <c r="F167" s="3">
        <v>1850.0</v>
      </c>
      <c r="G167" s="3">
        <v>1850.0</v>
      </c>
      <c r="H167" s="3">
        <v>1870.0</v>
      </c>
      <c r="I167" s="3">
        <v>1880.0</v>
      </c>
      <c r="K167" s="3">
        <v>1800.0</v>
      </c>
      <c r="L167" s="3">
        <v>1850.0</v>
      </c>
      <c r="M167" s="3">
        <v>1790.0</v>
      </c>
      <c r="N167" s="3">
        <v>1790.0</v>
      </c>
    </row>
    <row r="168">
      <c r="A168" s="3">
        <v>1910.0</v>
      </c>
      <c r="B168" s="3">
        <v>1880.0</v>
      </c>
      <c r="C168" s="3">
        <v>1880.0</v>
      </c>
      <c r="D168" s="3">
        <v>1930.0</v>
      </c>
      <c r="F168" s="3">
        <v>1840.0</v>
      </c>
      <c r="G168" s="3">
        <v>1880.0</v>
      </c>
      <c r="H168" s="3">
        <v>1890.0</v>
      </c>
      <c r="I168" s="3">
        <v>1910.0</v>
      </c>
      <c r="K168" s="3">
        <v>1820.0</v>
      </c>
      <c r="L168" s="3">
        <v>1800.0</v>
      </c>
      <c r="M168" s="3">
        <v>1820.0</v>
      </c>
      <c r="N168" s="3">
        <v>1720.0</v>
      </c>
    </row>
    <row r="169">
      <c r="A169" s="3">
        <v>1970.0</v>
      </c>
      <c r="B169" s="3">
        <v>1890.0</v>
      </c>
      <c r="C169" s="3">
        <v>1900.0</v>
      </c>
      <c r="D169" s="3">
        <v>1890.0</v>
      </c>
      <c r="F169" s="3">
        <v>1920.0</v>
      </c>
      <c r="G169" s="3">
        <v>1900.0</v>
      </c>
      <c r="H169" s="3">
        <v>1920.0</v>
      </c>
      <c r="I169" s="3">
        <v>1850.0</v>
      </c>
      <c r="K169" s="3">
        <v>1760.0</v>
      </c>
      <c r="L169" s="3">
        <v>1820.0</v>
      </c>
      <c r="M169" s="3">
        <v>1770.0</v>
      </c>
      <c r="N169" s="3">
        <v>1800.0</v>
      </c>
    </row>
    <row r="170">
      <c r="A170" s="3">
        <v>1900.0</v>
      </c>
      <c r="B170" s="3">
        <v>1880.0</v>
      </c>
      <c r="C170" s="3">
        <v>1910.0</v>
      </c>
      <c r="D170" s="3">
        <v>1890.0</v>
      </c>
      <c r="F170" s="3">
        <v>1860.0</v>
      </c>
      <c r="G170" s="3">
        <v>1870.0</v>
      </c>
      <c r="H170" s="3">
        <v>1850.0</v>
      </c>
      <c r="I170" s="3">
        <v>1870.0</v>
      </c>
      <c r="K170" s="3">
        <v>1740.0</v>
      </c>
      <c r="L170" s="3">
        <v>1830.0</v>
      </c>
      <c r="M170" s="3">
        <v>1770.0</v>
      </c>
      <c r="N170" s="3">
        <v>1780.0</v>
      </c>
    </row>
    <row r="171">
      <c r="A171" s="3">
        <v>1890.0</v>
      </c>
      <c r="B171" s="3">
        <v>1920.0</v>
      </c>
      <c r="C171" s="3">
        <v>1890.0</v>
      </c>
      <c r="D171" s="3">
        <v>1920.0</v>
      </c>
      <c r="F171" s="3">
        <v>1880.0</v>
      </c>
      <c r="G171" s="3">
        <v>1880.0</v>
      </c>
      <c r="H171" s="3">
        <v>1910.0</v>
      </c>
      <c r="I171" s="3">
        <v>1870.0</v>
      </c>
      <c r="K171" s="3">
        <v>1710.0</v>
      </c>
      <c r="L171" s="3">
        <v>1800.0</v>
      </c>
      <c r="M171" s="3">
        <v>1780.0</v>
      </c>
      <c r="N171" s="3">
        <v>1790.0</v>
      </c>
    </row>
    <row r="172">
      <c r="A172" s="3">
        <v>1940.0</v>
      </c>
      <c r="B172" s="3">
        <v>1910.0</v>
      </c>
      <c r="C172" s="3">
        <v>1990.0</v>
      </c>
      <c r="D172" s="3">
        <v>1920.0</v>
      </c>
      <c r="F172" s="3">
        <v>1870.0</v>
      </c>
      <c r="G172" s="3">
        <v>1940.0</v>
      </c>
      <c r="H172" s="3">
        <v>1870.0</v>
      </c>
      <c r="I172" s="3">
        <v>1870.0</v>
      </c>
      <c r="K172" s="3">
        <v>1780.0</v>
      </c>
      <c r="L172" s="3">
        <v>1720.0</v>
      </c>
      <c r="M172" s="3">
        <v>1870.0</v>
      </c>
      <c r="N172" s="3">
        <v>1790.0</v>
      </c>
    </row>
    <row r="173">
      <c r="A173" s="3">
        <v>1900.0</v>
      </c>
      <c r="B173" s="3">
        <v>1900.0</v>
      </c>
      <c r="C173" s="3">
        <v>1870.0</v>
      </c>
      <c r="D173" s="3">
        <v>1870.0</v>
      </c>
      <c r="F173" s="3">
        <v>1910.0</v>
      </c>
      <c r="G173" s="3">
        <v>1910.0</v>
      </c>
      <c r="H173" s="3">
        <v>1820.0</v>
      </c>
      <c r="I173" s="3">
        <v>1880.0</v>
      </c>
      <c r="K173" s="3">
        <v>1780.0</v>
      </c>
      <c r="L173" s="3">
        <v>1840.0</v>
      </c>
      <c r="M173" s="3">
        <v>1820.0</v>
      </c>
      <c r="N173" s="3">
        <v>1790.0</v>
      </c>
    </row>
    <row r="174">
      <c r="A174" s="3">
        <v>1900.0</v>
      </c>
      <c r="B174" s="3">
        <v>1900.0</v>
      </c>
      <c r="C174" s="3">
        <v>1900.0</v>
      </c>
      <c r="D174" s="3">
        <v>1870.0</v>
      </c>
      <c r="F174" s="3">
        <v>1930.0</v>
      </c>
      <c r="G174" s="3">
        <v>1920.0</v>
      </c>
      <c r="H174" s="3">
        <v>1940.0</v>
      </c>
      <c r="I174" s="3">
        <v>1850.0</v>
      </c>
      <c r="K174" s="3">
        <v>1810.0</v>
      </c>
      <c r="L174" s="3">
        <v>1810.0</v>
      </c>
      <c r="M174" s="3">
        <v>1700.0</v>
      </c>
      <c r="N174" s="3">
        <v>1810.0</v>
      </c>
    </row>
    <row r="175">
      <c r="A175" s="3">
        <v>1890.0</v>
      </c>
      <c r="B175" s="3">
        <v>1890.0</v>
      </c>
      <c r="C175" s="3">
        <v>1890.0</v>
      </c>
      <c r="D175" s="3">
        <v>1900.0</v>
      </c>
      <c r="F175" s="3">
        <v>1890.0</v>
      </c>
      <c r="G175" s="3">
        <v>1960.0</v>
      </c>
      <c r="H175" s="3">
        <v>1880.0</v>
      </c>
      <c r="I175" s="3">
        <v>1920.0</v>
      </c>
      <c r="K175" s="3">
        <v>1790.0</v>
      </c>
      <c r="L175" s="3">
        <v>1760.0</v>
      </c>
      <c r="M175" s="3">
        <v>1770.0</v>
      </c>
      <c r="N175" s="3">
        <v>1790.0</v>
      </c>
    </row>
    <row r="176">
      <c r="A176" s="3">
        <v>1920.0</v>
      </c>
      <c r="B176" s="3">
        <v>1920.0</v>
      </c>
      <c r="C176" s="3">
        <v>1890.0</v>
      </c>
      <c r="D176" s="3">
        <v>1910.0</v>
      </c>
      <c r="F176" s="3">
        <v>1860.0</v>
      </c>
      <c r="G176" s="3">
        <v>1930.0</v>
      </c>
      <c r="H176" s="3">
        <v>1930.0</v>
      </c>
      <c r="I176" s="3">
        <v>1910.0</v>
      </c>
      <c r="K176" s="3">
        <v>1780.0</v>
      </c>
      <c r="L176" s="3">
        <v>1750.0</v>
      </c>
      <c r="M176" s="3">
        <v>1740.0</v>
      </c>
      <c r="N176" s="3">
        <v>1770.0</v>
      </c>
    </row>
    <row r="177">
      <c r="A177" s="3">
        <v>1880.0</v>
      </c>
      <c r="B177" s="3">
        <v>1880.0</v>
      </c>
      <c r="C177" s="3">
        <v>1860.0</v>
      </c>
      <c r="D177" s="3">
        <v>1930.0</v>
      </c>
      <c r="F177" s="3">
        <v>1830.0</v>
      </c>
      <c r="G177" s="3">
        <v>1940.0</v>
      </c>
      <c r="H177" s="3">
        <v>1880.0</v>
      </c>
      <c r="I177" s="3">
        <v>1900.0</v>
      </c>
      <c r="K177" s="3">
        <v>1780.0</v>
      </c>
      <c r="L177" s="3">
        <v>1800.0</v>
      </c>
      <c r="M177" s="3">
        <v>1740.0</v>
      </c>
      <c r="N177" s="3">
        <v>1880.0</v>
      </c>
    </row>
    <row r="178">
      <c r="A178" s="4">
        <f t="shared" ref="A178:D178" si="25">round((SUM(A163:A177)/15),2)</f>
        <v>1899.33</v>
      </c>
      <c r="B178" s="5">
        <f t="shared" si="25"/>
        <v>1897.33</v>
      </c>
      <c r="C178" s="4">
        <f t="shared" si="25"/>
        <v>1897.33</v>
      </c>
      <c r="D178" s="4">
        <f t="shared" si="25"/>
        <v>1908.67</v>
      </c>
      <c r="F178" s="4">
        <f t="shared" ref="F178:I178" si="26">round((SUM(F163:F177)/15),2)</f>
        <v>1876.67</v>
      </c>
      <c r="G178" s="5">
        <f t="shared" si="26"/>
        <v>1909.33</v>
      </c>
      <c r="H178" s="4">
        <f t="shared" si="26"/>
        <v>1893.33</v>
      </c>
      <c r="I178" s="4">
        <f t="shared" si="26"/>
        <v>1881.33</v>
      </c>
      <c r="K178" s="4">
        <f t="shared" ref="K178:N178" si="27">round((SUM(K163:K177)/15),2)</f>
        <v>1773.33</v>
      </c>
      <c r="L178" s="5">
        <f t="shared" si="27"/>
        <v>1811.33</v>
      </c>
      <c r="M178" s="4">
        <f t="shared" si="27"/>
        <v>1773.33</v>
      </c>
      <c r="N178" s="4">
        <f t="shared" si="27"/>
        <v>1782.67</v>
      </c>
    </row>
    <row r="180">
      <c r="D180" s="3" t="s">
        <v>50</v>
      </c>
    </row>
    <row r="181">
      <c r="A181" s="1" t="s">
        <v>79</v>
      </c>
      <c r="F181" s="1" t="s">
        <v>80</v>
      </c>
      <c r="K181" s="1" t="s">
        <v>81</v>
      </c>
    </row>
    <row r="182">
      <c r="A182" s="2" t="s">
        <v>4</v>
      </c>
      <c r="B182" s="2" t="s">
        <v>5</v>
      </c>
      <c r="C182" s="2" t="s">
        <v>6</v>
      </c>
      <c r="D182" s="2" t="s">
        <v>7</v>
      </c>
      <c r="F182" s="2" t="s">
        <v>4</v>
      </c>
      <c r="G182" s="2" t="s">
        <v>5</v>
      </c>
      <c r="H182" s="2" t="s">
        <v>6</v>
      </c>
      <c r="I182" s="2" t="s">
        <v>7</v>
      </c>
      <c r="K182" s="2" t="s">
        <v>4</v>
      </c>
      <c r="L182" s="2" t="s">
        <v>5</v>
      </c>
      <c r="M182" s="2" t="s">
        <v>6</v>
      </c>
      <c r="N182" s="2" t="s">
        <v>7</v>
      </c>
    </row>
    <row r="183">
      <c r="A183" s="3">
        <v>1920.0</v>
      </c>
      <c r="B183" s="3">
        <v>1790.0</v>
      </c>
      <c r="D183" s="3">
        <v>1840.0</v>
      </c>
      <c r="F183" s="3">
        <v>1880.0</v>
      </c>
      <c r="G183" s="3">
        <v>1890.0</v>
      </c>
      <c r="H183" s="3">
        <v>1850.0</v>
      </c>
      <c r="I183" s="3">
        <v>1850.0</v>
      </c>
      <c r="K183" s="3">
        <v>1960.0</v>
      </c>
      <c r="L183" s="3">
        <v>1900.0</v>
      </c>
      <c r="M183" s="3">
        <v>1960.0</v>
      </c>
      <c r="N183" s="3">
        <v>1900.0</v>
      </c>
    </row>
    <row r="184">
      <c r="A184" s="3">
        <v>1900.0</v>
      </c>
      <c r="B184" s="3">
        <v>1840.0</v>
      </c>
      <c r="D184" s="3">
        <v>1870.0</v>
      </c>
      <c r="F184" s="3">
        <v>1900.0</v>
      </c>
      <c r="G184" s="3">
        <v>1920.0</v>
      </c>
      <c r="H184" s="3">
        <v>1860.0</v>
      </c>
      <c r="I184" s="3">
        <v>1920.0</v>
      </c>
      <c r="K184" s="3">
        <v>1940.0</v>
      </c>
      <c r="L184" s="3">
        <v>1970.0</v>
      </c>
      <c r="M184" s="3">
        <v>1930.0</v>
      </c>
      <c r="N184" s="3">
        <v>1950.0</v>
      </c>
    </row>
    <row r="185">
      <c r="A185" s="3">
        <v>1930.0</v>
      </c>
      <c r="B185" s="3">
        <v>1850.0</v>
      </c>
      <c r="D185" s="3">
        <v>1870.0</v>
      </c>
      <c r="F185" s="3">
        <v>1850.0</v>
      </c>
      <c r="G185" s="3">
        <v>1910.0</v>
      </c>
      <c r="H185" s="3">
        <v>1850.0</v>
      </c>
      <c r="I185" s="3">
        <v>1880.0</v>
      </c>
      <c r="K185" s="3">
        <v>1910.0</v>
      </c>
      <c r="L185" s="3">
        <v>1970.0</v>
      </c>
      <c r="M185" s="3">
        <v>1910.0</v>
      </c>
      <c r="N185" s="3">
        <v>1930.0</v>
      </c>
    </row>
    <row r="186">
      <c r="A186" s="3">
        <v>1950.0</v>
      </c>
      <c r="B186" s="3">
        <v>1880.0</v>
      </c>
      <c r="D186" s="3">
        <v>1870.0</v>
      </c>
      <c r="F186" s="3">
        <v>1830.0</v>
      </c>
      <c r="G186" s="3">
        <v>1910.0</v>
      </c>
      <c r="H186" s="3">
        <v>1950.0</v>
      </c>
      <c r="I186" s="3">
        <v>1920.0</v>
      </c>
      <c r="K186" s="3">
        <v>1970.0</v>
      </c>
      <c r="L186" s="3">
        <v>1980.0</v>
      </c>
      <c r="M186" s="3">
        <v>1960.0</v>
      </c>
      <c r="N186" s="3">
        <v>2000.0</v>
      </c>
    </row>
    <row r="187">
      <c r="A187" s="3">
        <v>1880.0</v>
      </c>
      <c r="B187" s="3">
        <v>1910.0</v>
      </c>
      <c r="D187" s="3">
        <v>1920.0</v>
      </c>
      <c r="F187" s="3">
        <v>1830.0</v>
      </c>
      <c r="G187" s="3">
        <v>1890.0</v>
      </c>
      <c r="H187" s="3">
        <v>1940.0</v>
      </c>
      <c r="I187" s="3">
        <v>1910.0</v>
      </c>
      <c r="K187" s="3">
        <v>1940.0</v>
      </c>
      <c r="L187" s="3">
        <v>1930.0</v>
      </c>
      <c r="M187" s="3">
        <v>1960.0</v>
      </c>
      <c r="N187" s="3">
        <v>1910.0</v>
      </c>
    </row>
    <row r="188">
      <c r="A188" s="3">
        <v>1890.0</v>
      </c>
      <c r="B188" s="3">
        <v>1840.0</v>
      </c>
      <c r="D188" s="3">
        <v>1880.0</v>
      </c>
      <c r="F188" s="3">
        <v>1830.0</v>
      </c>
      <c r="G188" s="3">
        <v>1870.0</v>
      </c>
      <c r="H188" s="3">
        <v>1860.0</v>
      </c>
      <c r="I188" s="3">
        <v>1880.0</v>
      </c>
      <c r="K188" s="3">
        <v>1930.0</v>
      </c>
      <c r="L188" s="3">
        <v>1960.0</v>
      </c>
      <c r="M188" s="3">
        <v>1920.0</v>
      </c>
      <c r="N188" s="3">
        <v>1890.0</v>
      </c>
    </row>
    <row r="189">
      <c r="A189" s="3">
        <v>1830.0</v>
      </c>
      <c r="B189" s="3">
        <v>1780.0</v>
      </c>
      <c r="D189" s="3">
        <v>1870.0</v>
      </c>
      <c r="F189" s="3">
        <v>1910.0</v>
      </c>
      <c r="G189" s="3">
        <v>1910.0</v>
      </c>
      <c r="H189" s="3">
        <v>1900.0</v>
      </c>
      <c r="I189" s="3">
        <v>1810.0</v>
      </c>
      <c r="K189" s="3">
        <v>1940.0</v>
      </c>
      <c r="L189" s="3">
        <v>1900.0</v>
      </c>
      <c r="M189" s="3">
        <v>1910.0</v>
      </c>
      <c r="N189" s="3">
        <v>1940.0</v>
      </c>
    </row>
    <row r="190">
      <c r="A190" s="3">
        <v>1820.0</v>
      </c>
      <c r="B190" s="3">
        <v>1840.0</v>
      </c>
      <c r="D190" s="3">
        <v>1840.0</v>
      </c>
      <c r="F190" s="3">
        <v>1850.0</v>
      </c>
      <c r="G190" s="3">
        <v>1890.0</v>
      </c>
      <c r="H190" s="3">
        <v>1900.0</v>
      </c>
      <c r="I190" s="3">
        <v>1900.0</v>
      </c>
      <c r="K190" s="3">
        <v>1930.0</v>
      </c>
      <c r="L190" s="3">
        <v>1900.0</v>
      </c>
      <c r="M190" s="3">
        <v>1930.0</v>
      </c>
      <c r="N190" s="3">
        <v>1930.0</v>
      </c>
    </row>
    <row r="191">
      <c r="A191" s="3">
        <v>1810.0</v>
      </c>
      <c r="B191" s="3">
        <v>1840.0</v>
      </c>
      <c r="D191" s="3">
        <v>1920.0</v>
      </c>
      <c r="F191" s="3">
        <v>1850.0</v>
      </c>
      <c r="G191" s="3">
        <v>1950.0</v>
      </c>
      <c r="H191" s="3">
        <v>1840.0</v>
      </c>
      <c r="I191" s="3">
        <v>1880.0</v>
      </c>
      <c r="K191" s="3">
        <v>1920.0</v>
      </c>
      <c r="L191" s="3">
        <v>1930.0</v>
      </c>
      <c r="M191" s="3">
        <v>1970.0</v>
      </c>
      <c r="N191" s="3">
        <v>1930.0</v>
      </c>
    </row>
    <row r="192">
      <c r="A192" s="3">
        <v>1870.0</v>
      </c>
      <c r="B192" s="3">
        <v>1820.0</v>
      </c>
      <c r="D192" s="3">
        <v>1880.0</v>
      </c>
      <c r="F192" s="3">
        <v>1820.0</v>
      </c>
      <c r="G192" s="3">
        <v>1900.0</v>
      </c>
      <c r="H192" s="3">
        <v>1910.0</v>
      </c>
      <c r="I192" s="3">
        <v>1920.0</v>
      </c>
      <c r="K192" s="3">
        <v>1950.0</v>
      </c>
      <c r="L192" s="3">
        <v>1950.0</v>
      </c>
      <c r="M192" s="3">
        <v>1850.0</v>
      </c>
      <c r="N192" s="3">
        <v>1880.0</v>
      </c>
    </row>
    <row r="193">
      <c r="A193" s="3">
        <v>1880.0</v>
      </c>
      <c r="B193" s="3">
        <v>1910.0</v>
      </c>
      <c r="D193" s="3">
        <v>1880.0</v>
      </c>
      <c r="F193" s="3">
        <v>1830.0</v>
      </c>
      <c r="G193" s="3">
        <v>1940.0</v>
      </c>
      <c r="H193" s="3">
        <v>1920.0</v>
      </c>
      <c r="I193" s="3">
        <v>1930.0</v>
      </c>
      <c r="K193" s="3">
        <v>1940.0</v>
      </c>
      <c r="L193" s="3">
        <v>2010.0</v>
      </c>
      <c r="M193" s="3">
        <v>1930.0</v>
      </c>
      <c r="N193" s="3">
        <v>1930.0</v>
      </c>
    </row>
    <row r="194">
      <c r="A194" s="3">
        <v>1870.0</v>
      </c>
      <c r="B194" s="3">
        <v>1950.0</v>
      </c>
      <c r="D194" s="3">
        <v>1800.0</v>
      </c>
      <c r="F194" s="3">
        <v>1870.0</v>
      </c>
      <c r="G194" s="3">
        <v>1910.0</v>
      </c>
      <c r="H194" s="3">
        <v>1870.0</v>
      </c>
      <c r="I194" s="3">
        <v>1940.0</v>
      </c>
      <c r="K194" s="3">
        <v>1890.0</v>
      </c>
      <c r="L194" s="3">
        <v>1990.0</v>
      </c>
      <c r="M194" s="3">
        <v>1900.0</v>
      </c>
      <c r="N194" s="3">
        <v>1920.0</v>
      </c>
    </row>
    <row r="195">
      <c r="A195" s="3">
        <v>1860.0</v>
      </c>
      <c r="B195" s="3">
        <v>1930.0</v>
      </c>
      <c r="D195" s="3">
        <v>1820.0</v>
      </c>
      <c r="F195" s="3">
        <v>1860.0</v>
      </c>
      <c r="G195" s="3">
        <v>1830.0</v>
      </c>
      <c r="H195" s="3">
        <v>1900.0</v>
      </c>
      <c r="I195" s="3">
        <v>1930.0</v>
      </c>
      <c r="K195" s="3">
        <v>1920.0</v>
      </c>
      <c r="L195" s="3">
        <v>1890.0</v>
      </c>
      <c r="M195" s="3">
        <v>1980.0</v>
      </c>
      <c r="N195" s="3">
        <v>1910.0</v>
      </c>
    </row>
    <row r="196">
      <c r="A196" s="3">
        <v>1880.0</v>
      </c>
      <c r="B196" s="3">
        <v>1920.0</v>
      </c>
      <c r="D196" s="3">
        <v>1840.0</v>
      </c>
      <c r="F196" s="3">
        <v>1810.0</v>
      </c>
      <c r="G196" s="3">
        <v>1910.0</v>
      </c>
      <c r="H196" s="3">
        <v>1890.0</v>
      </c>
      <c r="I196" s="3">
        <v>1860.0</v>
      </c>
      <c r="K196" s="3">
        <v>1930.0</v>
      </c>
      <c r="L196" s="3">
        <v>2010.0</v>
      </c>
      <c r="M196" s="3">
        <v>1930.0</v>
      </c>
      <c r="N196" s="3">
        <v>1980.0</v>
      </c>
    </row>
    <row r="197">
      <c r="A197" s="3">
        <v>1890.0</v>
      </c>
      <c r="B197" s="3">
        <v>1890.0</v>
      </c>
      <c r="D197" s="3">
        <v>1880.0</v>
      </c>
      <c r="F197" s="3">
        <v>1860.0</v>
      </c>
      <c r="G197" s="3">
        <v>1900.0</v>
      </c>
      <c r="H197" s="3">
        <v>1970.0</v>
      </c>
      <c r="I197" s="3">
        <v>1900.0</v>
      </c>
      <c r="K197" s="3">
        <v>1940.0</v>
      </c>
      <c r="L197" s="3">
        <v>1940.0</v>
      </c>
      <c r="M197" s="3">
        <v>1940.0</v>
      </c>
      <c r="N197" s="3">
        <v>1930.0</v>
      </c>
    </row>
    <row r="198">
      <c r="A198" s="4">
        <f t="shared" ref="A198:B198" si="28">round((SUM(A183:A197)/15),2)</f>
        <v>1878.67</v>
      </c>
      <c r="B198" s="5">
        <f t="shared" si="28"/>
        <v>1866</v>
      </c>
      <c r="C198" s="4"/>
      <c r="D198" s="4">
        <f>round((SUM(D183:D197)/15),2)</f>
        <v>1865.33</v>
      </c>
      <c r="F198" s="4">
        <f t="shared" ref="F198:I198" si="29">round((SUM(F183:F197)/15),2)</f>
        <v>1852</v>
      </c>
      <c r="G198" s="5">
        <f t="shared" si="29"/>
        <v>1902</v>
      </c>
      <c r="H198" s="4">
        <f t="shared" si="29"/>
        <v>1894</v>
      </c>
      <c r="I198" s="4">
        <f t="shared" si="29"/>
        <v>1895.33</v>
      </c>
      <c r="K198" s="4">
        <f t="shared" ref="K198:N198" si="30">round((SUM(K183:K197)/15),2)</f>
        <v>1934</v>
      </c>
      <c r="L198" s="5">
        <f t="shared" si="30"/>
        <v>1948.67</v>
      </c>
      <c r="M198" s="4">
        <f t="shared" si="30"/>
        <v>1932</v>
      </c>
      <c r="N198" s="4">
        <f t="shared" si="30"/>
        <v>1928.67</v>
      </c>
    </row>
    <row r="201">
      <c r="A201" s="1" t="s">
        <v>82</v>
      </c>
      <c r="F201" s="1" t="s">
        <v>83</v>
      </c>
      <c r="K201" s="1" t="s">
        <v>84</v>
      </c>
    </row>
    <row r="202">
      <c r="A202" s="2" t="s">
        <v>4</v>
      </c>
      <c r="B202" s="2" t="s">
        <v>5</v>
      </c>
      <c r="C202" s="2" t="s">
        <v>6</v>
      </c>
      <c r="D202" s="2" t="s">
        <v>7</v>
      </c>
      <c r="F202" s="2" t="s">
        <v>4</v>
      </c>
      <c r="G202" s="2" t="s">
        <v>5</v>
      </c>
      <c r="H202" s="2" t="s">
        <v>6</v>
      </c>
      <c r="I202" s="2" t="s">
        <v>7</v>
      </c>
      <c r="K202" s="2" t="s">
        <v>4</v>
      </c>
      <c r="L202" s="2" t="s">
        <v>5</v>
      </c>
      <c r="M202" s="2" t="s">
        <v>6</v>
      </c>
      <c r="N202" s="2" t="s">
        <v>7</v>
      </c>
    </row>
    <row r="203">
      <c r="A203" s="3">
        <v>1880.0</v>
      </c>
      <c r="B203" s="3">
        <v>1900.0</v>
      </c>
      <c r="C203" s="3">
        <v>1970.0</v>
      </c>
      <c r="D203" s="3">
        <v>1930.0</v>
      </c>
      <c r="F203" s="3">
        <v>1990.0</v>
      </c>
      <c r="G203" s="3">
        <v>2000.0</v>
      </c>
      <c r="H203" s="3">
        <v>2010.0</v>
      </c>
      <c r="I203" s="3">
        <v>1990.0</v>
      </c>
      <c r="K203" s="3">
        <v>2020.0</v>
      </c>
      <c r="L203" s="3">
        <v>1980.0</v>
      </c>
      <c r="M203" s="3">
        <v>1960.0</v>
      </c>
      <c r="N203" s="3">
        <v>1950.0</v>
      </c>
    </row>
    <row r="204">
      <c r="A204" s="3">
        <v>1950.0</v>
      </c>
      <c r="B204" s="3">
        <v>1890.0</v>
      </c>
      <c r="C204" s="3">
        <v>1940.0</v>
      </c>
      <c r="D204" s="3">
        <v>1910.0</v>
      </c>
      <c r="F204" s="3">
        <v>2000.0</v>
      </c>
      <c r="G204" s="3">
        <v>1990.0</v>
      </c>
      <c r="H204" s="3">
        <v>1970.0</v>
      </c>
      <c r="I204" s="3">
        <v>2000.0</v>
      </c>
      <c r="K204" s="3">
        <v>1930.0</v>
      </c>
      <c r="L204" s="3">
        <v>2010.0</v>
      </c>
      <c r="M204" s="3">
        <v>1980.0</v>
      </c>
      <c r="N204" s="3">
        <v>1960.0</v>
      </c>
    </row>
    <row r="205">
      <c r="A205" s="3">
        <v>1960.0</v>
      </c>
      <c r="B205" s="3">
        <v>1910.0</v>
      </c>
      <c r="C205" s="3">
        <v>1930.0</v>
      </c>
      <c r="D205" s="3">
        <v>1950.0</v>
      </c>
      <c r="F205" s="3">
        <v>2090.0</v>
      </c>
      <c r="G205" s="3">
        <v>1980.0</v>
      </c>
      <c r="H205" s="3">
        <v>1960.0</v>
      </c>
      <c r="I205" s="3">
        <v>2000.0</v>
      </c>
      <c r="K205" s="3">
        <v>1950.0</v>
      </c>
      <c r="L205" s="3">
        <v>2000.0</v>
      </c>
      <c r="M205" s="3">
        <v>2020.0</v>
      </c>
      <c r="N205" s="3">
        <v>1960.0</v>
      </c>
    </row>
    <row r="206">
      <c r="A206" s="3">
        <v>1950.0</v>
      </c>
      <c r="B206" s="3">
        <v>1900.0</v>
      </c>
      <c r="C206" s="3">
        <v>1910.0</v>
      </c>
      <c r="D206" s="3">
        <v>1950.0</v>
      </c>
      <c r="F206" s="3">
        <v>1980.0</v>
      </c>
      <c r="G206" s="3">
        <v>1990.0</v>
      </c>
      <c r="H206" s="3">
        <v>2020.0</v>
      </c>
      <c r="I206" s="3">
        <v>1960.0</v>
      </c>
      <c r="K206" s="3">
        <v>1930.0</v>
      </c>
      <c r="L206" s="3">
        <v>1970.0</v>
      </c>
      <c r="M206" s="3">
        <v>1970.0</v>
      </c>
      <c r="N206" s="3">
        <v>1920.0</v>
      </c>
    </row>
    <row r="207">
      <c r="A207" s="3">
        <v>1960.0</v>
      </c>
      <c r="B207" s="3">
        <v>1980.0</v>
      </c>
      <c r="C207" s="3">
        <v>1950.0</v>
      </c>
      <c r="D207" s="3">
        <v>1990.0</v>
      </c>
      <c r="F207" s="3">
        <v>2090.0</v>
      </c>
      <c r="G207" s="3">
        <v>2000.0</v>
      </c>
      <c r="H207" s="3">
        <v>1960.0</v>
      </c>
      <c r="I207" s="3">
        <v>1930.0</v>
      </c>
      <c r="K207" s="3">
        <v>1950.0</v>
      </c>
      <c r="L207" s="3">
        <v>1930.0</v>
      </c>
      <c r="M207" s="3">
        <v>1990.0</v>
      </c>
      <c r="N207" s="3">
        <v>1970.0</v>
      </c>
    </row>
    <row r="208">
      <c r="A208" s="3">
        <v>1950.0</v>
      </c>
      <c r="B208" s="3">
        <v>1930.0</v>
      </c>
      <c r="C208" s="3">
        <v>1970.0</v>
      </c>
      <c r="D208" s="3">
        <v>1990.0</v>
      </c>
      <c r="F208" s="3">
        <v>1990.0</v>
      </c>
      <c r="G208" s="3">
        <v>1990.0</v>
      </c>
      <c r="H208" s="3">
        <v>1990.0</v>
      </c>
      <c r="I208" s="3">
        <v>1930.0</v>
      </c>
      <c r="K208" s="3">
        <v>1970.0</v>
      </c>
      <c r="L208" s="3">
        <v>1980.0</v>
      </c>
      <c r="M208" s="3">
        <v>1990.0</v>
      </c>
      <c r="N208" s="3">
        <v>1930.0</v>
      </c>
    </row>
    <row r="209">
      <c r="A209" s="3">
        <v>1990.0</v>
      </c>
      <c r="B209" s="3">
        <v>2000.0</v>
      </c>
      <c r="C209" s="3">
        <v>1920.0</v>
      </c>
      <c r="D209" s="3">
        <v>1990.0</v>
      </c>
      <c r="F209" s="3">
        <v>2040.0</v>
      </c>
      <c r="G209" s="3">
        <v>1950.0</v>
      </c>
      <c r="H209" s="3">
        <v>1950.0</v>
      </c>
      <c r="I209" s="3">
        <v>1940.0</v>
      </c>
      <c r="K209" s="3">
        <v>1960.0</v>
      </c>
      <c r="L209" s="3">
        <v>1940.0</v>
      </c>
      <c r="M209" s="3">
        <v>2010.0</v>
      </c>
      <c r="N209" s="3">
        <v>1970.0</v>
      </c>
    </row>
    <row r="210">
      <c r="A210" s="3">
        <v>1990.0</v>
      </c>
      <c r="B210" s="3">
        <v>1970.0</v>
      </c>
      <c r="C210" s="3">
        <v>1940.0</v>
      </c>
      <c r="D210" s="3">
        <v>1980.0</v>
      </c>
      <c r="F210" s="3">
        <v>2020.0</v>
      </c>
      <c r="G210" s="3">
        <v>1960.0</v>
      </c>
      <c r="H210" s="3">
        <v>1990.0</v>
      </c>
      <c r="I210" s="3">
        <v>1980.0</v>
      </c>
      <c r="K210" s="3">
        <v>1960.0</v>
      </c>
      <c r="L210" s="3">
        <v>1970.0</v>
      </c>
      <c r="M210" s="3">
        <v>1900.0</v>
      </c>
      <c r="N210" s="3">
        <v>1940.0</v>
      </c>
    </row>
    <row r="211">
      <c r="A211" s="3">
        <v>1950.0</v>
      </c>
      <c r="B211" s="3">
        <v>1930.0</v>
      </c>
      <c r="C211" s="3">
        <v>1930.0</v>
      </c>
      <c r="D211" s="3">
        <v>1900.0</v>
      </c>
      <c r="F211" s="3">
        <v>1970.0</v>
      </c>
      <c r="G211" s="3">
        <v>1980.0</v>
      </c>
      <c r="H211" s="3">
        <v>1940.0</v>
      </c>
      <c r="I211" s="3">
        <v>1950.0</v>
      </c>
      <c r="K211" s="3">
        <v>1960.0</v>
      </c>
      <c r="L211" s="3">
        <v>2000.0</v>
      </c>
      <c r="M211" s="3">
        <v>1900.0</v>
      </c>
      <c r="N211" s="3">
        <v>1900.0</v>
      </c>
    </row>
    <row r="212">
      <c r="A212" s="3">
        <v>1940.0</v>
      </c>
      <c r="B212" s="3">
        <v>1980.0</v>
      </c>
      <c r="C212" s="3">
        <v>1930.0</v>
      </c>
      <c r="D212" s="3">
        <v>1930.0</v>
      </c>
      <c r="F212" s="3">
        <v>2030.0</v>
      </c>
      <c r="G212" s="3">
        <v>1910.0</v>
      </c>
      <c r="H212" s="3">
        <v>2020.0</v>
      </c>
      <c r="I212" s="3">
        <v>1940.0</v>
      </c>
      <c r="K212" s="3">
        <v>1980.0</v>
      </c>
      <c r="L212" s="3">
        <v>2010.0</v>
      </c>
      <c r="M212" s="3">
        <v>1950.0</v>
      </c>
      <c r="N212" s="3">
        <v>1920.0</v>
      </c>
    </row>
    <row r="213">
      <c r="A213" s="3">
        <v>1990.0</v>
      </c>
      <c r="B213" s="3">
        <v>1950.0</v>
      </c>
      <c r="C213" s="3">
        <v>1950.0</v>
      </c>
      <c r="D213" s="3">
        <v>1970.0</v>
      </c>
      <c r="F213" s="3">
        <v>1980.0</v>
      </c>
      <c r="G213" s="3">
        <v>1980.0</v>
      </c>
      <c r="H213" s="3">
        <v>1980.0</v>
      </c>
      <c r="I213" s="3">
        <v>1900.0</v>
      </c>
      <c r="K213" s="3">
        <v>1950.0</v>
      </c>
      <c r="L213" s="3">
        <v>1940.0</v>
      </c>
      <c r="M213" s="3">
        <v>1960.0</v>
      </c>
      <c r="N213" s="3">
        <v>1910.0</v>
      </c>
    </row>
    <row r="214">
      <c r="A214" s="3">
        <v>1940.0</v>
      </c>
      <c r="B214" s="3">
        <v>1990.0</v>
      </c>
      <c r="C214" s="3">
        <v>1920.0</v>
      </c>
      <c r="D214" s="3">
        <v>1980.0</v>
      </c>
      <c r="F214" s="3">
        <v>2000.0</v>
      </c>
      <c r="G214" s="3">
        <v>1920.0</v>
      </c>
      <c r="H214" s="3">
        <v>1970.0</v>
      </c>
      <c r="I214" s="3">
        <v>1910.0</v>
      </c>
      <c r="K214" s="3">
        <v>1970.0</v>
      </c>
      <c r="L214" s="3">
        <v>2030.0</v>
      </c>
      <c r="M214" s="3">
        <v>1970.0</v>
      </c>
      <c r="N214" s="3">
        <v>1960.0</v>
      </c>
    </row>
    <row r="215">
      <c r="A215" s="3">
        <v>1920.0</v>
      </c>
      <c r="B215" s="3">
        <v>2010.0</v>
      </c>
      <c r="C215" s="3">
        <v>1880.0</v>
      </c>
      <c r="D215" s="3">
        <v>1960.0</v>
      </c>
      <c r="F215" s="3">
        <v>1960.0</v>
      </c>
      <c r="G215" s="3">
        <v>1990.0</v>
      </c>
      <c r="H215" s="3">
        <v>1950.0</v>
      </c>
      <c r="I215" s="3">
        <v>1970.0</v>
      </c>
      <c r="K215" s="3">
        <v>1990.0</v>
      </c>
      <c r="L215" s="3">
        <v>2020.0</v>
      </c>
      <c r="M215" s="3">
        <v>2010.0</v>
      </c>
      <c r="N215" s="3">
        <v>1930.0</v>
      </c>
    </row>
    <row r="216">
      <c r="A216" s="3">
        <v>1950.0</v>
      </c>
      <c r="B216" s="3">
        <v>2000.0</v>
      </c>
      <c r="C216" s="3">
        <v>1930.0</v>
      </c>
      <c r="D216" s="3">
        <v>1930.0</v>
      </c>
      <c r="F216" s="3">
        <v>1970.0</v>
      </c>
      <c r="G216" s="3">
        <v>1980.0</v>
      </c>
      <c r="H216" s="3">
        <v>1990.0</v>
      </c>
      <c r="I216" s="3">
        <v>1930.0</v>
      </c>
      <c r="K216" s="3">
        <v>2030.0</v>
      </c>
      <c r="L216" s="3">
        <v>2020.0</v>
      </c>
      <c r="M216" s="3">
        <v>1950.0</v>
      </c>
      <c r="N216" s="3">
        <v>1890.0</v>
      </c>
    </row>
    <row r="217">
      <c r="A217" s="3">
        <v>1950.0</v>
      </c>
      <c r="B217" s="3">
        <v>1960.0</v>
      </c>
      <c r="C217" s="3">
        <v>2000.0</v>
      </c>
      <c r="D217" s="3">
        <v>1950.0</v>
      </c>
      <c r="F217" s="3">
        <v>1960.0</v>
      </c>
      <c r="G217" s="3">
        <v>2010.0</v>
      </c>
      <c r="H217" s="3">
        <v>1920.0</v>
      </c>
      <c r="I217" s="3">
        <v>1940.0</v>
      </c>
      <c r="K217" s="3">
        <v>1950.0</v>
      </c>
      <c r="L217" s="3">
        <v>1990.0</v>
      </c>
      <c r="M217" s="3">
        <v>2000.0</v>
      </c>
      <c r="N217" s="3">
        <v>1870.0</v>
      </c>
    </row>
    <row r="218">
      <c r="A218" s="4">
        <f t="shared" ref="A218:D218" si="31">round((SUM(A203:A217)/15),2)</f>
        <v>1951.33</v>
      </c>
      <c r="B218" s="5">
        <f t="shared" si="31"/>
        <v>1953.33</v>
      </c>
      <c r="C218" s="4">
        <f t="shared" si="31"/>
        <v>1938</v>
      </c>
      <c r="D218" s="4">
        <f t="shared" si="31"/>
        <v>1954</v>
      </c>
      <c r="F218" s="4">
        <f t="shared" ref="F218:I218" si="32">round((SUM(F203:F217)/15),2)</f>
        <v>2004.67</v>
      </c>
      <c r="G218" s="5">
        <f t="shared" si="32"/>
        <v>1975.33</v>
      </c>
      <c r="H218" s="4">
        <f t="shared" si="32"/>
        <v>1974.67</v>
      </c>
      <c r="I218" s="4">
        <f t="shared" si="32"/>
        <v>1951.33</v>
      </c>
      <c r="K218" s="4">
        <f t="shared" ref="K218:N218" si="33">round((SUM(K203:K217)/15),2)</f>
        <v>1966.67</v>
      </c>
      <c r="L218" s="5">
        <f t="shared" si="33"/>
        <v>1986</v>
      </c>
      <c r="M218" s="4">
        <f t="shared" si="33"/>
        <v>1970.67</v>
      </c>
      <c r="N218" s="4">
        <f t="shared" si="33"/>
        <v>1932</v>
      </c>
    </row>
    <row r="221">
      <c r="A221" s="1" t="s">
        <v>85</v>
      </c>
      <c r="F221" s="1" t="s">
        <v>86</v>
      </c>
      <c r="K221" s="1" t="s">
        <v>87</v>
      </c>
    </row>
    <row r="222">
      <c r="A222" s="2" t="s">
        <v>4</v>
      </c>
      <c r="B222" s="2" t="s">
        <v>5</v>
      </c>
      <c r="C222" s="2" t="s">
        <v>6</v>
      </c>
      <c r="D222" s="2" t="s">
        <v>7</v>
      </c>
      <c r="F222" s="2" t="s">
        <v>4</v>
      </c>
      <c r="G222" s="2" t="s">
        <v>5</v>
      </c>
      <c r="H222" s="2" t="s">
        <v>6</v>
      </c>
      <c r="I222" s="2" t="s">
        <v>7</v>
      </c>
      <c r="K222" s="2" t="s">
        <v>4</v>
      </c>
      <c r="L222" s="2" t="s">
        <v>5</v>
      </c>
      <c r="M222" s="2" t="s">
        <v>6</v>
      </c>
      <c r="N222" s="2" t="s">
        <v>7</v>
      </c>
    </row>
    <row r="223">
      <c r="A223" s="3">
        <v>1900.0</v>
      </c>
      <c r="B223" s="3">
        <v>1880.0</v>
      </c>
      <c r="C223" s="3">
        <v>1970.0</v>
      </c>
      <c r="D223" s="3">
        <v>1940.0</v>
      </c>
      <c r="F223" s="3">
        <v>1960.0</v>
      </c>
      <c r="G223" s="3">
        <v>1860.0</v>
      </c>
      <c r="H223" s="3">
        <v>1950.0</v>
      </c>
      <c r="I223" s="3">
        <v>1950.0</v>
      </c>
      <c r="K223" s="3">
        <v>1930.0</v>
      </c>
      <c r="L223" s="3">
        <v>1930.0</v>
      </c>
      <c r="M223" s="3">
        <v>1930.0</v>
      </c>
      <c r="N223" s="3">
        <v>1970.0</v>
      </c>
    </row>
    <row r="224">
      <c r="A224" s="3">
        <v>1990.0</v>
      </c>
      <c r="B224" s="3">
        <v>1870.0</v>
      </c>
      <c r="C224" s="3">
        <v>1960.0</v>
      </c>
      <c r="D224" s="3">
        <v>1980.0</v>
      </c>
      <c r="F224" s="3">
        <v>1950.0</v>
      </c>
      <c r="G224" s="3">
        <v>1870.0</v>
      </c>
      <c r="H224" s="3">
        <v>1970.0</v>
      </c>
      <c r="I224" s="3">
        <v>1890.0</v>
      </c>
      <c r="K224" s="3">
        <v>2000.0</v>
      </c>
      <c r="L224" s="3">
        <v>1910.0</v>
      </c>
      <c r="M224" s="3">
        <v>1920.0</v>
      </c>
      <c r="N224" s="3">
        <v>2020.0</v>
      </c>
    </row>
    <row r="225">
      <c r="A225" s="3">
        <v>1980.0</v>
      </c>
      <c r="B225" s="3">
        <v>1940.0</v>
      </c>
      <c r="C225" s="3">
        <v>2000.0</v>
      </c>
      <c r="D225" s="3">
        <v>1930.0</v>
      </c>
      <c r="F225" s="3">
        <v>1980.0</v>
      </c>
      <c r="G225" s="3">
        <v>1860.0</v>
      </c>
      <c r="H225" s="3">
        <v>1890.0</v>
      </c>
      <c r="I225" s="3">
        <v>1950.0</v>
      </c>
      <c r="K225" s="3">
        <v>1980.0</v>
      </c>
      <c r="L225" s="3">
        <v>1960.0</v>
      </c>
      <c r="M225" s="3">
        <v>2010.0</v>
      </c>
      <c r="N225" s="3">
        <v>1970.0</v>
      </c>
    </row>
    <row r="226">
      <c r="A226" s="3">
        <v>1930.0</v>
      </c>
      <c r="B226" s="3">
        <v>1850.0</v>
      </c>
      <c r="C226" s="3">
        <v>1960.0</v>
      </c>
      <c r="D226" s="3">
        <v>1910.0</v>
      </c>
      <c r="F226" s="3">
        <v>1960.0</v>
      </c>
      <c r="G226" s="3">
        <v>1880.0</v>
      </c>
      <c r="H226" s="3">
        <v>1940.0</v>
      </c>
      <c r="I226" s="3">
        <v>1960.0</v>
      </c>
      <c r="K226" s="3">
        <v>2000.0</v>
      </c>
      <c r="L226" s="3">
        <v>1860.0</v>
      </c>
      <c r="M226" s="3">
        <v>1920.0</v>
      </c>
      <c r="N226" s="3">
        <v>1990.0</v>
      </c>
    </row>
    <row r="227">
      <c r="A227" s="3">
        <v>1910.0</v>
      </c>
      <c r="B227" s="3">
        <v>1840.0</v>
      </c>
      <c r="C227" s="3">
        <v>1950.0</v>
      </c>
      <c r="D227" s="3">
        <v>1940.0</v>
      </c>
      <c r="F227" s="3">
        <v>1940.0</v>
      </c>
      <c r="G227" s="3">
        <v>1930.0</v>
      </c>
      <c r="H227" s="3">
        <v>1980.0</v>
      </c>
      <c r="I227" s="3">
        <v>1970.0</v>
      </c>
      <c r="K227" s="3">
        <v>2060.0</v>
      </c>
      <c r="L227" s="3">
        <v>1870.0</v>
      </c>
      <c r="M227" s="3">
        <v>2020.0</v>
      </c>
      <c r="N227" s="3">
        <v>2000.0</v>
      </c>
    </row>
    <row r="228">
      <c r="A228" s="3">
        <v>1950.0</v>
      </c>
      <c r="B228" s="3">
        <v>1830.0</v>
      </c>
      <c r="C228" s="3">
        <v>1940.0</v>
      </c>
      <c r="D228" s="3">
        <v>2000.0</v>
      </c>
      <c r="F228" s="3">
        <v>1950.0</v>
      </c>
      <c r="G228" s="3">
        <v>1940.0</v>
      </c>
      <c r="H228" s="3">
        <v>1940.0</v>
      </c>
      <c r="I228" s="3">
        <v>1970.0</v>
      </c>
      <c r="K228" s="3">
        <v>1910.0</v>
      </c>
      <c r="L228" s="3">
        <v>1920.0</v>
      </c>
      <c r="M228" s="3">
        <v>1940.0</v>
      </c>
      <c r="N228" s="3">
        <v>1980.0</v>
      </c>
    </row>
    <row r="229">
      <c r="A229" s="3">
        <v>1920.0</v>
      </c>
      <c r="B229" s="3">
        <v>1840.0</v>
      </c>
      <c r="C229" s="3">
        <v>2010.0</v>
      </c>
      <c r="D229" s="3">
        <v>1940.0</v>
      </c>
      <c r="F229" s="3">
        <v>1990.0</v>
      </c>
      <c r="G229" s="3">
        <v>1960.0</v>
      </c>
      <c r="H229" s="3">
        <v>1960.0</v>
      </c>
      <c r="I229" s="3">
        <v>1940.0</v>
      </c>
      <c r="K229" s="3">
        <v>1970.0</v>
      </c>
      <c r="L229" s="3">
        <v>1880.0</v>
      </c>
      <c r="M229" s="3">
        <v>1950.0</v>
      </c>
      <c r="N229" s="3">
        <v>1980.0</v>
      </c>
    </row>
    <row r="230">
      <c r="A230" s="3">
        <v>1920.0</v>
      </c>
      <c r="B230" s="3">
        <v>1820.0</v>
      </c>
      <c r="C230" s="3">
        <v>1970.0</v>
      </c>
      <c r="D230" s="3">
        <v>1880.0</v>
      </c>
      <c r="F230" s="3">
        <v>1940.0</v>
      </c>
      <c r="G230" s="3">
        <v>1910.0</v>
      </c>
      <c r="H230" s="3">
        <v>1910.0</v>
      </c>
      <c r="I230" s="3">
        <v>1900.0</v>
      </c>
      <c r="K230" s="3">
        <v>1960.0</v>
      </c>
      <c r="L230" s="3">
        <v>1840.0</v>
      </c>
      <c r="M230" s="3">
        <v>2050.0</v>
      </c>
      <c r="N230" s="3">
        <v>1980.0</v>
      </c>
    </row>
    <row r="231">
      <c r="A231" s="3">
        <v>1910.0</v>
      </c>
      <c r="B231" s="3">
        <v>1810.0</v>
      </c>
      <c r="C231" s="3">
        <v>1980.0</v>
      </c>
      <c r="D231" s="3">
        <v>1910.0</v>
      </c>
      <c r="F231" s="3">
        <v>1950.0</v>
      </c>
      <c r="G231" s="3">
        <v>1950.0</v>
      </c>
      <c r="H231" s="3">
        <v>1920.0</v>
      </c>
      <c r="I231" s="3">
        <v>1990.0</v>
      </c>
      <c r="K231" s="3">
        <v>1940.0</v>
      </c>
      <c r="L231" s="3">
        <v>1930.0</v>
      </c>
      <c r="M231" s="3">
        <v>2030.0</v>
      </c>
      <c r="N231" s="3">
        <v>2020.0</v>
      </c>
    </row>
    <row r="232">
      <c r="A232" s="3">
        <v>2010.0</v>
      </c>
      <c r="B232" s="3">
        <v>1840.0</v>
      </c>
      <c r="C232" s="3">
        <v>1930.0</v>
      </c>
      <c r="D232" s="3">
        <v>1940.0</v>
      </c>
      <c r="F232" s="3">
        <v>1990.0</v>
      </c>
      <c r="G232" s="3">
        <v>1920.0</v>
      </c>
      <c r="H232" s="3">
        <v>1920.0</v>
      </c>
      <c r="I232" s="3">
        <v>1960.0</v>
      </c>
      <c r="K232" s="3">
        <v>1960.0</v>
      </c>
      <c r="L232" s="3">
        <v>1920.0</v>
      </c>
      <c r="M232" s="3">
        <v>2000.0</v>
      </c>
      <c r="N232" s="3">
        <v>1970.0</v>
      </c>
    </row>
    <row r="233">
      <c r="A233" s="3">
        <v>1900.0</v>
      </c>
      <c r="B233" s="3">
        <v>1880.0</v>
      </c>
      <c r="C233" s="3">
        <v>1930.0</v>
      </c>
      <c r="D233" s="3">
        <v>1920.0</v>
      </c>
      <c r="F233" s="3">
        <v>2000.0</v>
      </c>
      <c r="G233" s="3">
        <v>1950.0</v>
      </c>
      <c r="H233" s="3">
        <v>1950.0</v>
      </c>
      <c r="I233" s="3">
        <v>1980.0</v>
      </c>
      <c r="K233" s="3">
        <v>2030.0</v>
      </c>
      <c r="L233" s="3">
        <v>1870.0</v>
      </c>
      <c r="M233" s="3">
        <v>1980.0</v>
      </c>
      <c r="N233" s="3">
        <v>1990.0</v>
      </c>
    </row>
    <row r="234">
      <c r="A234" s="3">
        <v>1910.0</v>
      </c>
      <c r="B234" s="3">
        <v>1920.0</v>
      </c>
      <c r="C234" s="3">
        <v>1910.0</v>
      </c>
      <c r="D234" s="3">
        <v>1940.0</v>
      </c>
      <c r="F234" s="3">
        <v>1990.0</v>
      </c>
      <c r="G234" s="3">
        <v>1930.0</v>
      </c>
      <c r="H234" s="3">
        <v>1940.0</v>
      </c>
      <c r="I234" s="3">
        <v>1960.0</v>
      </c>
      <c r="K234" s="3">
        <v>1990.0</v>
      </c>
      <c r="L234" s="3">
        <v>1860.0</v>
      </c>
      <c r="M234" s="3">
        <v>1930.0</v>
      </c>
      <c r="N234" s="3">
        <v>2030.0</v>
      </c>
    </row>
    <row r="235">
      <c r="A235" s="3">
        <v>1920.0</v>
      </c>
      <c r="B235" s="3">
        <v>1860.0</v>
      </c>
      <c r="C235" s="3">
        <v>1900.0</v>
      </c>
      <c r="D235" s="3">
        <v>1930.0</v>
      </c>
      <c r="F235" s="3">
        <v>1980.0</v>
      </c>
      <c r="G235" s="3">
        <v>1880.0</v>
      </c>
      <c r="H235" s="3">
        <v>1980.0</v>
      </c>
      <c r="I235" s="3">
        <v>2010.0</v>
      </c>
      <c r="K235" s="3">
        <v>1970.0</v>
      </c>
      <c r="L235" s="3">
        <v>1800.0</v>
      </c>
      <c r="M235" s="3">
        <v>1920.0</v>
      </c>
      <c r="N235" s="3">
        <v>2020.0</v>
      </c>
    </row>
    <row r="236">
      <c r="A236" s="3">
        <v>1930.0</v>
      </c>
      <c r="B236" s="3">
        <v>1860.0</v>
      </c>
      <c r="C236" s="3">
        <v>1950.0</v>
      </c>
      <c r="D236" s="3">
        <v>2000.0</v>
      </c>
      <c r="F236" s="3">
        <v>1910.0</v>
      </c>
      <c r="G236" s="3">
        <v>1930.0</v>
      </c>
      <c r="H236" s="3">
        <v>1950.0</v>
      </c>
      <c r="I236" s="3">
        <v>1960.0</v>
      </c>
      <c r="K236" s="3">
        <v>1940.0</v>
      </c>
      <c r="L236" s="3">
        <v>1860.0</v>
      </c>
      <c r="M236" s="3">
        <v>1910.0</v>
      </c>
      <c r="N236" s="3">
        <v>1980.0</v>
      </c>
    </row>
    <row r="237">
      <c r="A237" s="3">
        <v>1990.0</v>
      </c>
      <c r="B237" s="3">
        <v>1910.0</v>
      </c>
      <c r="C237" s="3">
        <v>1920.0</v>
      </c>
      <c r="D237" s="3">
        <v>1960.0</v>
      </c>
      <c r="F237" s="3">
        <v>1920.0</v>
      </c>
      <c r="G237" s="3">
        <v>1940.0</v>
      </c>
      <c r="H237" s="3">
        <v>1980.0</v>
      </c>
      <c r="I237" s="3">
        <v>1950.0</v>
      </c>
      <c r="K237" s="3">
        <v>2000.0</v>
      </c>
      <c r="L237" s="3">
        <v>1940.0</v>
      </c>
      <c r="M237" s="3">
        <v>1930.0</v>
      </c>
      <c r="N237" s="3">
        <v>2010.0</v>
      </c>
    </row>
    <row r="238">
      <c r="A238" s="4">
        <f t="shared" ref="A238:D238" si="34">round((SUM(A223:A237)/15),2)</f>
        <v>1938</v>
      </c>
      <c r="B238" s="5">
        <f t="shared" si="34"/>
        <v>1863.33</v>
      </c>
      <c r="C238" s="4">
        <f t="shared" si="34"/>
        <v>1952</v>
      </c>
      <c r="D238" s="4">
        <f t="shared" si="34"/>
        <v>1941.33</v>
      </c>
      <c r="F238" s="4">
        <f t="shared" ref="F238:I238" si="35">round((SUM(F223:F237)/15),2)</f>
        <v>1960.67</v>
      </c>
      <c r="G238" s="5">
        <f t="shared" si="35"/>
        <v>1914</v>
      </c>
      <c r="H238" s="4">
        <f t="shared" si="35"/>
        <v>1945.33</v>
      </c>
      <c r="I238" s="4">
        <f t="shared" si="35"/>
        <v>1956</v>
      </c>
      <c r="K238" s="4">
        <f t="shared" ref="K238:N238" si="36">round((SUM(K223:K237)/15),2)</f>
        <v>1976</v>
      </c>
      <c r="L238" s="5">
        <f t="shared" si="36"/>
        <v>1890</v>
      </c>
      <c r="M238" s="4">
        <f t="shared" si="36"/>
        <v>1962.67</v>
      </c>
      <c r="N238" s="4">
        <f t="shared" si="36"/>
        <v>1994</v>
      </c>
    </row>
    <row r="241">
      <c r="A241" s="1" t="s">
        <v>88</v>
      </c>
      <c r="F241" s="1" t="s">
        <v>89</v>
      </c>
    </row>
    <row r="242">
      <c r="A242" s="2" t="s">
        <v>4</v>
      </c>
      <c r="B242" s="2" t="s">
        <v>5</v>
      </c>
      <c r="C242" s="2" t="s">
        <v>6</v>
      </c>
      <c r="D242" s="2" t="s">
        <v>7</v>
      </c>
      <c r="F242" s="2" t="s">
        <v>4</v>
      </c>
      <c r="G242" s="2" t="s">
        <v>5</v>
      </c>
      <c r="H242" s="2" t="s">
        <v>6</v>
      </c>
      <c r="I242" s="2" t="s">
        <v>7</v>
      </c>
    </row>
    <row r="243">
      <c r="A243" s="3">
        <v>1980.0</v>
      </c>
      <c r="B243" s="3">
        <v>1920.0</v>
      </c>
      <c r="C243" s="3">
        <v>1870.0</v>
      </c>
      <c r="D243" s="3">
        <v>1950.0</v>
      </c>
      <c r="F243" s="3">
        <v>1980.0</v>
      </c>
      <c r="G243" s="3">
        <v>1950.0</v>
      </c>
      <c r="H243" s="3">
        <v>1870.0</v>
      </c>
      <c r="I243" s="3">
        <v>1920.0</v>
      </c>
    </row>
    <row r="244">
      <c r="A244" s="3">
        <v>1970.0</v>
      </c>
      <c r="B244" s="3">
        <v>1910.0</v>
      </c>
      <c r="C244" s="3">
        <v>1920.0</v>
      </c>
      <c r="D244" s="3">
        <v>1890.0</v>
      </c>
      <c r="F244" s="3">
        <v>2020.0</v>
      </c>
      <c r="G244" s="3">
        <v>1890.0</v>
      </c>
      <c r="H244" s="3">
        <v>1860.0</v>
      </c>
      <c r="I244" s="3">
        <v>1900.0</v>
      </c>
    </row>
    <row r="245">
      <c r="A245" s="3">
        <v>2010.0</v>
      </c>
      <c r="B245" s="3">
        <v>1910.0</v>
      </c>
      <c r="C245" s="3">
        <v>1970.0</v>
      </c>
      <c r="D245" s="3">
        <v>1950.0</v>
      </c>
      <c r="F245" s="3">
        <v>1940.0</v>
      </c>
      <c r="G245" s="3">
        <v>1920.0</v>
      </c>
      <c r="H245" s="3">
        <v>1880.0</v>
      </c>
      <c r="I245" s="3">
        <v>1920.0</v>
      </c>
    </row>
    <row r="246">
      <c r="A246" s="3">
        <v>1970.0</v>
      </c>
      <c r="B246" s="3">
        <v>1940.0</v>
      </c>
      <c r="C246" s="3">
        <v>1960.0</v>
      </c>
      <c r="D246" s="3">
        <v>1960.0</v>
      </c>
      <c r="F246" s="3">
        <v>1930.0</v>
      </c>
      <c r="G246" s="3">
        <v>1880.0</v>
      </c>
      <c r="H246" s="3">
        <v>1940.0</v>
      </c>
      <c r="I246" s="3">
        <v>1910.0</v>
      </c>
    </row>
    <row r="247">
      <c r="A247" s="3">
        <v>1960.0</v>
      </c>
      <c r="B247" s="3">
        <v>1880.0</v>
      </c>
      <c r="C247" s="3">
        <v>1960.0</v>
      </c>
      <c r="D247" s="3">
        <v>1970.0</v>
      </c>
      <c r="F247" s="3">
        <v>1970.0</v>
      </c>
      <c r="G247" s="3">
        <v>1920.0</v>
      </c>
      <c r="H247" s="3">
        <v>1930.0</v>
      </c>
      <c r="I247" s="3">
        <v>1950.0</v>
      </c>
    </row>
    <row r="248">
      <c r="A248" s="3">
        <v>1950.0</v>
      </c>
      <c r="B248" s="3">
        <v>1890.0</v>
      </c>
      <c r="C248" s="3">
        <v>1920.0</v>
      </c>
      <c r="D248" s="3">
        <v>1970.0</v>
      </c>
      <c r="F248" s="3">
        <v>1990.0</v>
      </c>
      <c r="G248" s="3">
        <v>1950.0</v>
      </c>
      <c r="H248" s="3">
        <v>1900.0</v>
      </c>
      <c r="I248" s="3">
        <v>1990.0</v>
      </c>
    </row>
    <row r="249">
      <c r="A249" s="3">
        <v>1950.0</v>
      </c>
      <c r="B249" s="3">
        <v>1920.0</v>
      </c>
      <c r="C249" s="3">
        <v>1910.0</v>
      </c>
      <c r="D249" s="3">
        <v>1940.0</v>
      </c>
      <c r="F249" s="3">
        <v>1960.0</v>
      </c>
      <c r="G249" s="3">
        <v>1920.0</v>
      </c>
      <c r="H249" s="3">
        <v>1950.0</v>
      </c>
      <c r="I249" s="3">
        <v>2030.0</v>
      </c>
    </row>
    <row r="250">
      <c r="A250" s="3">
        <v>1990.0</v>
      </c>
      <c r="B250" s="3">
        <v>1910.0</v>
      </c>
      <c r="C250" s="3">
        <v>1960.0</v>
      </c>
      <c r="D250" s="3">
        <v>1900.0</v>
      </c>
      <c r="F250" s="3">
        <v>1970.0</v>
      </c>
      <c r="G250" s="3">
        <v>1910.0</v>
      </c>
      <c r="H250" s="3">
        <v>1900.0</v>
      </c>
      <c r="I250" s="3">
        <v>1960.0</v>
      </c>
    </row>
    <row r="251">
      <c r="A251" s="3">
        <v>1920.0</v>
      </c>
      <c r="B251" s="3">
        <v>1920.0</v>
      </c>
      <c r="C251" s="3">
        <v>1930.0</v>
      </c>
      <c r="D251" s="3">
        <v>1990.0</v>
      </c>
      <c r="F251" s="3">
        <v>1990.0</v>
      </c>
      <c r="G251" s="3">
        <v>1960.0</v>
      </c>
      <c r="H251" s="3">
        <v>1890.0</v>
      </c>
      <c r="I251" s="3">
        <v>1980.0</v>
      </c>
    </row>
    <row r="252">
      <c r="A252" s="3">
        <v>1930.0</v>
      </c>
      <c r="B252" s="3">
        <v>1900.0</v>
      </c>
      <c r="C252" s="3">
        <v>1960.0</v>
      </c>
      <c r="D252" s="3">
        <v>1960.0</v>
      </c>
      <c r="F252" s="3">
        <v>1960.0</v>
      </c>
      <c r="G252" s="3">
        <v>1930.0</v>
      </c>
      <c r="H252" s="3">
        <v>1860.0</v>
      </c>
      <c r="I252" s="3">
        <v>1890.0</v>
      </c>
    </row>
    <row r="253">
      <c r="A253" s="3">
        <v>1960.0</v>
      </c>
      <c r="B253" s="3">
        <v>1880.0</v>
      </c>
      <c r="C253" s="3">
        <v>1950.0</v>
      </c>
      <c r="D253" s="3">
        <v>1980.0</v>
      </c>
      <c r="F253" s="3">
        <v>2000.0</v>
      </c>
      <c r="G253" s="3">
        <v>1940.0</v>
      </c>
      <c r="H253" s="3">
        <v>1830.0</v>
      </c>
      <c r="I253" s="3">
        <v>1940.0</v>
      </c>
    </row>
    <row r="254">
      <c r="A254" s="3">
        <v>1900.0</v>
      </c>
      <c r="B254" s="3">
        <v>1890.0</v>
      </c>
      <c r="C254" s="3">
        <v>1930.0</v>
      </c>
      <c r="D254" s="3">
        <v>1960.0</v>
      </c>
      <c r="F254" s="3">
        <v>1950.0</v>
      </c>
      <c r="G254" s="3">
        <v>1940.0</v>
      </c>
      <c r="H254" s="3">
        <v>1900.0</v>
      </c>
      <c r="I254" s="3">
        <v>1920.0</v>
      </c>
    </row>
    <row r="255">
      <c r="A255" s="3">
        <v>1930.0</v>
      </c>
      <c r="B255" s="3">
        <v>1900.0</v>
      </c>
      <c r="C255" s="3">
        <v>1960.0</v>
      </c>
      <c r="D255" s="3">
        <v>2010.0</v>
      </c>
      <c r="F255" s="3">
        <v>1940.0</v>
      </c>
      <c r="G255" s="3">
        <v>1900.0</v>
      </c>
      <c r="H255" s="3">
        <v>1860.0</v>
      </c>
      <c r="I255" s="3">
        <v>1940.0</v>
      </c>
    </row>
    <row r="256">
      <c r="A256" s="3">
        <v>1900.0</v>
      </c>
      <c r="B256" s="3">
        <v>1870.0</v>
      </c>
      <c r="C256" s="3">
        <v>1900.0</v>
      </c>
      <c r="D256" s="3">
        <v>1960.0</v>
      </c>
      <c r="F256" s="3">
        <v>1900.0</v>
      </c>
      <c r="G256" s="3">
        <v>1960.0</v>
      </c>
      <c r="H256" s="3">
        <v>1940.0</v>
      </c>
      <c r="I256" s="3">
        <v>1900.0</v>
      </c>
    </row>
    <row r="257">
      <c r="A257" s="3">
        <v>1950.0</v>
      </c>
      <c r="B257" s="3">
        <v>1850.0</v>
      </c>
      <c r="C257" s="3">
        <v>1950.0</v>
      </c>
      <c r="D257" s="3">
        <v>1950.0</v>
      </c>
      <c r="F257" s="3">
        <v>1950.0</v>
      </c>
      <c r="G257" s="3">
        <v>1940.0</v>
      </c>
      <c r="H257" s="3">
        <v>1930.0</v>
      </c>
      <c r="I257" s="3">
        <v>1910.0</v>
      </c>
    </row>
    <row r="258">
      <c r="A258" s="4">
        <f t="shared" ref="A258:D258" si="37">round((SUM(A243:A257)/15),2)</f>
        <v>1951.33</v>
      </c>
      <c r="B258" s="5">
        <f t="shared" si="37"/>
        <v>1899.33</v>
      </c>
      <c r="C258" s="4">
        <f t="shared" si="37"/>
        <v>1936.67</v>
      </c>
      <c r="D258" s="4">
        <f t="shared" si="37"/>
        <v>1956</v>
      </c>
      <c r="F258" s="4">
        <f t="shared" ref="F258:I258" si="38">round((SUM(F243:F257)/15),2)</f>
        <v>1963.33</v>
      </c>
      <c r="G258" s="5">
        <f t="shared" si="38"/>
        <v>1927.33</v>
      </c>
      <c r="H258" s="4">
        <f t="shared" si="38"/>
        <v>1896</v>
      </c>
      <c r="I258" s="4">
        <f t="shared" si="38"/>
        <v>1937.33</v>
      </c>
    </row>
  </sheetData>
  <mergeCells count="38">
    <mergeCell ref="F221:I221"/>
    <mergeCell ref="K221:N221"/>
    <mergeCell ref="A181:D181"/>
    <mergeCell ref="F181:I181"/>
    <mergeCell ref="K181:N181"/>
    <mergeCell ref="A201:D201"/>
    <mergeCell ref="F201:I201"/>
    <mergeCell ref="K201:N201"/>
    <mergeCell ref="A221:D221"/>
    <mergeCell ref="F41:I41"/>
    <mergeCell ref="K41:N41"/>
    <mergeCell ref="A1:D1"/>
    <mergeCell ref="F1:I1"/>
    <mergeCell ref="K1:N1"/>
    <mergeCell ref="A21:D21"/>
    <mergeCell ref="F21:I21"/>
    <mergeCell ref="K21:N21"/>
    <mergeCell ref="A41:D41"/>
    <mergeCell ref="F101:I101"/>
    <mergeCell ref="K101:N101"/>
    <mergeCell ref="A61:D61"/>
    <mergeCell ref="F61:I61"/>
    <mergeCell ref="K61:N61"/>
    <mergeCell ref="A81:D81"/>
    <mergeCell ref="F81:I81"/>
    <mergeCell ref="K81:N81"/>
    <mergeCell ref="A101:D101"/>
    <mergeCell ref="F161:I161"/>
    <mergeCell ref="K161:N161"/>
    <mergeCell ref="A121:D121"/>
    <mergeCell ref="F121:I121"/>
    <mergeCell ref="K121:N121"/>
    <mergeCell ref="A141:D141"/>
    <mergeCell ref="F141:I141"/>
    <mergeCell ref="K141:N141"/>
    <mergeCell ref="A161:D161"/>
    <mergeCell ref="A241:D241"/>
    <mergeCell ref="F241:I2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6.25"/>
    <col customWidth="1" min="6" max="6" width="21.25"/>
    <col customWidth="1" min="7" max="7" width="25.0"/>
    <col customWidth="1" min="8" max="8" width="15.88"/>
    <col customWidth="1" min="9" max="9" width="15.13"/>
    <col customWidth="1" min="10" max="10" width="15.63"/>
    <col customWidth="1" min="11" max="11" width="15.88"/>
  </cols>
  <sheetData>
    <row r="1">
      <c r="A1" s="6" t="s">
        <v>50</v>
      </c>
      <c r="B1" s="7" t="s">
        <v>90</v>
      </c>
      <c r="F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B2" s="9" t="s">
        <v>4</v>
      </c>
      <c r="C2" s="9" t="s">
        <v>5</v>
      </c>
      <c r="D2" s="9" t="s">
        <v>6</v>
      </c>
      <c r="E2" s="9" t="s">
        <v>7</v>
      </c>
    </row>
    <row r="3">
      <c r="A3" s="10" t="s">
        <v>91</v>
      </c>
      <c r="B3" s="11">
        <v>47.4</v>
      </c>
      <c r="C3" s="11">
        <v>45.2</v>
      </c>
      <c r="D3" s="11">
        <v>52.2</v>
      </c>
      <c r="E3" s="11">
        <v>49.7</v>
      </c>
    </row>
    <row r="4">
      <c r="A4" s="10" t="s">
        <v>92</v>
      </c>
      <c r="B4" s="11">
        <v>7.0</v>
      </c>
      <c r="C4" s="11">
        <v>6.0</v>
      </c>
      <c r="D4" s="11">
        <v>10.0</v>
      </c>
      <c r="E4" s="11">
        <v>6.0</v>
      </c>
    </row>
    <row r="5">
      <c r="A5" s="10" t="s">
        <v>93</v>
      </c>
      <c r="B5" s="11">
        <v>21605.0</v>
      </c>
      <c r="C5" s="11">
        <v>21394.0</v>
      </c>
      <c r="D5" s="11">
        <v>21275.0</v>
      </c>
      <c r="E5" s="11">
        <v>21583.0</v>
      </c>
    </row>
    <row r="6">
      <c r="A6" s="10" t="s">
        <v>94</v>
      </c>
      <c r="B6" s="12">
        <f t="shared" ref="B6:E6" si="1">B12*30</f>
        <v>20400</v>
      </c>
      <c r="C6" s="12">
        <f t="shared" si="1"/>
        <v>20340</v>
      </c>
      <c r="D6" s="12">
        <f t="shared" si="1"/>
        <v>19410</v>
      </c>
      <c r="E6" s="12">
        <f t="shared" si="1"/>
        <v>20070</v>
      </c>
    </row>
    <row r="7">
      <c r="A7" s="10" t="s">
        <v>95</v>
      </c>
      <c r="B7" s="11">
        <v>10.0</v>
      </c>
      <c r="C7" s="11">
        <v>30.0</v>
      </c>
      <c r="D7" s="11">
        <v>40.0</v>
      </c>
      <c r="E7" s="11">
        <v>90.0</v>
      </c>
    </row>
    <row r="8">
      <c r="A8" s="10" t="s">
        <v>96</v>
      </c>
      <c r="B8" s="11">
        <v>5.0</v>
      </c>
      <c r="C8" s="11">
        <v>5.0</v>
      </c>
      <c r="D8" s="11">
        <v>20.0</v>
      </c>
      <c r="E8" s="11">
        <v>30.0</v>
      </c>
    </row>
    <row r="9">
      <c r="A9" s="10" t="s">
        <v>97</v>
      </c>
      <c r="B9" s="11">
        <v>0.0</v>
      </c>
      <c r="C9" s="11">
        <v>0.0</v>
      </c>
      <c r="D9" s="11">
        <v>0.0</v>
      </c>
      <c r="E9" s="11">
        <v>0.0</v>
      </c>
    </row>
    <row r="10">
      <c r="A10" s="10" t="s">
        <v>98</v>
      </c>
      <c r="B10" s="11">
        <v>2.0</v>
      </c>
      <c r="C10" s="11">
        <v>3.0</v>
      </c>
      <c r="D10" s="11">
        <v>1.6</v>
      </c>
      <c r="E10" s="11">
        <v>2.0</v>
      </c>
    </row>
    <row r="11">
      <c r="A11" s="10" t="s">
        <v>99</v>
      </c>
      <c r="B11" s="13">
        <f t="shared" ref="B11:E11" si="2">round(((B6/B5)*100),2)</f>
        <v>94.42</v>
      </c>
      <c r="C11" s="13">
        <f t="shared" si="2"/>
        <v>95.07</v>
      </c>
      <c r="D11" s="13">
        <f t="shared" si="2"/>
        <v>91.23</v>
      </c>
      <c r="E11" s="13">
        <f t="shared" si="2"/>
        <v>92.99</v>
      </c>
    </row>
    <row r="12">
      <c r="A12" s="10" t="s">
        <v>100</v>
      </c>
      <c r="B12" s="11">
        <v>680.0</v>
      </c>
      <c r="C12" s="11">
        <v>678.0</v>
      </c>
      <c r="D12" s="11">
        <v>647.0</v>
      </c>
      <c r="E12" s="11">
        <v>669.0</v>
      </c>
    </row>
    <row r="13">
      <c r="A13" s="14"/>
      <c r="B13" s="12"/>
      <c r="C13" s="12"/>
      <c r="D13" s="12"/>
      <c r="E13" s="12"/>
    </row>
    <row r="14">
      <c r="A14" s="10" t="s">
        <v>101</v>
      </c>
      <c r="B14" s="15" t="s">
        <v>102</v>
      </c>
      <c r="C14" s="16"/>
      <c r="D14" s="16"/>
      <c r="E14" s="16"/>
    </row>
    <row r="15">
      <c r="A15" s="10" t="s">
        <v>103</v>
      </c>
      <c r="B15" s="16" t="s">
        <v>104</v>
      </c>
    </row>
    <row r="16">
      <c r="A16" s="14"/>
      <c r="B16" s="12"/>
      <c r="C16" s="12"/>
      <c r="D16" s="12"/>
      <c r="E16" s="12"/>
    </row>
    <row r="17">
      <c r="A17" s="14"/>
      <c r="B17" s="12"/>
      <c r="C17" s="12"/>
      <c r="D17" s="12"/>
      <c r="E17" s="12"/>
    </row>
    <row r="18">
      <c r="A18" s="17"/>
      <c r="B18" s="7" t="s">
        <v>105</v>
      </c>
    </row>
    <row r="19">
      <c r="B19" s="9" t="s">
        <v>4</v>
      </c>
      <c r="C19" s="9" t="s">
        <v>5</v>
      </c>
      <c r="D19" s="9" t="s">
        <v>6</v>
      </c>
      <c r="E19" s="9" t="s">
        <v>7</v>
      </c>
    </row>
    <row r="20">
      <c r="A20" s="10" t="s">
        <v>91</v>
      </c>
      <c r="B20" s="11">
        <f t="shared" ref="B20:D20" si="3">B3+0.1</f>
        <v>47.5</v>
      </c>
      <c r="C20" s="11">
        <f t="shared" si="3"/>
        <v>45.3</v>
      </c>
      <c r="D20" s="11">
        <f t="shared" si="3"/>
        <v>52.3</v>
      </c>
      <c r="E20" s="11">
        <v>50.1</v>
      </c>
    </row>
    <row r="21">
      <c r="A21" s="10" t="s">
        <v>92</v>
      </c>
      <c r="B21" s="11">
        <v>8.0</v>
      </c>
      <c r="C21" s="11">
        <v>5.0</v>
      </c>
      <c r="D21" s="11">
        <v>4.0</v>
      </c>
      <c r="E21" s="11">
        <v>8.0</v>
      </c>
    </row>
    <row r="22">
      <c r="A22" s="10" t="s">
        <v>93</v>
      </c>
      <c r="B22" s="11">
        <f t="shared" ref="B22:E22" si="4">B5-B21</f>
        <v>21597</v>
      </c>
      <c r="C22" s="11">
        <f t="shared" si="4"/>
        <v>21389</v>
      </c>
      <c r="D22" s="11">
        <f t="shared" si="4"/>
        <v>21271</v>
      </c>
      <c r="E22" s="11">
        <f t="shared" si="4"/>
        <v>21575</v>
      </c>
    </row>
    <row r="23">
      <c r="A23" s="10" t="s">
        <v>94</v>
      </c>
      <c r="B23" s="12">
        <f t="shared" ref="B23:E23" si="5">B29*30</f>
        <v>20400</v>
      </c>
      <c r="C23" s="12">
        <f t="shared" si="5"/>
        <v>20280</v>
      </c>
      <c r="D23" s="12">
        <f t="shared" si="5"/>
        <v>19260</v>
      </c>
      <c r="E23" s="12">
        <f t="shared" si="5"/>
        <v>20610</v>
      </c>
    </row>
    <row r="24">
      <c r="A24" s="10" t="s">
        <v>95</v>
      </c>
      <c r="B24" s="11">
        <v>30.0</v>
      </c>
      <c r="C24" s="11">
        <v>25.0</v>
      </c>
      <c r="D24" s="11">
        <v>60.0</v>
      </c>
      <c r="E24" s="11">
        <v>30.0</v>
      </c>
    </row>
    <row r="25">
      <c r="A25" s="10" t="s">
        <v>96</v>
      </c>
      <c r="B25" s="11">
        <v>3.0</v>
      </c>
      <c r="C25" s="11">
        <v>10.0</v>
      </c>
      <c r="D25" s="11">
        <v>4.0</v>
      </c>
      <c r="E25" s="11">
        <v>30.0</v>
      </c>
    </row>
    <row r="26">
      <c r="A26" s="10" t="s">
        <v>97</v>
      </c>
      <c r="B26" s="11">
        <v>110.0</v>
      </c>
      <c r="C26" s="11">
        <v>110.0</v>
      </c>
      <c r="D26" s="11">
        <v>110.0</v>
      </c>
      <c r="E26" s="11">
        <v>110.0</v>
      </c>
    </row>
    <row r="27">
      <c r="A27" s="10" t="s">
        <v>98</v>
      </c>
      <c r="B27" s="11">
        <v>2.0</v>
      </c>
      <c r="C27" s="11">
        <v>3.0</v>
      </c>
      <c r="D27" s="11">
        <v>1.0</v>
      </c>
      <c r="E27" s="11">
        <v>2.0</v>
      </c>
    </row>
    <row r="28">
      <c r="A28" s="10" t="s">
        <v>99</v>
      </c>
      <c r="B28" s="13">
        <f t="shared" ref="B28:E28" si="6">round(((B23/B22)*100),2)</f>
        <v>94.46</v>
      </c>
      <c r="C28" s="13">
        <f t="shared" si="6"/>
        <v>94.82</v>
      </c>
      <c r="D28" s="13">
        <f t="shared" si="6"/>
        <v>90.55</v>
      </c>
      <c r="E28" s="13">
        <f t="shared" si="6"/>
        <v>95.53</v>
      </c>
    </row>
    <row r="29">
      <c r="A29" s="10" t="s">
        <v>100</v>
      </c>
      <c r="B29" s="11">
        <v>680.0</v>
      </c>
      <c r="C29" s="11">
        <v>676.0</v>
      </c>
      <c r="D29" s="11">
        <v>642.0</v>
      </c>
      <c r="E29" s="11">
        <v>687.0</v>
      </c>
    </row>
    <row r="30">
      <c r="A30" s="14"/>
      <c r="B30" s="12"/>
      <c r="C30" s="12"/>
      <c r="D30" s="12"/>
      <c r="E30" s="12"/>
    </row>
    <row r="31">
      <c r="A31" s="10" t="s">
        <v>101</v>
      </c>
      <c r="B31" s="15" t="s">
        <v>106</v>
      </c>
      <c r="C31" s="15" t="s">
        <v>107</v>
      </c>
      <c r="D31" s="15" t="s">
        <v>108</v>
      </c>
      <c r="E31" s="16"/>
    </row>
    <row r="32">
      <c r="A32" s="10" t="s">
        <v>103</v>
      </c>
      <c r="B32" s="16" t="s">
        <v>109</v>
      </c>
    </row>
    <row r="33">
      <c r="A33" s="14"/>
      <c r="B33" s="12"/>
      <c r="C33" s="12"/>
      <c r="D33" s="12"/>
      <c r="E33" s="12"/>
    </row>
    <row r="34">
      <c r="A34" s="18"/>
      <c r="B34" s="18"/>
      <c r="C34" s="18"/>
      <c r="D34" s="18"/>
      <c r="E34" s="18"/>
    </row>
    <row r="35">
      <c r="A35" s="19"/>
      <c r="B35" s="20" t="s">
        <v>110</v>
      </c>
    </row>
    <row r="36">
      <c r="B36" s="21" t="s">
        <v>4</v>
      </c>
      <c r="C36" s="21" t="s">
        <v>5</v>
      </c>
      <c r="D36" s="21" t="s">
        <v>6</v>
      </c>
      <c r="E36" s="21" t="s">
        <v>7</v>
      </c>
    </row>
    <row r="37">
      <c r="A37" s="22" t="s">
        <v>91</v>
      </c>
      <c r="B37" s="23">
        <f t="shared" ref="B37:E37" si="7">B20+0.1</f>
        <v>47.6</v>
      </c>
      <c r="C37" s="23">
        <f t="shared" si="7"/>
        <v>45.4</v>
      </c>
      <c r="D37" s="23">
        <f t="shared" si="7"/>
        <v>52.4</v>
      </c>
      <c r="E37" s="23">
        <f t="shared" si="7"/>
        <v>50.2</v>
      </c>
    </row>
    <row r="38">
      <c r="A38" s="22" t="s">
        <v>92</v>
      </c>
      <c r="B38" s="24">
        <v>6.0</v>
      </c>
      <c r="C38" s="24">
        <v>4.0</v>
      </c>
      <c r="D38" s="24">
        <v>7.0</v>
      </c>
      <c r="E38" s="24">
        <v>1.0</v>
      </c>
    </row>
    <row r="39">
      <c r="A39" s="22" t="s">
        <v>93</v>
      </c>
      <c r="B39" s="23">
        <f t="shared" ref="B39:E39" si="8">B22-B38</f>
        <v>21591</v>
      </c>
      <c r="C39" s="23">
        <f t="shared" si="8"/>
        <v>21385</v>
      </c>
      <c r="D39" s="23">
        <f t="shared" si="8"/>
        <v>21264</v>
      </c>
      <c r="E39" s="23">
        <f t="shared" si="8"/>
        <v>21574</v>
      </c>
    </row>
    <row r="40">
      <c r="A40" s="22" t="s">
        <v>94</v>
      </c>
      <c r="B40" s="23">
        <f t="shared" ref="B40:E40" si="9">B46*30</f>
        <v>20400</v>
      </c>
      <c r="C40" s="23">
        <f t="shared" si="9"/>
        <v>20190</v>
      </c>
      <c r="D40" s="23">
        <f t="shared" si="9"/>
        <v>19230</v>
      </c>
      <c r="E40" s="23">
        <f t="shared" si="9"/>
        <v>20040</v>
      </c>
    </row>
    <row r="41">
      <c r="A41" s="22" t="s">
        <v>95</v>
      </c>
      <c r="B41" s="24">
        <v>18.0</v>
      </c>
      <c r="C41" s="23">
        <v>25.0</v>
      </c>
      <c r="D41" s="23">
        <v>60.0</v>
      </c>
      <c r="E41" s="23">
        <v>30.0</v>
      </c>
    </row>
    <row r="42">
      <c r="A42" s="22" t="s">
        <v>96</v>
      </c>
      <c r="B42" s="24">
        <v>7.0</v>
      </c>
      <c r="C42" s="24">
        <v>7.0</v>
      </c>
      <c r="D42" s="24">
        <v>7.0</v>
      </c>
      <c r="E42" s="24">
        <v>5.0</v>
      </c>
    </row>
    <row r="43">
      <c r="A43" s="25" t="s">
        <v>111</v>
      </c>
      <c r="B43" s="24">
        <v>0.0</v>
      </c>
      <c r="C43" s="24">
        <v>0.0</v>
      </c>
      <c r="D43" s="24">
        <v>0.0</v>
      </c>
      <c r="E43" s="24">
        <v>0.0</v>
      </c>
    </row>
    <row r="44">
      <c r="A44" s="22" t="s">
        <v>98</v>
      </c>
      <c r="B44" s="24">
        <v>4.0</v>
      </c>
      <c r="C44" s="23">
        <v>3.0</v>
      </c>
      <c r="D44" s="24">
        <v>1.4</v>
      </c>
      <c r="E44" s="24">
        <v>1.0</v>
      </c>
    </row>
    <row r="45">
      <c r="A45" s="25" t="s">
        <v>112</v>
      </c>
      <c r="B45" s="26">
        <f t="shared" ref="B45:E45" si="10">round(((B40/B39)*100),2)</f>
        <v>94.48</v>
      </c>
      <c r="C45" s="26">
        <f t="shared" si="10"/>
        <v>94.41</v>
      </c>
      <c r="D45" s="26">
        <f t="shared" si="10"/>
        <v>90.43</v>
      </c>
      <c r="E45" s="26">
        <f t="shared" si="10"/>
        <v>92.89</v>
      </c>
    </row>
    <row r="46">
      <c r="A46" s="22" t="s">
        <v>100</v>
      </c>
      <c r="B46" s="23">
        <v>680.0</v>
      </c>
      <c r="C46" s="24">
        <v>673.0</v>
      </c>
      <c r="D46" s="24">
        <v>641.0</v>
      </c>
      <c r="E46" s="24">
        <v>668.0</v>
      </c>
    </row>
    <row r="47">
      <c r="A47" s="18"/>
      <c r="B47" s="18"/>
      <c r="C47" s="18"/>
      <c r="D47" s="18"/>
      <c r="E47" s="18"/>
    </row>
    <row r="48">
      <c r="A48" s="22" t="s">
        <v>103</v>
      </c>
      <c r="B48" s="27" t="s">
        <v>113</v>
      </c>
    </row>
    <row r="49">
      <c r="A49" s="14"/>
      <c r="B49" s="12"/>
      <c r="C49" s="12"/>
      <c r="D49" s="12"/>
      <c r="E49" s="12"/>
    </row>
    <row r="50">
      <c r="A50" s="14"/>
      <c r="B50" s="12"/>
      <c r="C50" s="12"/>
      <c r="D50" s="12"/>
      <c r="E50" s="12"/>
    </row>
    <row r="51">
      <c r="A51" s="19"/>
      <c r="B51" s="20" t="s">
        <v>114</v>
      </c>
    </row>
    <row r="52">
      <c r="B52" s="21" t="s">
        <v>4</v>
      </c>
      <c r="C52" s="21" t="s">
        <v>5</v>
      </c>
      <c r="D52" s="21" t="s">
        <v>6</v>
      </c>
      <c r="E52" s="21" t="s">
        <v>7</v>
      </c>
    </row>
    <row r="53">
      <c r="A53" s="22" t="s">
        <v>91</v>
      </c>
      <c r="B53" s="23">
        <f t="shared" ref="B53:E53" si="11">B37+0.1</f>
        <v>47.7</v>
      </c>
      <c r="C53" s="23">
        <f t="shared" si="11"/>
        <v>45.5</v>
      </c>
      <c r="D53" s="23">
        <f t="shared" si="11"/>
        <v>52.5</v>
      </c>
      <c r="E53" s="23">
        <f t="shared" si="11"/>
        <v>50.3</v>
      </c>
    </row>
    <row r="54">
      <c r="A54" s="22" t="s">
        <v>92</v>
      </c>
      <c r="B54" s="24">
        <v>7.0</v>
      </c>
      <c r="C54" s="24">
        <v>8.0</v>
      </c>
      <c r="D54" s="24">
        <v>8.0</v>
      </c>
      <c r="E54" s="24">
        <v>7.0</v>
      </c>
    </row>
    <row r="55">
      <c r="A55" s="22" t="s">
        <v>93</v>
      </c>
      <c r="B55" s="23">
        <f t="shared" ref="B55:E55" si="12">B39-B54</f>
        <v>21584</v>
      </c>
      <c r="C55" s="23">
        <f t="shared" si="12"/>
        <v>21377</v>
      </c>
      <c r="D55" s="23">
        <f t="shared" si="12"/>
        <v>21256</v>
      </c>
      <c r="E55" s="23">
        <f t="shared" si="12"/>
        <v>21567</v>
      </c>
    </row>
    <row r="56">
      <c r="A56" s="22" t="s">
        <v>94</v>
      </c>
      <c r="B56" s="23">
        <f t="shared" ref="B56:E56" si="13">B62*30</f>
        <v>20340</v>
      </c>
      <c r="C56" s="23">
        <f t="shared" si="13"/>
        <v>20160</v>
      </c>
      <c r="D56" s="23">
        <f t="shared" si="13"/>
        <v>19140</v>
      </c>
      <c r="E56" s="23">
        <f t="shared" si="13"/>
        <v>20460</v>
      </c>
    </row>
    <row r="57">
      <c r="A57" s="22" t="s">
        <v>95</v>
      </c>
      <c r="B57" s="24">
        <v>19.0</v>
      </c>
      <c r="C57" s="23">
        <v>25.0</v>
      </c>
      <c r="D57" s="24">
        <v>27.0</v>
      </c>
      <c r="E57" s="24">
        <v>150.0</v>
      </c>
    </row>
    <row r="58">
      <c r="A58" s="22" t="s">
        <v>96</v>
      </c>
      <c r="B58" s="24">
        <v>4.0</v>
      </c>
      <c r="C58" s="23">
        <v>7.0</v>
      </c>
      <c r="D58" s="24">
        <v>6.0</v>
      </c>
      <c r="E58" s="23">
        <v>5.0</v>
      </c>
    </row>
    <row r="59">
      <c r="A59" s="22" t="s">
        <v>111</v>
      </c>
      <c r="B59" s="23">
        <v>0.0</v>
      </c>
      <c r="C59" s="23">
        <v>0.0</v>
      </c>
      <c r="D59" s="23">
        <v>0.0</v>
      </c>
      <c r="E59" s="23">
        <v>0.0</v>
      </c>
    </row>
    <row r="60">
      <c r="A60" s="22" t="s">
        <v>98</v>
      </c>
      <c r="B60" s="23">
        <v>4.0</v>
      </c>
      <c r="C60" s="24">
        <v>2.0</v>
      </c>
      <c r="D60" s="24">
        <v>2.0</v>
      </c>
      <c r="E60" s="24">
        <v>2.0</v>
      </c>
    </row>
    <row r="61">
      <c r="A61" s="22" t="s">
        <v>112</v>
      </c>
      <c r="B61" s="26">
        <f t="shared" ref="B61:E61" si="14">round(((B56/B55)*100),2)</f>
        <v>94.24</v>
      </c>
      <c r="C61" s="26">
        <f t="shared" si="14"/>
        <v>94.31</v>
      </c>
      <c r="D61" s="26">
        <f t="shared" si="14"/>
        <v>90.05</v>
      </c>
      <c r="E61" s="26">
        <f t="shared" si="14"/>
        <v>94.87</v>
      </c>
    </row>
    <row r="62">
      <c r="A62" s="22" t="s">
        <v>100</v>
      </c>
      <c r="B62" s="24">
        <v>678.0</v>
      </c>
      <c r="C62" s="24">
        <v>672.0</v>
      </c>
      <c r="D62" s="24">
        <v>638.0</v>
      </c>
      <c r="E62" s="24">
        <v>682.0</v>
      </c>
    </row>
    <row r="63">
      <c r="A63" s="18"/>
      <c r="B63" s="18"/>
      <c r="C63" s="18"/>
      <c r="D63" s="18"/>
      <c r="E63" s="18"/>
    </row>
    <row r="64">
      <c r="A64" s="22" t="s">
        <v>103</v>
      </c>
      <c r="B64" s="27" t="s">
        <v>115</v>
      </c>
    </row>
    <row r="65">
      <c r="A65" s="14"/>
      <c r="B65" s="12"/>
      <c r="C65" s="12"/>
      <c r="D65" s="12"/>
      <c r="E65" s="12"/>
    </row>
    <row r="66">
      <c r="A66" s="14"/>
      <c r="B66" s="12"/>
      <c r="C66" s="12"/>
      <c r="D66" s="12"/>
      <c r="E66" s="12"/>
    </row>
    <row r="67">
      <c r="A67" s="19"/>
      <c r="B67" s="20" t="s">
        <v>116</v>
      </c>
    </row>
    <row r="68">
      <c r="B68" s="21" t="s">
        <v>4</v>
      </c>
      <c r="C68" s="21" t="s">
        <v>5</v>
      </c>
      <c r="D68" s="21" t="s">
        <v>6</v>
      </c>
      <c r="E68" s="21" t="s">
        <v>7</v>
      </c>
    </row>
    <row r="69">
      <c r="A69" s="22" t="s">
        <v>91</v>
      </c>
      <c r="B69" s="24">
        <v>48.1</v>
      </c>
      <c r="C69" s="23">
        <f t="shared" ref="C69:E69" si="15">C53+0.1</f>
        <v>45.6</v>
      </c>
      <c r="D69" s="23">
        <f t="shared" si="15"/>
        <v>52.6</v>
      </c>
      <c r="E69" s="23">
        <f t="shared" si="15"/>
        <v>50.4</v>
      </c>
    </row>
    <row r="70">
      <c r="A70" s="22" t="s">
        <v>92</v>
      </c>
      <c r="B70" s="24">
        <v>7.0</v>
      </c>
      <c r="C70" s="24">
        <v>5.0</v>
      </c>
      <c r="D70" s="24">
        <v>3.0</v>
      </c>
      <c r="E70" s="24">
        <v>5.0</v>
      </c>
    </row>
    <row r="71">
      <c r="A71" s="22" t="s">
        <v>93</v>
      </c>
      <c r="B71" s="23">
        <f t="shared" ref="B71:E71" si="16">B55-B70</f>
        <v>21577</v>
      </c>
      <c r="C71" s="23">
        <f t="shared" si="16"/>
        <v>21372</v>
      </c>
      <c r="D71" s="23">
        <f t="shared" si="16"/>
        <v>21253</v>
      </c>
      <c r="E71" s="23">
        <f t="shared" si="16"/>
        <v>21562</v>
      </c>
    </row>
    <row r="72">
      <c r="A72" s="22" t="s">
        <v>94</v>
      </c>
      <c r="B72" s="23">
        <f t="shared" ref="B72:E72" si="17">B78*30</f>
        <v>20400</v>
      </c>
      <c r="C72" s="23">
        <f t="shared" si="17"/>
        <v>20250</v>
      </c>
      <c r="D72" s="23">
        <f t="shared" si="17"/>
        <v>19140</v>
      </c>
      <c r="E72" s="23">
        <f t="shared" si="17"/>
        <v>20370</v>
      </c>
    </row>
    <row r="73">
      <c r="A73" s="22" t="s">
        <v>95</v>
      </c>
      <c r="B73" s="24">
        <v>18.0</v>
      </c>
      <c r="C73" s="23">
        <v>25.0</v>
      </c>
      <c r="D73" s="24">
        <v>60.0</v>
      </c>
      <c r="E73" s="24">
        <v>36.0</v>
      </c>
    </row>
    <row r="74">
      <c r="A74" s="22" t="s">
        <v>96</v>
      </c>
      <c r="B74" s="24">
        <v>2.0</v>
      </c>
      <c r="C74" s="24">
        <v>12.0</v>
      </c>
      <c r="D74" s="24">
        <v>5.0</v>
      </c>
      <c r="E74" s="24">
        <v>0.0</v>
      </c>
    </row>
    <row r="75">
      <c r="A75" s="22" t="s">
        <v>111</v>
      </c>
      <c r="B75" s="23">
        <v>0.0</v>
      </c>
      <c r="C75" s="23">
        <v>0.0</v>
      </c>
      <c r="D75" s="23">
        <v>0.0</v>
      </c>
      <c r="E75" s="23">
        <v>0.0</v>
      </c>
    </row>
    <row r="76">
      <c r="A76" s="22" t="s">
        <v>98</v>
      </c>
      <c r="B76" s="24">
        <v>2.0</v>
      </c>
      <c r="C76" s="24">
        <v>2.0</v>
      </c>
      <c r="D76" s="24">
        <v>1.0</v>
      </c>
      <c r="E76" s="24">
        <v>2.0</v>
      </c>
    </row>
    <row r="77">
      <c r="A77" s="22" t="s">
        <v>112</v>
      </c>
      <c r="B77" s="26">
        <f t="shared" ref="B77:E77" si="18">round(((B72/B71)*100),2)</f>
        <v>94.55</v>
      </c>
      <c r="C77" s="26">
        <f t="shared" si="18"/>
        <v>94.75</v>
      </c>
      <c r="D77" s="26">
        <f t="shared" si="18"/>
        <v>90.06</v>
      </c>
      <c r="E77" s="26">
        <f t="shared" si="18"/>
        <v>94.47</v>
      </c>
    </row>
    <row r="78">
      <c r="A78" s="22" t="s">
        <v>100</v>
      </c>
      <c r="B78" s="24">
        <v>680.0</v>
      </c>
      <c r="C78" s="24">
        <v>675.0</v>
      </c>
      <c r="D78" s="24">
        <v>638.0</v>
      </c>
      <c r="E78" s="24">
        <v>679.0</v>
      </c>
    </row>
    <row r="79">
      <c r="A79" s="18"/>
      <c r="B79" s="18"/>
      <c r="C79" s="18"/>
      <c r="D79" s="18"/>
      <c r="E79" s="18"/>
    </row>
    <row r="80">
      <c r="A80" s="22" t="s">
        <v>103</v>
      </c>
      <c r="B80" s="27" t="s">
        <v>117</v>
      </c>
    </row>
    <row r="81">
      <c r="A81" s="14"/>
      <c r="B81" s="12"/>
      <c r="C81" s="12"/>
      <c r="D81" s="12"/>
      <c r="E81" s="12"/>
    </row>
    <row r="82">
      <c r="A82" s="14"/>
      <c r="B82" s="12"/>
      <c r="C82" s="12"/>
      <c r="D82" s="12"/>
      <c r="E82" s="12"/>
    </row>
    <row r="83">
      <c r="A83" s="19"/>
      <c r="B83" s="20" t="s">
        <v>118</v>
      </c>
    </row>
    <row r="84">
      <c r="B84" s="21" t="s">
        <v>4</v>
      </c>
      <c r="C84" s="21" t="s">
        <v>5</v>
      </c>
      <c r="D84" s="21" t="s">
        <v>6</v>
      </c>
      <c r="E84" s="21" t="s">
        <v>7</v>
      </c>
    </row>
    <row r="85">
      <c r="A85" s="22" t="s">
        <v>91</v>
      </c>
      <c r="B85" s="24">
        <f t="shared" ref="B85:E85" si="19">B69+0.1</f>
        <v>48.2</v>
      </c>
      <c r="C85" s="23">
        <f t="shared" si="19"/>
        <v>45.7</v>
      </c>
      <c r="D85" s="23">
        <f t="shared" si="19"/>
        <v>52.7</v>
      </c>
      <c r="E85" s="23">
        <f t="shared" si="19"/>
        <v>50.5</v>
      </c>
    </row>
    <row r="86">
      <c r="A86" s="22" t="s">
        <v>92</v>
      </c>
      <c r="B86" s="24">
        <v>5.0</v>
      </c>
      <c r="C86" s="24">
        <v>4.0</v>
      </c>
      <c r="D86" s="24">
        <v>3.0</v>
      </c>
      <c r="E86" s="24">
        <v>4.0</v>
      </c>
    </row>
    <row r="87">
      <c r="A87" s="22" t="s">
        <v>93</v>
      </c>
      <c r="B87" s="23">
        <f t="shared" ref="B87:E87" si="20">B71-B86</f>
        <v>21572</v>
      </c>
      <c r="C87" s="23">
        <f t="shared" si="20"/>
        <v>21368</v>
      </c>
      <c r="D87" s="23">
        <f t="shared" si="20"/>
        <v>21250</v>
      </c>
      <c r="E87" s="23">
        <f t="shared" si="20"/>
        <v>21558</v>
      </c>
    </row>
    <row r="88">
      <c r="A88" s="22" t="s">
        <v>94</v>
      </c>
      <c r="B88" s="23">
        <f t="shared" ref="B88:E88" si="21">B94*30</f>
        <v>20400</v>
      </c>
      <c r="C88" s="23">
        <f t="shared" si="21"/>
        <v>20250</v>
      </c>
      <c r="D88" s="23">
        <f t="shared" si="21"/>
        <v>19050</v>
      </c>
      <c r="E88" s="23">
        <f t="shared" si="21"/>
        <v>20520</v>
      </c>
    </row>
    <row r="89">
      <c r="A89" s="22" t="s">
        <v>95</v>
      </c>
      <c r="B89" s="24">
        <v>27.0</v>
      </c>
      <c r="C89" s="24">
        <v>15.0</v>
      </c>
      <c r="D89" s="24">
        <v>35.0</v>
      </c>
      <c r="E89" s="24">
        <v>6.0</v>
      </c>
    </row>
    <row r="90">
      <c r="A90" s="22" t="s">
        <v>96</v>
      </c>
      <c r="B90" s="24">
        <v>3.0</v>
      </c>
      <c r="C90" s="24">
        <v>5.0</v>
      </c>
      <c r="D90" s="24">
        <v>5.0</v>
      </c>
      <c r="E90" s="24">
        <v>4.0</v>
      </c>
    </row>
    <row r="91">
      <c r="A91" s="22" t="s">
        <v>111</v>
      </c>
      <c r="B91" s="23">
        <v>0.0</v>
      </c>
      <c r="C91" s="23">
        <v>0.0</v>
      </c>
      <c r="D91" s="23">
        <v>0.0</v>
      </c>
      <c r="E91" s="23">
        <v>0.0</v>
      </c>
    </row>
    <row r="92">
      <c r="A92" s="22" t="s">
        <v>98</v>
      </c>
      <c r="B92" s="24">
        <v>3.0</v>
      </c>
      <c r="C92" s="24">
        <v>2.0</v>
      </c>
      <c r="D92" s="24" t="s">
        <v>119</v>
      </c>
      <c r="E92" s="24">
        <v>2.0</v>
      </c>
    </row>
    <row r="93">
      <c r="A93" s="22" t="s">
        <v>112</v>
      </c>
      <c r="B93" s="26">
        <f t="shared" ref="B93:E93" si="22">round(((B88/B87)*100),2)</f>
        <v>94.57</v>
      </c>
      <c r="C93" s="26">
        <f t="shared" si="22"/>
        <v>94.77</v>
      </c>
      <c r="D93" s="26">
        <f t="shared" si="22"/>
        <v>89.65</v>
      </c>
      <c r="E93" s="26">
        <f t="shared" si="22"/>
        <v>95.19</v>
      </c>
    </row>
    <row r="94">
      <c r="A94" s="22" t="s">
        <v>100</v>
      </c>
      <c r="B94" s="24">
        <v>680.0</v>
      </c>
      <c r="C94" s="24">
        <v>675.0</v>
      </c>
      <c r="D94" s="24">
        <v>635.0</v>
      </c>
      <c r="E94" s="24">
        <v>684.0</v>
      </c>
    </row>
    <row r="95">
      <c r="A95" s="18"/>
      <c r="B95" s="18"/>
      <c r="C95" s="18"/>
      <c r="D95" s="18"/>
      <c r="E95" s="18"/>
    </row>
    <row r="96">
      <c r="A96" s="22" t="s">
        <v>103</v>
      </c>
      <c r="B96" s="27" t="s">
        <v>120</v>
      </c>
    </row>
    <row r="97">
      <c r="A97" s="14"/>
      <c r="B97" s="12"/>
      <c r="C97" s="12"/>
      <c r="D97" s="12"/>
      <c r="E97" s="12"/>
    </row>
    <row r="98">
      <c r="A98" s="14"/>
      <c r="B98" s="12"/>
      <c r="C98" s="12"/>
      <c r="D98" s="12"/>
      <c r="E98" s="12"/>
    </row>
    <row r="99">
      <c r="A99" s="19"/>
      <c r="B99" s="20" t="s">
        <v>121</v>
      </c>
    </row>
    <row r="100">
      <c r="B100" s="21" t="s">
        <v>4</v>
      </c>
      <c r="C100" s="21" t="s">
        <v>5</v>
      </c>
      <c r="D100" s="21" t="s">
        <v>6</v>
      </c>
      <c r="E100" s="21" t="s">
        <v>7</v>
      </c>
    </row>
    <row r="101">
      <c r="A101" s="22" t="s">
        <v>91</v>
      </c>
      <c r="B101" s="24">
        <f>B85+0.1</f>
        <v>48.3</v>
      </c>
      <c r="C101" s="24">
        <v>46.1</v>
      </c>
      <c r="D101" s="24">
        <v>53.1</v>
      </c>
      <c r="E101" s="23">
        <f>E85+0.1</f>
        <v>50.6</v>
      </c>
    </row>
    <row r="102">
      <c r="A102" s="22" t="s">
        <v>92</v>
      </c>
      <c r="B102" s="24">
        <v>6.0</v>
      </c>
      <c r="C102" s="24">
        <v>3.0</v>
      </c>
      <c r="D102" s="24">
        <v>4.0</v>
      </c>
      <c r="E102" s="24">
        <v>3.0</v>
      </c>
    </row>
    <row r="103">
      <c r="A103" s="22" t="s">
        <v>93</v>
      </c>
      <c r="B103" s="23">
        <f t="shared" ref="B103:E103" si="23">B87-B102</f>
        <v>21566</v>
      </c>
      <c r="C103" s="23">
        <f t="shared" si="23"/>
        <v>21365</v>
      </c>
      <c r="D103" s="23">
        <f t="shared" si="23"/>
        <v>21246</v>
      </c>
      <c r="E103" s="23">
        <f t="shared" si="23"/>
        <v>21555</v>
      </c>
    </row>
    <row r="104">
      <c r="A104" s="22" t="s">
        <v>94</v>
      </c>
      <c r="B104" s="23">
        <f t="shared" ref="B104:E104" si="24">B110*30</f>
        <v>20400</v>
      </c>
      <c r="C104" s="23">
        <f t="shared" si="24"/>
        <v>20280</v>
      </c>
      <c r="D104" s="23">
        <f t="shared" si="24"/>
        <v>19020</v>
      </c>
      <c r="E104" s="23">
        <f t="shared" si="24"/>
        <v>19800</v>
      </c>
    </row>
    <row r="105">
      <c r="A105" s="22" t="s">
        <v>95</v>
      </c>
      <c r="B105" s="24">
        <v>24.0</v>
      </c>
      <c r="C105" s="24">
        <v>20.0</v>
      </c>
      <c r="D105" s="24">
        <v>20.0</v>
      </c>
      <c r="E105" s="24">
        <v>14.0</v>
      </c>
    </row>
    <row r="106">
      <c r="A106" s="22" t="s">
        <v>96</v>
      </c>
      <c r="B106" s="24">
        <v>6.0</v>
      </c>
      <c r="C106" s="24">
        <v>3.0</v>
      </c>
      <c r="D106" s="24">
        <v>4.0</v>
      </c>
      <c r="E106" s="24">
        <v>2.0</v>
      </c>
    </row>
    <row r="107">
      <c r="A107" s="22" t="s">
        <v>111</v>
      </c>
      <c r="B107" s="23">
        <v>0.0</v>
      </c>
      <c r="C107" s="23">
        <v>0.0</v>
      </c>
      <c r="D107" s="23">
        <v>0.0</v>
      </c>
      <c r="E107" s="23">
        <v>0.0</v>
      </c>
    </row>
    <row r="108">
      <c r="A108" s="22" t="s">
        <v>98</v>
      </c>
      <c r="B108" s="24">
        <v>2.0</v>
      </c>
      <c r="C108" s="24">
        <v>2.0</v>
      </c>
      <c r="D108" s="24">
        <v>1.0</v>
      </c>
      <c r="E108" s="24" t="s">
        <v>119</v>
      </c>
    </row>
    <row r="109">
      <c r="A109" s="22" t="s">
        <v>112</v>
      </c>
      <c r="B109" s="26">
        <f t="shared" ref="B109:E109" si="25">round(((B104/B103)*100),2)</f>
        <v>94.59</v>
      </c>
      <c r="C109" s="26">
        <f t="shared" si="25"/>
        <v>94.92</v>
      </c>
      <c r="D109" s="26">
        <f t="shared" si="25"/>
        <v>89.52</v>
      </c>
      <c r="E109" s="26">
        <f t="shared" si="25"/>
        <v>91.86</v>
      </c>
    </row>
    <row r="110">
      <c r="A110" s="22" t="s">
        <v>100</v>
      </c>
      <c r="B110" s="24">
        <v>680.0</v>
      </c>
      <c r="C110" s="24">
        <v>676.0</v>
      </c>
      <c r="D110" s="24">
        <v>634.0</v>
      </c>
      <c r="E110" s="24">
        <v>660.0</v>
      </c>
    </row>
    <row r="111">
      <c r="A111" s="18"/>
      <c r="B111" s="18"/>
      <c r="C111" s="18"/>
      <c r="D111" s="18"/>
      <c r="E111" s="18"/>
    </row>
    <row r="112">
      <c r="A112" s="22" t="s">
        <v>103</v>
      </c>
      <c r="B112" s="27" t="s">
        <v>122</v>
      </c>
    </row>
    <row r="113">
      <c r="A113" s="14"/>
      <c r="B113" s="12"/>
      <c r="C113" s="12"/>
      <c r="D113" s="12"/>
      <c r="E113" s="12"/>
    </row>
    <row r="114">
      <c r="A114" s="14"/>
      <c r="B114" s="12"/>
      <c r="C114" s="12"/>
      <c r="D114" s="12"/>
      <c r="E114" s="12"/>
    </row>
    <row r="115">
      <c r="A115" s="19"/>
      <c r="B115" s="20" t="s">
        <v>123</v>
      </c>
    </row>
    <row r="116">
      <c r="B116" s="21" t="s">
        <v>4</v>
      </c>
      <c r="C116" s="21" t="s">
        <v>5</v>
      </c>
      <c r="D116" s="21" t="s">
        <v>6</v>
      </c>
      <c r="E116" s="21" t="s">
        <v>7</v>
      </c>
    </row>
    <row r="117">
      <c r="A117" s="22" t="s">
        <v>91</v>
      </c>
      <c r="B117" s="24">
        <f t="shared" ref="B117:E117" si="26">B101+0.1</f>
        <v>48.4</v>
      </c>
      <c r="C117" s="24">
        <f t="shared" si="26"/>
        <v>46.2</v>
      </c>
      <c r="D117" s="24">
        <f t="shared" si="26"/>
        <v>53.2</v>
      </c>
      <c r="E117" s="23">
        <f t="shared" si="26"/>
        <v>50.7</v>
      </c>
    </row>
    <row r="118">
      <c r="A118" s="22" t="s">
        <v>92</v>
      </c>
      <c r="B118" s="24">
        <v>3.0</v>
      </c>
      <c r="C118" s="24">
        <v>3.0</v>
      </c>
      <c r="D118" s="24">
        <v>10.0</v>
      </c>
      <c r="E118" s="24">
        <v>4.0</v>
      </c>
    </row>
    <row r="119">
      <c r="A119" s="22" t="s">
        <v>93</v>
      </c>
      <c r="B119" s="23">
        <f>B103-B118-11</f>
        <v>21552</v>
      </c>
      <c r="C119" s="23">
        <f>C103-C118-14</f>
        <v>21348</v>
      </c>
      <c r="D119" s="23">
        <f t="shared" ref="D119:E119" si="27">D103-D118</f>
        <v>21236</v>
      </c>
      <c r="E119" s="23">
        <f t="shared" si="27"/>
        <v>21551</v>
      </c>
    </row>
    <row r="120">
      <c r="A120" s="22" t="s">
        <v>94</v>
      </c>
      <c r="B120" s="23">
        <f t="shared" ref="B120:E120" si="28">B126*30</f>
        <v>20250</v>
      </c>
      <c r="C120" s="23">
        <f t="shared" si="28"/>
        <v>20280</v>
      </c>
      <c r="D120" s="23">
        <f t="shared" si="28"/>
        <v>19380</v>
      </c>
      <c r="E120" s="23">
        <f t="shared" si="28"/>
        <v>19740</v>
      </c>
    </row>
    <row r="121">
      <c r="A121" s="22" t="s">
        <v>95</v>
      </c>
      <c r="B121" s="24">
        <v>18.0</v>
      </c>
      <c r="C121" s="24">
        <v>20.0</v>
      </c>
      <c r="D121" s="24">
        <v>0.0</v>
      </c>
      <c r="E121" s="24">
        <v>20.0</v>
      </c>
    </row>
    <row r="122">
      <c r="A122" s="22" t="s">
        <v>96</v>
      </c>
      <c r="B122" s="24">
        <v>2.0</v>
      </c>
      <c r="C122" s="24">
        <v>12.0</v>
      </c>
      <c r="D122" s="24">
        <v>6.0</v>
      </c>
      <c r="E122" s="24">
        <v>5.0</v>
      </c>
    </row>
    <row r="123">
      <c r="A123" s="22" t="s">
        <v>111</v>
      </c>
      <c r="B123" s="23">
        <v>0.0</v>
      </c>
      <c r="C123" s="23">
        <v>0.0</v>
      </c>
      <c r="D123" s="23">
        <v>0.0</v>
      </c>
      <c r="E123" s="23">
        <v>0.0</v>
      </c>
    </row>
    <row r="124">
      <c r="A124" s="22" t="s">
        <v>98</v>
      </c>
      <c r="B124" s="24">
        <v>3.0</v>
      </c>
      <c r="C124" s="24">
        <v>3.0</v>
      </c>
      <c r="D124" s="24">
        <v>1.0</v>
      </c>
      <c r="E124" s="24" t="s">
        <v>124</v>
      </c>
    </row>
    <row r="125">
      <c r="A125" s="22" t="s">
        <v>112</v>
      </c>
      <c r="B125" s="26">
        <f t="shared" ref="B125:E125" si="29">round(((B120/B119)*100),2)</f>
        <v>93.96</v>
      </c>
      <c r="C125" s="26">
        <f t="shared" si="29"/>
        <v>95</v>
      </c>
      <c r="D125" s="26">
        <f t="shared" si="29"/>
        <v>91.26</v>
      </c>
      <c r="E125" s="26">
        <f t="shared" si="29"/>
        <v>91.6</v>
      </c>
    </row>
    <row r="126">
      <c r="A126" s="22" t="s">
        <v>100</v>
      </c>
      <c r="B126" s="24">
        <v>675.0</v>
      </c>
      <c r="C126" s="24">
        <v>676.0</v>
      </c>
      <c r="D126" s="24">
        <v>646.0</v>
      </c>
      <c r="E126" s="24">
        <v>658.0</v>
      </c>
    </row>
    <row r="127">
      <c r="A127" s="18"/>
      <c r="B127" s="18"/>
      <c r="C127" s="18"/>
      <c r="D127" s="18"/>
      <c r="E127" s="18"/>
    </row>
    <row r="128">
      <c r="A128" s="10" t="s">
        <v>101</v>
      </c>
      <c r="B128" s="15" t="s">
        <v>125</v>
      </c>
      <c r="C128" s="15" t="s">
        <v>126</v>
      </c>
      <c r="D128" s="15" t="s">
        <v>127</v>
      </c>
      <c r="E128" s="18"/>
    </row>
    <row r="129">
      <c r="A129" s="22" t="s">
        <v>103</v>
      </c>
      <c r="B129" s="27" t="s">
        <v>128</v>
      </c>
    </row>
    <row r="130">
      <c r="A130" s="14"/>
      <c r="B130" s="12"/>
      <c r="C130" s="12"/>
      <c r="D130" s="12"/>
      <c r="E130" s="12"/>
    </row>
    <row r="131">
      <c r="A131" s="14"/>
      <c r="B131" s="12"/>
      <c r="C131" s="12"/>
      <c r="D131" s="12"/>
      <c r="E131" s="12"/>
    </row>
    <row r="132">
      <c r="A132" s="19"/>
      <c r="B132" s="20" t="s">
        <v>129</v>
      </c>
    </row>
    <row r="133">
      <c r="B133" s="21" t="s">
        <v>4</v>
      </c>
      <c r="C133" s="21" t="s">
        <v>5</v>
      </c>
      <c r="D133" s="21" t="s">
        <v>6</v>
      </c>
      <c r="E133" s="21" t="s">
        <v>7</v>
      </c>
    </row>
    <row r="134">
      <c r="A134" s="22" t="s">
        <v>91</v>
      </c>
      <c r="B134" s="24">
        <f t="shared" ref="B134:D134" si="30">B117+0.1</f>
        <v>48.5</v>
      </c>
      <c r="C134" s="24">
        <f t="shared" si="30"/>
        <v>46.3</v>
      </c>
      <c r="D134" s="24">
        <f t="shared" si="30"/>
        <v>53.3</v>
      </c>
      <c r="E134" s="24">
        <v>51.1</v>
      </c>
    </row>
    <row r="135">
      <c r="A135" s="22" t="s">
        <v>92</v>
      </c>
      <c r="B135" s="24">
        <v>6.0</v>
      </c>
      <c r="C135" s="24">
        <v>6.0</v>
      </c>
      <c r="D135" s="24">
        <v>5.0</v>
      </c>
      <c r="E135" s="24">
        <v>4.0</v>
      </c>
    </row>
    <row r="136">
      <c r="A136" s="22" t="s">
        <v>93</v>
      </c>
      <c r="B136" s="23">
        <f t="shared" ref="B136:E136" si="31">B119-B135</f>
        <v>21546</v>
      </c>
      <c r="C136" s="23">
        <f t="shared" si="31"/>
        <v>21342</v>
      </c>
      <c r="D136" s="23">
        <f t="shared" si="31"/>
        <v>21231</v>
      </c>
      <c r="E136" s="23">
        <f t="shared" si="31"/>
        <v>21547</v>
      </c>
    </row>
    <row r="137">
      <c r="A137" s="22" t="s">
        <v>94</v>
      </c>
      <c r="B137" s="23">
        <f t="shared" ref="B137:E137" si="32">B143*30</f>
        <v>20250</v>
      </c>
      <c r="C137" s="23">
        <f t="shared" si="32"/>
        <v>20220</v>
      </c>
      <c r="D137" s="23">
        <f t="shared" si="32"/>
        <v>19230</v>
      </c>
      <c r="E137" s="23">
        <f t="shared" si="32"/>
        <v>19800</v>
      </c>
    </row>
    <row r="138">
      <c r="A138" s="22" t="s">
        <v>95</v>
      </c>
      <c r="B138" s="24">
        <v>12.0</v>
      </c>
      <c r="C138" s="24">
        <v>25.0</v>
      </c>
      <c r="D138" s="24">
        <v>5.0</v>
      </c>
      <c r="E138" s="24">
        <v>25.0</v>
      </c>
    </row>
    <row r="139">
      <c r="A139" s="22" t="s">
        <v>96</v>
      </c>
      <c r="B139" s="24">
        <v>3.0</v>
      </c>
      <c r="C139" s="24">
        <v>5.0</v>
      </c>
      <c r="D139" s="24">
        <v>2.0</v>
      </c>
      <c r="E139" s="24">
        <v>4.0</v>
      </c>
    </row>
    <row r="140">
      <c r="A140" s="22" t="s">
        <v>111</v>
      </c>
      <c r="B140" s="24">
        <v>110.0</v>
      </c>
      <c r="C140" s="24">
        <v>110.0</v>
      </c>
      <c r="D140" s="24">
        <v>110.0</v>
      </c>
      <c r="E140" s="24">
        <v>110.0</v>
      </c>
    </row>
    <row r="141">
      <c r="A141" s="22" t="s">
        <v>98</v>
      </c>
      <c r="B141" s="24">
        <v>2.0</v>
      </c>
      <c r="C141" s="24">
        <v>3.0</v>
      </c>
      <c r="D141" s="24">
        <v>1.0</v>
      </c>
      <c r="E141" s="24">
        <v>2.0</v>
      </c>
    </row>
    <row r="142">
      <c r="A142" s="22" t="s">
        <v>112</v>
      </c>
      <c r="B142" s="26">
        <f t="shared" ref="B142:E142" si="33">round(((B137/B136)*100),2)</f>
        <v>93.98</v>
      </c>
      <c r="C142" s="26">
        <f t="shared" si="33"/>
        <v>94.74</v>
      </c>
      <c r="D142" s="26">
        <f t="shared" si="33"/>
        <v>90.58</v>
      </c>
      <c r="E142" s="26">
        <f t="shared" si="33"/>
        <v>91.89</v>
      </c>
    </row>
    <row r="143">
      <c r="A143" s="22" t="s">
        <v>100</v>
      </c>
      <c r="B143" s="24">
        <v>675.0</v>
      </c>
      <c r="C143" s="24">
        <v>674.0</v>
      </c>
      <c r="D143" s="24">
        <v>641.0</v>
      </c>
      <c r="E143" s="24">
        <v>660.0</v>
      </c>
    </row>
    <row r="144">
      <c r="A144" s="18"/>
      <c r="B144" s="18"/>
      <c r="C144" s="18"/>
      <c r="D144" s="18"/>
      <c r="E144" s="18"/>
    </row>
    <row r="145">
      <c r="A145" s="22" t="s">
        <v>103</v>
      </c>
      <c r="B145" s="27" t="s">
        <v>130</v>
      </c>
    </row>
    <row r="146">
      <c r="A146" s="14"/>
      <c r="B146" s="12"/>
      <c r="C146" s="12"/>
      <c r="D146" s="12"/>
      <c r="E146" s="12"/>
    </row>
    <row r="147">
      <c r="A147" s="14"/>
      <c r="B147" s="12"/>
      <c r="C147" s="12"/>
      <c r="D147" s="12"/>
      <c r="E147" s="12"/>
      <c r="G147" s="12"/>
      <c r="H147" s="28"/>
      <c r="I147" s="28"/>
    </row>
    <row r="148">
      <c r="A148" s="19"/>
      <c r="B148" s="29">
        <v>45664.0</v>
      </c>
      <c r="G148" s="30"/>
      <c r="H148" s="31"/>
      <c r="I148" s="31"/>
      <c r="J148" s="32" t="s">
        <v>131</v>
      </c>
      <c r="K148" s="32" t="s">
        <v>132</v>
      </c>
    </row>
    <row r="149">
      <c r="B149" s="21" t="s">
        <v>4</v>
      </c>
      <c r="C149" s="21" t="s">
        <v>5</v>
      </c>
      <c r="D149" s="21" t="s">
        <v>6</v>
      </c>
      <c r="E149" s="21" t="s">
        <v>7</v>
      </c>
      <c r="G149" s="33"/>
      <c r="H149" s="33"/>
      <c r="I149" s="33"/>
    </row>
    <row r="150">
      <c r="A150" s="22" t="s">
        <v>91</v>
      </c>
      <c r="B150" s="24">
        <f t="shared" ref="B150:E150" si="34">B134+0.1</f>
        <v>48.6</v>
      </c>
      <c r="C150" s="24">
        <f t="shared" si="34"/>
        <v>46.4</v>
      </c>
      <c r="D150" s="24">
        <f t="shared" si="34"/>
        <v>53.4</v>
      </c>
      <c r="E150" s="24">
        <f t="shared" si="34"/>
        <v>51.2</v>
      </c>
      <c r="G150" s="30"/>
      <c r="H150" s="31"/>
      <c r="I150" s="31"/>
      <c r="J150" s="24"/>
      <c r="K150" s="24"/>
    </row>
    <row r="151">
      <c r="A151" s="22" t="s">
        <v>92</v>
      </c>
      <c r="B151" s="24">
        <v>4.0</v>
      </c>
      <c r="C151" s="24">
        <v>1.0</v>
      </c>
      <c r="D151" s="24">
        <v>7.0</v>
      </c>
      <c r="E151" s="24">
        <v>17.0</v>
      </c>
    </row>
    <row r="152">
      <c r="A152" s="22" t="s">
        <v>93</v>
      </c>
      <c r="B152" s="23">
        <f t="shared" ref="B152:E152" si="35">B136-B151</f>
        <v>21542</v>
      </c>
      <c r="C152" s="23">
        <f t="shared" si="35"/>
        <v>21341</v>
      </c>
      <c r="D152" s="23">
        <f t="shared" si="35"/>
        <v>21224</v>
      </c>
      <c r="E152" s="23">
        <f t="shared" si="35"/>
        <v>21530</v>
      </c>
      <c r="G152" s="12"/>
      <c r="H152" s="28"/>
      <c r="I152" s="28"/>
    </row>
    <row r="153">
      <c r="A153" s="22" t="s">
        <v>94</v>
      </c>
      <c r="B153" s="23">
        <f t="shared" ref="B153:E153" si="36">B159*30</f>
        <v>20250</v>
      </c>
      <c r="C153" s="23">
        <f t="shared" si="36"/>
        <v>20100</v>
      </c>
      <c r="D153" s="23">
        <f t="shared" si="36"/>
        <v>19110</v>
      </c>
      <c r="E153" s="23">
        <f t="shared" si="36"/>
        <v>20010</v>
      </c>
      <c r="G153" s="12"/>
      <c r="H153" s="28"/>
      <c r="I153" s="28"/>
    </row>
    <row r="154">
      <c r="A154" s="22" t="s">
        <v>95</v>
      </c>
      <c r="B154" s="24">
        <v>24.0</v>
      </c>
      <c r="C154" s="24">
        <v>27.0</v>
      </c>
      <c r="D154" s="24">
        <v>0.0</v>
      </c>
      <c r="E154" s="24">
        <v>20.0</v>
      </c>
      <c r="G154" s="12"/>
      <c r="H154" s="28"/>
      <c r="I154" s="28"/>
    </row>
    <row r="155">
      <c r="A155" s="22" t="s">
        <v>96</v>
      </c>
      <c r="B155" s="24">
        <v>6.0</v>
      </c>
      <c r="C155" s="24">
        <v>5.0</v>
      </c>
      <c r="D155" s="24">
        <v>0.0</v>
      </c>
      <c r="E155" s="24">
        <v>1.0</v>
      </c>
      <c r="G155" s="12"/>
      <c r="H155" s="28"/>
      <c r="I155" s="28"/>
    </row>
    <row r="156">
      <c r="A156" s="22" t="s">
        <v>111</v>
      </c>
      <c r="B156" s="24">
        <v>0.0</v>
      </c>
      <c r="C156" s="24">
        <v>0.0</v>
      </c>
      <c r="D156" s="24">
        <v>0.0</v>
      </c>
      <c r="E156" s="24">
        <v>0.0</v>
      </c>
      <c r="G156" s="12"/>
      <c r="H156" s="28"/>
      <c r="I156" s="28"/>
    </row>
    <row r="157">
      <c r="A157" s="22" t="s">
        <v>98</v>
      </c>
      <c r="B157" s="24">
        <v>2.0</v>
      </c>
      <c r="C157" s="24">
        <v>2.0</v>
      </c>
      <c r="D157" s="24" t="s">
        <v>133</v>
      </c>
      <c r="E157" s="24" t="s">
        <v>133</v>
      </c>
      <c r="G157" s="12"/>
      <c r="H157" s="28"/>
      <c r="I157" s="28"/>
    </row>
    <row r="158">
      <c r="A158" s="22" t="s">
        <v>112</v>
      </c>
      <c r="B158" s="26">
        <f t="shared" ref="B158:E158" si="37">round(((B153/B152)*100),2)</f>
        <v>94</v>
      </c>
      <c r="C158" s="26">
        <f t="shared" si="37"/>
        <v>94.18</v>
      </c>
      <c r="D158" s="26">
        <f t="shared" si="37"/>
        <v>90.04</v>
      </c>
      <c r="E158" s="26">
        <f t="shared" si="37"/>
        <v>92.94</v>
      </c>
      <c r="G158" s="12"/>
      <c r="H158" s="28"/>
      <c r="I158" s="28"/>
    </row>
    <row r="159">
      <c r="A159" s="22" t="s">
        <v>100</v>
      </c>
      <c r="B159" s="24">
        <v>675.0</v>
      </c>
      <c r="C159" s="24">
        <v>670.0</v>
      </c>
      <c r="D159" s="24">
        <v>637.0</v>
      </c>
      <c r="E159" s="24">
        <v>667.0</v>
      </c>
      <c r="G159" s="12"/>
      <c r="H159" s="28"/>
      <c r="I159" s="28"/>
    </row>
    <row r="160">
      <c r="A160" s="18"/>
      <c r="B160" s="18"/>
      <c r="C160" s="18"/>
      <c r="D160" s="18"/>
      <c r="E160" s="18"/>
      <c r="G160" s="12"/>
      <c r="H160" s="28"/>
      <c r="I160" s="28"/>
    </row>
    <row r="161">
      <c r="A161" s="22" t="s">
        <v>103</v>
      </c>
      <c r="B161" s="27" t="s">
        <v>134</v>
      </c>
      <c r="G161" s="12"/>
      <c r="H161" s="28"/>
      <c r="I161" s="28"/>
    </row>
    <row r="162">
      <c r="A162" s="14"/>
      <c r="B162" s="12"/>
      <c r="C162" s="12"/>
      <c r="D162" s="12"/>
      <c r="E162" s="12"/>
      <c r="G162" s="12"/>
      <c r="H162" s="28"/>
      <c r="I162" s="28"/>
    </row>
    <row r="163">
      <c r="A163" s="14"/>
      <c r="B163" s="12"/>
      <c r="C163" s="12"/>
      <c r="D163" s="12"/>
      <c r="E163" s="12"/>
      <c r="G163" s="12"/>
      <c r="H163" s="28"/>
      <c r="I163" s="28"/>
    </row>
    <row r="164">
      <c r="A164" s="19"/>
      <c r="B164" s="29">
        <v>45695.0</v>
      </c>
      <c r="G164" s="12"/>
      <c r="H164" s="28"/>
      <c r="I164" s="28"/>
    </row>
    <row r="165">
      <c r="B165" s="21" t="s">
        <v>4</v>
      </c>
      <c r="C165" s="21" t="s">
        <v>5</v>
      </c>
      <c r="D165" s="21" t="s">
        <v>6</v>
      </c>
      <c r="E165" s="21" t="s">
        <v>7</v>
      </c>
      <c r="G165" s="12"/>
      <c r="H165" s="28"/>
      <c r="I165" s="28"/>
    </row>
    <row r="166">
      <c r="A166" s="22" t="s">
        <v>91</v>
      </c>
      <c r="B166" s="24">
        <f t="shared" ref="B166:E166" si="38">B150+0.1</f>
        <v>48.7</v>
      </c>
      <c r="C166" s="24">
        <f t="shared" si="38"/>
        <v>46.5</v>
      </c>
      <c r="D166" s="24">
        <f t="shared" si="38"/>
        <v>53.5</v>
      </c>
      <c r="E166" s="24">
        <f t="shared" si="38"/>
        <v>51.3</v>
      </c>
      <c r="G166" s="12"/>
      <c r="H166" s="28"/>
      <c r="I166" s="28"/>
    </row>
    <row r="167">
      <c r="A167" s="22" t="s">
        <v>92</v>
      </c>
      <c r="B167" s="24">
        <v>1.0</v>
      </c>
      <c r="C167" s="24">
        <v>2.0</v>
      </c>
      <c r="D167" s="24">
        <v>5.0</v>
      </c>
      <c r="E167" s="24">
        <v>12.0</v>
      </c>
      <c r="G167" s="12"/>
      <c r="H167" s="28"/>
      <c r="I167" s="28"/>
    </row>
    <row r="168">
      <c r="A168" s="22" t="s">
        <v>93</v>
      </c>
      <c r="B168" s="23">
        <f t="shared" ref="B168:E168" si="39">B152-B167</f>
        <v>21541</v>
      </c>
      <c r="C168" s="23">
        <f t="shared" si="39"/>
        <v>21339</v>
      </c>
      <c r="D168" s="23">
        <f t="shared" si="39"/>
        <v>21219</v>
      </c>
      <c r="E168" s="23">
        <f t="shared" si="39"/>
        <v>21518</v>
      </c>
      <c r="G168" s="12"/>
      <c r="H168" s="28"/>
      <c r="I168" s="28"/>
    </row>
    <row r="169">
      <c r="A169" s="22" t="s">
        <v>94</v>
      </c>
      <c r="B169" s="23">
        <f t="shared" ref="B169:E169" si="40">B175*30</f>
        <v>20250</v>
      </c>
      <c r="C169" s="23">
        <f t="shared" si="40"/>
        <v>20250</v>
      </c>
      <c r="D169" s="23">
        <f t="shared" si="40"/>
        <v>19050</v>
      </c>
      <c r="E169" s="23">
        <f t="shared" si="40"/>
        <v>20010</v>
      </c>
      <c r="G169" s="12"/>
      <c r="H169" s="28"/>
      <c r="I169" s="28"/>
    </row>
    <row r="170">
      <c r="A170" s="22" t="s">
        <v>95</v>
      </c>
      <c r="B170" s="24">
        <v>13.0</v>
      </c>
      <c r="C170" s="24">
        <v>25.0</v>
      </c>
      <c r="D170" s="24">
        <v>24.0</v>
      </c>
      <c r="E170" s="24">
        <v>30.0</v>
      </c>
      <c r="G170" s="12"/>
      <c r="H170" s="28"/>
      <c r="I170" s="28"/>
    </row>
    <row r="171">
      <c r="A171" s="22" t="s">
        <v>96</v>
      </c>
      <c r="B171" s="24">
        <v>8.0</v>
      </c>
      <c r="C171" s="24">
        <v>10.0</v>
      </c>
      <c r="D171" s="24">
        <v>1.0</v>
      </c>
      <c r="E171" s="24">
        <v>1.0</v>
      </c>
      <c r="G171" s="12"/>
      <c r="H171" s="28"/>
      <c r="I171" s="28"/>
    </row>
    <row r="172">
      <c r="A172" s="22" t="s">
        <v>111</v>
      </c>
      <c r="B172" s="24">
        <v>0.0</v>
      </c>
      <c r="C172" s="24">
        <v>0.0</v>
      </c>
      <c r="D172" s="24">
        <v>0.0</v>
      </c>
      <c r="E172" s="24">
        <v>0.0</v>
      </c>
      <c r="G172" s="12"/>
      <c r="H172" s="28"/>
      <c r="I172" s="28"/>
    </row>
    <row r="173">
      <c r="A173" s="22" t="s">
        <v>98</v>
      </c>
      <c r="B173" s="24">
        <v>2.0</v>
      </c>
      <c r="C173" s="24">
        <v>2.0</v>
      </c>
      <c r="D173" s="24">
        <v>1.0</v>
      </c>
      <c r="E173" s="24" t="s">
        <v>135</v>
      </c>
      <c r="G173" s="12"/>
      <c r="H173" s="28"/>
      <c r="I173" s="28"/>
    </row>
    <row r="174">
      <c r="A174" s="22" t="s">
        <v>112</v>
      </c>
      <c r="B174" s="26">
        <f t="shared" ref="B174:E174" si="41">round(((B169/B168)*100),2)</f>
        <v>94.01</v>
      </c>
      <c r="C174" s="26">
        <f t="shared" si="41"/>
        <v>94.9</v>
      </c>
      <c r="D174" s="26">
        <f t="shared" si="41"/>
        <v>89.78</v>
      </c>
      <c r="E174" s="26">
        <f t="shared" si="41"/>
        <v>92.99</v>
      </c>
      <c r="G174" s="12"/>
      <c r="H174" s="28"/>
      <c r="I174" s="28"/>
    </row>
    <row r="175">
      <c r="A175" s="22" t="s">
        <v>100</v>
      </c>
      <c r="B175" s="24">
        <v>675.0</v>
      </c>
      <c r="C175" s="24">
        <v>675.0</v>
      </c>
      <c r="D175" s="24">
        <v>635.0</v>
      </c>
      <c r="E175" s="24">
        <v>667.0</v>
      </c>
      <c r="G175" s="12"/>
      <c r="H175" s="28"/>
      <c r="I175" s="28"/>
    </row>
    <row r="176">
      <c r="A176" s="18"/>
      <c r="B176" s="18"/>
      <c r="C176" s="18"/>
      <c r="D176" s="18"/>
      <c r="E176" s="18"/>
      <c r="G176" s="12"/>
      <c r="H176" s="28"/>
      <c r="I176" s="28"/>
    </row>
    <row r="177">
      <c r="A177" s="22" t="s">
        <v>103</v>
      </c>
      <c r="B177" s="27" t="s">
        <v>136</v>
      </c>
      <c r="G177" s="12"/>
      <c r="H177" s="28"/>
      <c r="I177" s="28"/>
    </row>
    <row r="178">
      <c r="A178" s="14"/>
      <c r="B178" s="12"/>
      <c r="C178" s="12"/>
      <c r="D178" s="12"/>
      <c r="E178" s="12"/>
      <c r="G178" s="12"/>
      <c r="H178" s="28"/>
      <c r="I178" s="28"/>
    </row>
    <row r="179">
      <c r="A179" s="14"/>
      <c r="B179" s="12"/>
      <c r="C179" s="12"/>
      <c r="D179" s="12"/>
      <c r="E179" s="12"/>
      <c r="G179" s="12"/>
      <c r="H179" s="28"/>
      <c r="I179" s="28"/>
    </row>
    <row r="180">
      <c r="A180" s="19"/>
      <c r="B180" s="29">
        <v>45723.0</v>
      </c>
      <c r="G180" s="12"/>
      <c r="H180" s="28"/>
      <c r="I180" s="28"/>
    </row>
    <row r="181">
      <c r="B181" s="21" t="s">
        <v>4</v>
      </c>
      <c r="C181" s="21" t="s">
        <v>5</v>
      </c>
      <c r="D181" s="21" t="s">
        <v>6</v>
      </c>
      <c r="E181" s="21" t="s">
        <v>7</v>
      </c>
      <c r="G181" s="12"/>
      <c r="H181" s="28"/>
      <c r="I181" s="28"/>
    </row>
    <row r="182">
      <c r="A182" s="22" t="s">
        <v>91</v>
      </c>
      <c r="B182" s="24">
        <v>49.1</v>
      </c>
      <c r="C182" s="24">
        <f t="shared" ref="C182:E182" si="42">C166+0.1</f>
        <v>46.6</v>
      </c>
      <c r="D182" s="24">
        <f t="shared" si="42"/>
        <v>53.6</v>
      </c>
      <c r="E182" s="24">
        <f t="shared" si="42"/>
        <v>51.4</v>
      </c>
      <c r="G182" s="12"/>
      <c r="H182" s="28"/>
      <c r="I182" s="28"/>
    </row>
    <row r="183">
      <c r="A183" s="22" t="s">
        <v>92</v>
      </c>
      <c r="B183" s="24">
        <v>5.0</v>
      </c>
      <c r="C183" s="24">
        <v>4.0</v>
      </c>
      <c r="D183" s="24">
        <v>5.0</v>
      </c>
      <c r="E183" s="24">
        <v>13.0</v>
      </c>
      <c r="G183" s="12"/>
      <c r="H183" s="28"/>
      <c r="I183" s="28"/>
    </row>
    <row r="184">
      <c r="A184" s="22" t="s">
        <v>93</v>
      </c>
      <c r="B184" s="23">
        <f t="shared" ref="B184:D184" si="43">B168-B183</f>
        <v>21536</v>
      </c>
      <c r="C184" s="23">
        <f t="shared" si="43"/>
        <v>21335</v>
      </c>
      <c r="D184" s="23">
        <f t="shared" si="43"/>
        <v>21214</v>
      </c>
      <c r="E184" s="23">
        <f>E168-E183-18</f>
        <v>21487</v>
      </c>
      <c r="G184" s="12"/>
      <c r="H184" s="28"/>
      <c r="I184" s="28"/>
    </row>
    <row r="185">
      <c r="A185" s="22" t="s">
        <v>94</v>
      </c>
      <c r="B185" s="23">
        <f t="shared" ref="B185:E185" si="44">B191*30</f>
        <v>20250</v>
      </c>
      <c r="C185" s="23">
        <f t="shared" si="44"/>
        <v>20040</v>
      </c>
      <c r="D185" s="23">
        <f t="shared" si="44"/>
        <v>19440</v>
      </c>
      <c r="E185" s="23">
        <f t="shared" si="44"/>
        <v>19410</v>
      </c>
      <c r="G185" s="12"/>
      <c r="H185" s="28"/>
      <c r="I185" s="28"/>
    </row>
    <row r="186">
      <c r="A186" s="22" t="s">
        <v>95</v>
      </c>
      <c r="B186" s="24">
        <v>14.0</v>
      </c>
      <c r="C186" s="24" t="s">
        <v>137</v>
      </c>
      <c r="D186" s="24">
        <v>24.0</v>
      </c>
      <c r="E186" s="24">
        <v>60.0</v>
      </c>
      <c r="G186" s="12"/>
      <c r="H186" s="28"/>
      <c r="I186" s="28"/>
    </row>
    <row r="187">
      <c r="A187" s="22" t="s">
        <v>96</v>
      </c>
      <c r="B187" s="24">
        <v>4.0</v>
      </c>
      <c r="C187" s="24">
        <v>5.0</v>
      </c>
      <c r="D187" s="24">
        <v>12.0</v>
      </c>
      <c r="E187" s="24">
        <v>6.0</v>
      </c>
      <c r="G187" s="12"/>
      <c r="H187" s="28"/>
      <c r="I187" s="28"/>
    </row>
    <row r="188">
      <c r="A188" s="22" t="s">
        <v>111</v>
      </c>
      <c r="B188" s="24">
        <v>0.0</v>
      </c>
      <c r="C188" s="24">
        <v>0.0</v>
      </c>
      <c r="D188" s="24">
        <v>0.0</v>
      </c>
      <c r="E188" s="24">
        <v>0.0</v>
      </c>
      <c r="G188" s="12"/>
      <c r="H188" s="28"/>
      <c r="I188" s="28"/>
    </row>
    <row r="189">
      <c r="A189" s="22" t="s">
        <v>98</v>
      </c>
      <c r="B189" s="24">
        <v>1.0</v>
      </c>
      <c r="C189" s="24">
        <v>2.0</v>
      </c>
      <c r="D189" s="24" t="s">
        <v>138</v>
      </c>
      <c r="E189" s="24" t="s">
        <v>139</v>
      </c>
      <c r="G189" s="12"/>
      <c r="H189" s="28"/>
      <c r="I189" s="28"/>
    </row>
    <row r="190">
      <c r="A190" s="22" t="s">
        <v>112</v>
      </c>
      <c r="B190" s="26">
        <f t="shared" ref="B190:E190" si="45">round(((B185/B184)*100),2)</f>
        <v>94.03</v>
      </c>
      <c r="C190" s="26">
        <f t="shared" si="45"/>
        <v>93.93</v>
      </c>
      <c r="D190" s="26">
        <f t="shared" si="45"/>
        <v>91.64</v>
      </c>
      <c r="E190" s="26">
        <f t="shared" si="45"/>
        <v>90.33</v>
      </c>
      <c r="G190" s="12"/>
      <c r="H190" s="28"/>
      <c r="I190" s="28"/>
    </row>
    <row r="191">
      <c r="A191" s="22" t="s">
        <v>100</v>
      </c>
      <c r="B191" s="24">
        <v>675.0</v>
      </c>
      <c r="C191" s="24">
        <v>668.0</v>
      </c>
      <c r="D191" s="24">
        <v>648.0</v>
      </c>
      <c r="E191" s="24">
        <v>647.0</v>
      </c>
      <c r="G191" s="12"/>
      <c r="H191" s="28"/>
      <c r="I191" s="28"/>
    </row>
    <row r="192">
      <c r="A192" s="18"/>
      <c r="B192" s="18"/>
      <c r="C192" s="18"/>
      <c r="D192" s="18"/>
      <c r="E192" s="32" t="s">
        <v>140</v>
      </c>
      <c r="G192" s="12"/>
      <c r="H192" s="28"/>
      <c r="I192" s="28"/>
    </row>
    <row r="193">
      <c r="A193" s="22" t="s">
        <v>103</v>
      </c>
      <c r="B193" s="27" t="s">
        <v>141</v>
      </c>
      <c r="G193" s="12"/>
      <c r="H193" s="28"/>
      <c r="I193" s="28"/>
    </row>
    <row r="194">
      <c r="A194" s="14"/>
      <c r="B194" s="12"/>
      <c r="C194" s="12"/>
      <c r="D194" s="12"/>
      <c r="E194" s="12"/>
      <c r="G194" s="12"/>
      <c r="H194" s="28"/>
      <c r="I194" s="28"/>
    </row>
    <row r="195">
      <c r="A195" s="14"/>
      <c r="B195" s="12"/>
      <c r="C195" s="12"/>
      <c r="D195" s="12"/>
      <c r="E195" s="12"/>
      <c r="G195" s="12"/>
      <c r="H195" s="28"/>
      <c r="I195" s="28"/>
    </row>
    <row r="196">
      <c r="A196" s="19"/>
      <c r="B196" s="29">
        <v>45754.0</v>
      </c>
      <c r="G196" s="12"/>
      <c r="H196" s="28"/>
      <c r="I196" s="28"/>
    </row>
    <row r="197">
      <c r="B197" s="21" t="s">
        <v>4</v>
      </c>
      <c r="C197" s="21" t="s">
        <v>5</v>
      </c>
      <c r="D197" s="21" t="s">
        <v>6</v>
      </c>
      <c r="E197" s="21" t="s">
        <v>7</v>
      </c>
      <c r="G197" s="12"/>
      <c r="H197" s="28"/>
      <c r="I197" s="28"/>
    </row>
    <row r="198">
      <c r="A198" s="22" t="s">
        <v>91</v>
      </c>
      <c r="B198" s="24">
        <f t="shared" ref="B198:E198" si="46">B182+0.1</f>
        <v>49.2</v>
      </c>
      <c r="C198" s="24">
        <f t="shared" si="46"/>
        <v>46.7</v>
      </c>
      <c r="D198" s="24">
        <f t="shared" si="46"/>
        <v>53.7</v>
      </c>
      <c r="E198" s="24">
        <f t="shared" si="46"/>
        <v>51.5</v>
      </c>
      <c r="G198" s="12"/>
      <c r="H198" s="28"/>
      <c r="I198" s="28"/>
    </row>
    <row r="199">
      <c r="A199" s="22" t="s">
        <v>92</v>
      </c>
      <c r="B199" s="24">
        <v>6.0</v>
      </c>
      <c r="C199" s="24">
        <v>2.0</v>
      </c>
      <c r="D199" s="24">
        <v>8.0</v>
      </c>
      <c r="E199" s="24">
        <v>9.0</v>
      </c>
      <c r="G199" s="12"/>
      <c r="H199" s="28"/>
      <c r="I199" s="28"/>
    </row>
    <row r="200">
      <c r="A200" s="22" t="s">
        <v>93</v>
      </c>
      <c r="B200" s="23">
        <f t="shared" ref="B200:D200" si="47">B184-B199</f>
        <v>21530</v>
      </c>
      <c r="C200" s="23">
        <f t="shared" si="47"/>
        <v>21333</v>
      </c>
      <c r="D200" s="23">
        <f t="shared" si="47"/>
        <v>21206</v>
      </c>
      <c r="E200" s="23">
        <f>E184-E199-8</f>
        <v>21470</v>
      </c>
      <c r="G200" s="12"/>
      <c r="H200" s="28"/>
      <c r="I200" s="28"/>
    </row>
    <row r="201">
      <c r="A201" s="22" t="s">
        <v>94</v>
      </c>
      <c r="B201" s="23">
        <f t="shared" ref="B201:E201" si="48">B207*30</f>
        <v>20340</v>
      </c>
      <c r="C201" s="23">
        <f t="shared" si="48"/>
        <v>20280</v>
      </c>
      <c r="D201" s="23">
        <f t="shared" si="48"/>
        <v>19110</v>
      </c>
      <c r="E201" s="23">
        <f t="shared" si="48"/>
        <v>19590</v>
      </c>
      <c r="G201" s="12"/>
      <c r="H201" s="28"/>
      <c r="I201" s="28"/>
    </row>
    <row r="202">
      <c r="A202" s="22" t="s">
        <v>95</v>
      </c>
      <c r="B202" s="24">
        <v>14.0</v>
      </c>
      <c r="C202" s="24">
        <v>25.0</v>
      </c>
      <c r="D202" s="24">
        <v>15.0</v>
      </c>
      <c r="E202" s="24">
        <v>30.0</v>
      </c>
      <c r="G202" s="12"/>
      <c r="H202" s="28"/>
      <c r="I202" s="28"/>
    </row>
    <row r="203">
      <c r="A203" s="22" t="s">
        <v>96</v>
      </c>
      <c r="B203" s="24">
        <v>4.0</v>
      </c>
      <c r="C203" s="24">
        <v>5.0</v>
      </c>
      <c r="D203" s="24">
        <v>3.0</v>
      </c>
      <c r="E203" s="24">
        <v>6.0</v>
      </c>
      <c r="G203" s="12"/>
      <c r="H203" s="28"/>
      <c r="I203" s="28"/>
    </row>
    <row r="204">
      <c r="A204" s="22" t="s">
        <v>111</v>
      </c>
      <c r="B204" s="24">
        <v>0.0</v>
      </c>
      <c r="C204" s="24">
        <v>0.0</v>
      </c>
      <c r="D204" s="24">
        <v>0.0</v>
      </c>
      <c r="E204" s="24">
        <v>0.0</v>
      </c>
      <c r="G204" s="12"/>
      <c r="H204" s="28"/>
      <c r="I204" s="28"/>
    </row>
    <row r="205">
      <c r="A205" s="22" t="s">
        <v>98</v>
      </c>
      <c r="B205" s="24">
        <v>2.0</v>
      </c>
      <c r="C205" s="24">
        <v>2.0</v>
      </c>
      <c r="D205" s="24">
        <v>1.0</v>
      </c>
      <c r="E205" s="24">
        <v>2.0</v>
      </c>
      <c r="G205" s="11"/>
      <c r="H205" s="28"/>
      <c r="I205" s="28"/>
    </row>
    <row r="206">
      <c r="A206" s="22" t="s">
        <v>112</v>
      </c>
      <c r="B206" s="26">
        <f t="shared" ref="B206:E206" si="49">round(((B201/B200)*100),2)</f>
        <v>94.47</v>
      </c>
      <c r="C206" s="26">
        <f t="shared" si="49"/>
        <v>95.06</v>
      </c>
      <c r="D206" s="26">
        <f t="shared" si="49"/>
        <v>90.12</v>
      </c>
      <c r="E206" s="26">
        <f t="shared" si="49"/>
        <v>91.24</v>
      </c>
      <c r="G206" s="11"/>
      <c r="H206" s="28"/>
      <c r="I206" s="28"/>
    </row>
    <row r="207">
      <c r="A207" s="22" t="s">
        <v>100</v>
      </c>
      <c r="B207" s="24">
        <v>678.0</v>
      </c>
      <c r="C207" s="24">
        <v>676.0</v>
      </c>
      <c r="D207" s="24">
        <v>637.0</v>
      </c>
      <c r="E207" s="24">
        <v>653.0</v>
      </c>
      <c r="G207" s="12"/>
      <c r="H207" s="28"/>
      <c r="I207" s="28"/>
    </row>
    <row r="208">
      <c r="A208" s="18"/>
      <c r="B208" s="18"/>
      <c r="C208" s="18"/>
      <c r="D208" s="18"/>
      <c r="E208" s="32" t="s">
        <v>142</v>
      </c>
      <c r="G208" s="12"/>
      <c r="H208" s="28"/>
      <c r="I208" s="28"/>
    </row>
    <row r="209">
      <c r="A209" s="10" t="s">
        <v>101</v>
      </c>
      <c r="B209" s="15" t="s">
        <v>143</v>
      </c>
      <c r="C209" s="15" t="s">
        <v>144</v>
      </c>
      <c r="D209" s="15" t="s">
        <v>145</v>
      </c>
      <c r="G209" s="12"/>
      <c r="H209" s="28"/>
      <c r="I209" s="28"/>
    </row>
    <row r="210">
      <c r="A210" s="22" t="s">
        <v>103</v>
      </c>
      <c r="B210" s="27" t="s">
        <v>146</v>
      </c>
      <c r="G210" s="12"/>
      <c r="H210" s="28"/>
      <c r="I210" s="28"/>
    </row>
    <row r="211">
      <c r="A211" s="14"/>
      <c r="B211" s="12"/>
      <c r="C211" s="12"/>
      <c r="D211" s="12"/>
      <c r="E211" s="12"/>
      <c r="G211" s="12"/>
      <c r="H211" s="28"/>
      <c r="I211" s="28"/>
    </row>
    <row r="212">
      <c r="A212" s="14"/>
      <c r="B212" s="12"/>
      <c r="C212" s="12"/>
      <c r="D212" s="12"/>
      <c r="E212" s="12"/>
      <c r="G212" s="12"/>
      <c r="H212" s="28"/>
      <c r="I212" s="28"/>
    </row>
    <row r="213">
      <c r="A213" s="19"/>
      <c r="B213" s="29">
        <v>45784.0</v>
      </c>
      <c r="G213" s="12"/>
      <c r="H213" s="28"/>
      <c r="I213" s="28"/>
    </row>
    <row r="214">
      <c r="B214" s="21" t="s">
        <v>4</v>
      </c>
      <c r="C214" s="21" t="s">
        <v>5</v>
      </c>
      <c r="D214" s="21" t="s">
        <v>6</v>
      </c>
      <c r="E214" s="21" t="s">
        <v>7</v>
      </c>
      <c r="G214" s="12"/>
      <c r="H214" s="28"/>
      <c r="I214" s="28"/>
    </row>
    <row r="215">
      <c r="A215" s="22" t="s">
        <v>91</v>
      </c>
      <c r="B215" s="24">
        <f>B198+0.1</f>
        <v>49.3</v>
      </c>
      <c r="C215" s="24">
        <v>47.1</v>
      </c>
      <c r="D215" s="24">
        <v>54.1</v>
      </c>
      <c r="E215" s="24">
        <f>E198+0.1</f>
        <v>51.6</v>
      </c>
      <c r="G215" s="12"/>
      <c r="H215" s="28"/>
      <c r="I215" s="28"/>
    </row>
    <row r="216">
      <c r="A216" s="22" t="s">
        <v>92</v>
      </c>
      <c r="B216" s="24">
        <v>12.0</v>
      </c>
      <c r="C216" s="24">
        <v>3.0</v>
      </c>
      <c r="D216" s="24">
        <v>3.0</v>
      </c>
      <c r="E216" s="24">
        <v>6.0</v>
      </c>
      <c r="G216" s="12"/>
      <c r="H216" s="28"/>
      <c r="I216" s="28"/>
    </row>
    <row r="217">
      <c r="A217" s="22" t="s">
        <v>93</v>
      </c>
      <c r="B217" s="23">
        <f t="shared" ref="B217:E217" si="50">B200-B216</f>
        <v>21518</v>
      </c>
      <c r="C217" s="23">
        <f t="shared" si="50"/>
        <v>21330</v>
      </c>
      <c r="D217" s="23">
        <f t="shared" si="50"/>
        <v>21203</v>
      </c>
      <c r="E217" s="23">
        <f t="shared" si="50"/>
        <v>21464</v>
      </c>
      <c r="G217" s="12"/>
      <c r="H217" s="28"/>
      <c r="I217" s="28"/>
    </row>
    <row r="218">
      <c r="A218" s="22" t="s">
        <v>94</v>
      </c>
      <c r="B218" s="23">
        <f t="shared" ref="B218:E218" si="51">B224*30</f>
        <v>20340</v>
      </c>
      <c r="C218" s="23">
        <f t="shared" si="51"/>
        <v>20190</v>
      </c>
      <c r="D218" s="23">
        <f t="shared" si="51"/>
        <v>19320</v>
      </c>
      <c r="E218" s="23">
        <f t="shared" si="51"/>
        <v>19620</v>
      </c>
      <c r="G218" s="12"/>
      <c r="H218" s="28"/>
      <c r="I218" s="28"/>
    </row>
    <row r="219">
      <c r="A219" s="22" t="s">
        <v>95</v>
      </c>
      <c r="B219" s="24">
        <v>23.0</v>
      </c>
      <c r="C219" s="24">
        <v>24.0</v>
      </c>
      <c r="D219" s="24">
        <v>5.0</v>
      </c>
      <c r="E219" s="24">
        <v>24.0</v>
      </c>
      <c r="G219" s="12"/>
      <c r="H219" s="28"/>
      <c r="I219" s="28"/>
    </row>
    <row r="220">
      <c r="A220" s="22" t="s">
        <v>96</v>
      </c>
      <c r="B220" s="24">
        <v>7.0</v>
      </c>
      <c r="C220" s="24">
        <v>3.0</v>
      </c>
      <c r="D220" s="24">
        <v>3.0</v>
      </c>
      <c r="E220" s="24">
        <v>0.0</v>
      </c>
      <c r="G220" s="12"/>
      <c r="H220" s="28"/>
      <c r="I220" s="28"/>
    </row>
    <row r="221">
      <c r="A221" s="22" t="s">
        <v>111</v>
      </c>
      <c r="B221" s="24">
        <v>0.0</v>
      </c>
      <c r="C221" s="24">
        <v>0.0</v>
      </c>
      <c r="D221" s="24">
        <v>0.0</v>
      </c>
      <c r="E221" s="24">
        <v>0.0</v>
      </c>
      <c r="G221" s="12"/>
      <c r="H221" s="28"/>
      <c r="I221" s="28"/>
    </row>
    <row r="222">
      <c r="A222" s="22" t="s">
        <v>98</v>
      </c>
      <c r="B222" s="24">
        <v>3.0</v>
      </c>
      <c r="C222" s="24">
        <v>2.0</v>
      </c>
      <c r="D222" s="24">
        <v>1.0</v>
      </c>
      <c r="E222" s="24" t="s">
        <v>147</v>
      </c>
      <c r="G222" s="12"/>
      <c r="H222" s="28"/>
      <c r="I222" s="28"/>
    </row>
    <row r="223">
      <c r="A223" s="22" t="s">
        <v>112</v>
      </c>
      <c r="B223" s="26">
        <f t="shared" ref="B223:E223" si="52">round(((B218/B217)*100),2)</f>
        <v>94.53</v>
      </c>
      <c r="C223" s="26">
        <f t="shared" si="52"/>
        <v>94.66</v>
      </c>
      <c r="D223" s="26">
        <f t="shared" si="52"/>
        <v>91.12</v>
      </c>
      <c r="E223" s="26">
        <f t="shared" si="52"/>
        <v>91.41</v>
      </c>
      <c r="G223" s="12"/>
      <c r="H223" s="28"/>
      <c r="I223" s="28"/>
    </row>
    <row r="224">
      <c r="A224" s="22" t="s">
        <v>100</v>
      </c>
      <c r="B224" s="24">
        <v>678.0</v>
      </c>
      <c r="C224" s="24">
        <v>673.0</v>
      </c>
      <c r="D224" s="24">
        <v>644.0</v>
      </c>
      <c r="E224" s="24">
        <v>654.0</v>
      </c>
      <c r="G224" s="11"/>
      <c r="H224" s="28"/>
      <c r="I224" s="28"/>
    </row>
    <row r="225">
      <c r="A225" s="18"/>
      <c r="B225" s="18"/>
      <c r="C225" s="18"/>
      <c r="D225" s="18"/>
      <c r="E225" s="32" t="s">
        <v>148</v>
      </c>
      <c r="G225" s="12"/>
      <c r="H225" s="28"/>
      <c r="I225" s="28"/>
    </row>
    <row r="226">
      <c r="A226" s="22" t="s">
        <v>103</v>
      </c>
      <c r="B226" s="27" t="s">
        <v>149</v>
      </c>
      <c r="G226" s="12"/>
      <c r="H226" s="34" t="s">
        <v>150</v>
      </c>
      <c r="I226" s="28"/>
    </row>
    <row r="227">
      <c r="A227" s="14"/>
      <c r="B227" s="12"/>
      <c r="C227" s="12"/>
      <c r="D227" s="12"/>
      <c r="E227" s="12"/>
      <c r="G227" s="12"/>
      <c r="H227" s="34" t="s">
        <v>151</v>
      </c>
      <c r="I227" s="28"/>
    </row>
    <row r="228">
      <c r="A228" s="14"/>
      <c r="B228" s="12"/>
      <c r="C228" s="12"/>
      <c r="D228" s="12"/>
      <c r="E228" s="12"/>
      <c r="G228" s="12"/>
      <c r="H228" s="34" t="s">
        <v>152</v>
      </c>
      <c r="I228" s="28"/>
    </row>
    <row r="229">
      <c r="A229" s="19"/>
      <c r="B229" s="29">
        <v>45815.0</v>
      </c>
      <c r="G229" s="12"/>
      <c r="H229" s="28"/>
      <c r="I229" s="28"/>
    </row>
    <row r="230">
      <c r="B230" s="21" t="s">
        <v>4</v>
      </c>
      <c r="C230" s="21" t="s">
        <v>5</v>
      </c>
      <c r="D230" s="21" t="s">
        <v>6</v>
      </c>
      <c r="E230" s="21" t="s">
        <v>7</v>
      </c>
      <c r="G230" s="12"/>
      <c r="H230" s="28"/>
      <c r="I230" s="28"/>
    </row>
    <row r="231">
      <c r="A231" s="22" t="s">
        <v>91</v>
      </c>
      <c r="B231" s="24">
        <f t="shared" ref="B231:E231" si="53">B215+0.1</f>
        <v>49.4</v>
      </c>
      <c r="C231" s="24">
        <f t="shared" si="53"/>
        <v>47.2</v>
      </c>
      <c r="D231" s="24">
        <f t="shared" si="53"/>
        <v>54.2</v>
      </c>
      <c r="E231" s="24">
        <f t="shared" si="53"/>
        <v>51.7</v>
      </c>
      <c r="G231" s="12"/>
    </row>
    <row r="232">
      <c r="A232" s="22" t="s">
        <v>92</v>
      </c>
      <c r="B232" s="24">
        <v>8.0</v>
      </c>
      <c r="C232" s="24">
        <v>1.0</v>
      </c>
      <c r="D232" s="24">
        <v>7.0</v>
      </c>
      <c r="E232" s="24">
        <v>3.0</v>
      </c>
      <c r="G232" s="35" t="s">
        <v>153</v>
      </c>
      <c r="H232" s="36" t="s">
        <v>154</v>
      </c>
      <c r="I232" s="36" t="s">
        <v>155</v>
      </c>
    </row>
    <row r="233">
      <c r="A233" s="22" t="s">
        <v>93</v>
      </c>
      <c r="B233" s="23">
        <f t="shared" ref="B233:D233" si="54">B217-B232</f>
        <v>21510</v>
      </c>
      <c r="C233" s="23">
        <f t="shared" si="54"/>
        <v>21329</v>
      </c>
      <c r="D233" s="23">
        <f t="shared" si="54"/>
        <v>21196</v>
      </c>
      <c r="E233" s="23">
        <f>E217-E232-5</f>
        <v>21456</v>
      </c>
      <c r="G233" s="11" t="s">
        <v>156</v>
      </c>
      <c r="H233" s="34">
        <v>2.0</v>
      </c>
      <c r="I233" s="34" t="s">
        <v>157</v>
      </c>
    </row>
    <row r="234">
      <c r="A234" s="22" t="s">
        <v>94</v>
      </c>
      <c r="B234" s="23">
        <f t="shared" ref="B234:E234" si="55">B240*30</f>
        <v>20220</v>
      </c>
      <c r="C234" s="23">
        <f t="shared" si="55"/>
        <v>19950</v>
      </c>
      <c r="D234" s="23">
        <f t="shared" si="55"/>
        <v>19200</v>
      </c>
      <c r="E234" s="23">
        <f t="shared" si="55"/>
        <v>19890</v>
      </c>
      <c r="G234" s="11" t="s">
        <v>158</v>
      </c>
      <c r="H234" s="34">
        <v>2.0</v>
      </c>
      <c r="I234" s="34" t="s">
        <v>157</v>
      </c>
    </row>
    <row r="235">
      <c r="A235" s="22" t="s">
        <v>95</v>
      </c>
      <c r="B235" s="24">
        <v>24.0</v>
      </c>
      <c r="C235" s="24">
        <v>14.0</v>
      </c>
      <c r="D235" s="24">
        <v>20.0</v>
      </c>
      <c r="E235" s="24">
        <v>18.0</v>
      </c>
      <c r="G235" s="11" t="s">
        <v>158</v>
      </c>
      <c r="H235" s="34">
        <v>1.0</v>
      </c>
      <c r="I235" s="34" t="s">
        <v>159</v>
      </c>
    </row>
    <row r="236">
      <c r="A236" s="22" t="s">
        <v>96</v>
      </c>
      <c r="B236" s="24">
        <v>6.0</v>
      </c>
      <c r="C236" s="24">
        <v>0.0</v>
      </c>
      <c r="D236" s="24">
        <v>3.0</v>
      </c>
      <c r="E236" s="24">
        <v>7.0</v>
      </c>
      <c r="G236" s="11" t="s">
        <v>160</v>
      </c>
      <c r="H236" s="34">
        <v>1.0</v>
      </c>
      <c r="I236" s="34" t="s">
        <v>161</v>
      </c>
    </row>
    <row r="237">
      <c r="A237" s="22" t="s">
        <v>111</v>
      </c>
      <c r="B237" s="24">
        <v>0.0</v>
      </c>
      <c r="C237" s="24">
        <v>0.0</v>
      </c>
      <c r="D237" s="24">
        <v>0.0</v>
      </c>
      <c r="E237" s="24">
        <v>0.0</v>
      </c>
      <c r="G237" s="11" t="s">
        <v>160</v>
      </c>
      <c r="H237" s="34">
        <v>1.0</v>
      </c>
      <c r="I237" s="34" t="s">
        <v>162</v>
      </c>
    </row>
    <row r="238">
      <c r="A238" s="22" t="s">
        <v>98</v>
      </c>
      <c r="B238" s="24">
        <v>3.0</v>
      </c>
      <c r="C238" s="24">
        <v>2.0</v>
      </c>
      <c r="D238" s="24">
        <v>1.0</v>
      </c>
      <c r="E238" s="24">
        <v>1.0</v>
      </c>
      <c r="G238" s="37">
        <v>45784.0</v>
      </c>
      <c r="H238" s="34">
        <v>3.0</v>
      </c>
      <c r="I238" s="34" t="s">
        <v>163</v>
      </c>
    </row>
    <row r="239">
      <c r="A239" s="22" t="s">
        <v>112</v>
      </c>
      <c r="B239" s="26">
        <f t="shared" ref="B239:E239" si="56">round(((B234/B233)*100),2)</f>
        <v>94</v>
      </c>
      <c r="C239" s="26">
        <f t="shared" si="56"/>
        <v>93.53</v>
      </c>
      <c r="D239" s="26">
        <f t="shared" si="56"/>
        <v>90.58</v>
      </c>
      <c r="E239" s="26">
        <f t="shared" si="56"/>
        <v>92.7</v>
      </c>
      <c r="G239" s="37">
        <v>45845.0</v>
      </c>
      <c r="H239" s="34">
        <v>3.0</v>
      </c>
      <c r="I239" s="34" t="s">
        <v>159</v>
      </c>
    </row>
    <row r="240">
      <c r="A240" s="22" t="s">
        <v>100</v>
      </c>
      <c r="B240" s="24">
        <v>674.0</v>
      </c>
      <c r="C240" s="24">
        <v>665.0</v>
      </c>
      <c r="D240" s="24">
        <v>640.0</v>
      </c>
      <c r="E240" s="24">
        <v>663.0</v>
      </c>
      <c r="G240" s="37">
        <v>45845.0</v>
      </c>
      <c r="H240" s="34">
        <v>1.0</v>
      </c>
      <c r="I240" s="34" t="s">
        <v>164</v>
      </c>
    </row>
    <row r="241">
      <c r="A241" s="18"/>
      <c r="B241" s="32" t="s">
        <v>165</v>
      </c>
      <c r="D241" s="18"/>
      <c r="E241" s="32"/>
      <c r="G241" s="12"/>
      <c r="H241" s="38">
        <v>14.0</v>
      </c>
      <c r="I241" s="28"/>
    </row>
    <row r="242">
      <c r="A242" s="22" t="s">
        <v>103</v>
      </c>
      <c r="B242" s="27" t="s">
        <v>166</v>
      </c>
      <c r="G242" s="12"/>
      <c r="H242" s="28"/>
      <c r="I242" s="28"/>
    </row>
    <row r="243">
      <c r="A243" s="14"/>
      <c r="B243" s="12"/>
      <c r="C243" s="12"/>
      <c r="D243" s="12"/>
      <c r="E243" s="12"/>
      <c r="G243" s="11" t="s">
        <v>167</v>
      </c>
      <c r="H243" s="34">
        <v>3.0</v>
      </c>
      <c r="I243" s="34" t="s">
        <v>168</v>
      </c>
    </row>
    <row r="244">
      <c r="A244" s="14"/>
      <c r="B244" s="12"/>
      <c r="C244" s="12"/>
      <c r="D244" s="12"/>
      <c r="E244" s="12"/>
      <c r="G244" s="11"/>
      <c r="H244" s="34"/>
      <c r="I244" s="28"/>
    </row>
    <row r="245">
      <c r="A245" s="19"/>
      <c r="B245" s="29">
        <v>45845.0</v>
      </c>
      <c r="G245" s="12"/>
      <c r="H245" s="28"/>
      <c r="I245" s="28"/>
    </row>
    <row r="246">
      <c r="B246" s="21" t="s">
        <v>4</v>
      </c>
      <c r="C246" s="21" t="s">
        <v>5</v>
      </c>
      <c r="D246" s="21" t="s">
        <v>6</v>
      </c>
      <c r="E246" s="21" t="s">
        <v>7</v>
      </c>
      <c r="G246" s="12"/>
      <c r="H246" s="28"/>
      <c r="I246" s="28"/>
    </row>
    <row r="247">
      <c r="A247" s="22" t="s">
        <v>91</v>
      </c>
      <c r="B247" s="24">
        <f t="shared" ref="B247:D247" si="57">B231+0.1</f>
        <v>49.5</v>
      </c>
      <c r="C247" s="24">
        <f t="shared" si="57"/>
        <v>47.3</v>
      </c>
      <c r="D247" s="24">
        <f t="shared" si="57"/>
        <v>54.3</v>
      </c>
      <c r="E247" s="24">
        <v>52.1</v>
      </c>
      <c r="G247" s="12"/>
      <c r="H247" s="28"/>
      <c r="I247" s="28"/>
    </row>
    <row r="248">
      <c r="A248" s="22" t="s">
        <v>92</v>
      </c>
      <c r="B248" s="24">
        <v>7.0</v>
      </c>
      <c r="C248" s="24">
        <v>10.0</v>
      </c>
      <c r="D248" s="24">
        <v>4.0</v>
      </c>
      <c r="E248" s="24">
        <v>4.0</v>
      </c>
      <c r="G248" s="12"/>
      <c r="H248" s="28"/>
      <c r="I248" s="28"/>
    </row>
    <row r="249">
      <c r="A249" s="22" t="s">
        <v>93</v>
      </c>
      <c r="B249" s="23">
        <f>B233-B248-22</f>
        <v>21481</v>
      </c>
      <c r="C249" s="23">
        <f t="shared" ref="C249:E249" si="58">C233-C248</f>
        <v>21319</v>
      </c>
      <c r="D249" s="23">
        <f t="shared" si="58"/>
        <v>21192</v>
      </c>
      <c r="E249" s="23">
        <f t="shared" si="58"/>
        <v>21452</v>
      </c>
      <c r="G249" s="12"/>
      <c r="H249" s="28"/>
      <c r="I249" s="28"/>
    </row>
    <row r="250">
      <c r="A250" s="22" t="s">
        <v>94</v>
      </c>
      <c r="B250" s="23">
        <f t="shared" ref="B250:E250" si="59">B256*30</f>
        <v>20310</v>
      </c>
      <c r="C250" s="23">
        <f t="shared" si="59"/>
        <v>20160</v>
      </c>
      <c r="D250" s="23">
        <f t="shared" si="59"/>
        <v>19200</v>
      </c>
      <c r="E250" s="23">
        <f t="shared" si="59"/>
        <v>19890</v>
      </c>
      <c r="G250" s="12"/>
      <c r="H250" s="28"/>
      <c r="I250" s="28"/>
    </row>
    <row r="251">
      <c r="A251" s="22" t="s">
        <v>95</v>
      </c>
      <c r="B251" s="24">
        <v>19.0</v>
      </c>
      <c r="C251" s="24">
        <v>24.0</v>
      </c>
      <c r="D251" s="24">
        <v>15.0</v>
      </c>
      <c r="E251" s="24">
        <v>30.0</v>
      </c>
      <c r="G251" s="12"/>
      <c r="H251" s="28"/>
      <c r="I251" s="28"/>
    </row>
    <row r="252">
      <c r="A252" s="22" t="s">
        <v>96</v>
      </c>
      <c r="B252" s="24">
        <v>4.0</v>
      </c>
      <c r="C252" s="24">
        <v>6.0</v>
      </c>
      <c r="D252" s="24">
        <v>2.0</v>
      </c>
      <c r="E252" s="24">
        <v>6.0</v>
      </c>
      <c r="G252" s="12"/>
      <c r="H252" s="28"/>
      <c r="I252" s="28"/>
    </row>
    <row r="253">
      <c r="A253" s="22" t="s">
        <v>111</v>
      </c>
      <c r="B253" s="24">
        <v>110.0</v>
      </c>
      <c r="C253" s="24">
        <v>110.0</v>
      </c>
      <c r="D253" s="24">
        <v>110.0</v>
      </c>
      <c r="E253" s="24">
        <v>110.0</v>
      </c>
      <c r="G253" s="12"/>
      <c r="H253" s="28"/>
      <c r="I253" s="28"/>
    </row>
    <row r="254">
      <c r="A254" s="22" t="s">
        <v>98</v>
      </c>
      <c r="B254" s="24">
        <v>3.0</v>
      </c>
      <c r="C254" s="24">
        <v>2.0</v>
      </c>
      <c r="D254" s="24">
        <v>1.0</v>
      </c>
      <c r="E254" s="24">
        <v>1.0</v>
      </c>
      <c r="G254" s="12"/>
      <c r="H254" s="28"/>
      <c r="I254" s="28"/>
    </row>
    <row r="255">
      <c r="A255" s="22" t="s">
        <v>112</v>
      </c>
      <c r="B255" s="26">
        <f t="shared" ref="B255:E255" si="60">round(((B250/B249)*100),2)</f>
        <v>94.55</v>
      </c>
      <c r="C255" s="26">
        <f t="shared" si="60"/>
        <v>94.56</v>
      </c>
      <c r="D255" s="26">
        <f t="shared" si="60"/>
        <v>90.6</v>
      </c>
      <c r="E255" s="26">
        <f t="shared" si="60"/>
        <v>92.72</v>
      </c>
      <c r="G255" s="12"/>
      <c r="H255" s="28"/>
      <c r="I255" s="28"/>
    </row>
    <row r="256">
      <c r="A256" s="22" t="s">
        <v>100</v>
      </c>
      <c r="B256" s="24">
        <v>677.0</v>
      </c>
      <c r="C256" s="24">
        <v>672.0</v>
      </c>
      <c r="D256" s="24">
        <v>640.0</v>
      </c>
      <c r="E256" s="24">
        <v>663.0</v>
      </c>
      <c r="G256" s="12"/>
      <c r="H256" s="28"/>
      <c r="I256" s="28"/>
    </row>
    <row r="257">
      <c r="A257" s="18"/>
      <c r="B257" s="18"/>
      <c r="C257" s="32" t="s">
        <v>169</v>
      </c>
      <c r="D257" s="18"/>
      <c r="E257" s="32"/>
      <c r="G257" s="12"/>
      <c r="H257" s="28"/>
      <c r="I257" s="28"/>
    </row>
    <row r="258">
      <c r="A258" s="22" t="s">
        <v>103</v>
      </c>
      <c r="B258" s="27" t="s">
        <v>170</v>
      </c>
      <c r="G258" s="12"/>
      <c r="H258" s="28"/>
      <c r="I258" s="28"/>
    </row>
    <row r="259">
      <c r="A259" s="14"/>
      <c r="B259" s="12"/>
      <c r="C259" s="12"/>
      <c r="D259" s="12"/>
      <c r="E259" s="12"/>
      <c r="G259" s="12"/>
      <c r="H259" s="28"/>
      <c r="I259" s="28"/>
    </row>
    <row r="260">
      <c r="A260" s="14"/>
      <c r="B260" s="12"/>
      <c r="C260" s="12"/>
      <c r="D260" s="12"/>
      <c r="E260" s="12"/>
      <c r="G260" s="12"/>
      <c r="H260" s="28"/>
      <c r="I260" s="28"/>
    </row>
    <row r="261">
      <c r="A261" s="19"/>
      <c r="B261" s="29">
        <v>45876.0</v>
      </c>
      <c r="G261" s="12"/>
      <c r="H261" s="28"/>
      <c r="I261" s="28"/>
    </row>
    <row r="262">
      <c r="B262" s="21" t="s">
        <v>4</v>
      </c>
      <c r="C262" s="21" t="s">
        <v>5</v>
      </c>
      <c r="D262" s="21" t="s">
        <v>6</v>
      </c>
      <c r="E262" s="21" t="s">
        <v>7</v>
      </c>
      <c r="G262" s="12"/>
      <c r="H262" s="28"/>
      <c r="I262" s="28"/>
    </row>
    <row r="263">
      <c r="A263" s="22" t="s">
        <v>91</v>
      </c>
      <c r="B263" s="24">
        <f t="shared" ref="B263:E263" si="61">B247+0.1</f>
        <v>49.6</v>
      </c>
      <c r="C263" s="24">
        <f t="shared" si="61"/>
        <v>47.4</v>
      </c>
      <c r="D263" s="24">
        <f t="shared" si="61"/>
        <v>54.4</v>
      </c>
      <c r="E263" s="24">
        <f t="shared" si="61"/>
        <v>52.2</v>
      </c>
      <c r="G263" s="12"/>
      <c r="H263" s="28"/>
      <c r="I263" s="28"/>
    </row>
    <row r="264">
      <c r="A264" s="22" t="s">
        <v>92</v>
      </c>
      <c r="B264" s="24">
        <v>8.0</v>
      </c>
      <c r="C264" s="24">
        <v>2.0</v>
      </c>
      <c r="D264" s="24">
        <v>2.0</v>
      </c>
      <c r="E264" s="24">
        <v>2.0</v>
      </c>
      <c r="G264" s="12"/>
      <c r="H264" s="28"/>
      <c r="I264" s="28"/>
    </row>
    <row r="265">
      <c r="A265" s="22" t="s">
        <v>93</v>
      </c>
      <c r="B265" s="23">
        <f>B249-B264</f>
        <v>21473</v>
      </c>
      <c r="C265" s="23">
        <f>C249-C264-15</f>
        <v>21302</v>
      </c>
      <c r="D265" s="23">
        <f t="shared" ref="D265:E265" si="62">D249-D264</f>
        <v>21190</v>
      </c>
      <c r="E265" s="23">
        <f t="shared" si="62"/>
        <v>21450</v>
      </c>
      <c r="G265" s="12"/>
      <c r="H265" s="28"/>
      <c r="I265" s="28"/>
    </row>
    <row r="266">
      <c r="A266" s="22" t="s">
        <v>94</v>
      </c>
      <c r="B266" s="23">
        <f t="shared" ref="B266:E266" si="63">B272*30</f>
        <v>20160</v>
      </c>
      <c r="C266" s="23">
        <f t="shared" si="63"/>
        <v>19950</v>
      </c>
      <c r="D266" s="23">
        <f t="shared" si="63"/>
        <v>19140</v>
      </c>
      <c r="E266" s="23">
        <f t="shared" si="63"/>
        <v>19920</v>
      </c>
      <c r="G266" s="12"/>
      <c r="H266" s="28"/>
      <c r="I266" s="28"/>
    </row>
    <row r="267">
      <c r="A267" s="22" t="s">
        <v>95</v>
      </c>
      <c r="B267" s="24">
        <v>12.0</v>
      </c>
      <c r="C267" s="24">
        <v>25.0</v>
      </c>
      <c r="D267" s="24">
        <v>10.0</v>
      </c>
      <c r="E267" s="24">
        <v>30.0</v>
      </c>
      <c r="G267" s="12"/>
    </row>
    <row r="268">
      <c r="A268" s="22" t="s">
        <v>96</v>
      </c>
      <c r="B268" s="24">
        <v>5.0</v>
      </c>
      <c r="C268" s="24">
        <v>5.0</v>
      </c>
      <c r="D268" s="24">
        <v>5.0</v>
      </c>
      <c r="E268" s="24">
        <v>0.0</v>
      </c>
      <c r="G268" s="12"/>
    </row>
    <row r="269">
      <c r="A269" s="22" t="s">
        <v>111</v>
      </c>
      <c r="B269" s="24">
        <v>0.0</v>
      </c>
      <c r="C269" s="24">
        <v>0.0</v>
      </c>
      <c r="D269" s="24">
        <v>0.0</v>
      </c>
      <c r="E269" s="24">
        <v>0.0</v>
      </c>
      <c r="G269" s="12"/>
    </row>
    <row r="270">
      <c r="A270" s="22" t="s">
        <v>98</v>
      </c>
      <c r="B270" s="24">
        <v>2.0</v>
      </c>
      <c r="C270" s="24">
        <v>1.0</v>
      </c>
      <c r="D270" s="24">
        <v>1.0</v>
      </c>
      <c r="E270" s="24" t="s">
        <v>171</v>
      </c>
      <c r="G270" s="12"/>
    </row>
    <row r="271">
      <c r="A271" s="22" t="s">
        <v>112</v>
      </c>
      <c r="B271" s="26">
        <f t="shared" ref="B271:E271" si="64">round(((B266/B265)*100),2)</f>
        <v>93.89</v>
      </c>
      <c r="C271" s="26">
        <f t="shared" si="64"/>
        <v>93.65</v>
      </c>
      <c r="D271" s="26">
        <f t="shared" si="64"/>
        <v>90.33</v>
      </c>
      <c r="E271" s="26">
        <f t="shared" si="64"/>
        <v>92.87</v>
      </c>
      <c r="G271" s="12"/>
    </row>
    <row r="272">
      <c r="A272" s="22" t="s">
        <v>100</v>
      </c>
      <c r="B272" s="24">
        <v>672.0</v>
      </c>
      <c r="C272" s="24">
        <v>665.0</v>
      </c>
      <c r="D272" s="24">
        <v>638.0</v>
      </c>
      <c r="E272" s="24">
        <v>664.0</v>
      </c>
      <c r="G272" s="12"/>
    </row>
    <row r="273">
      <c r="A273" s="18"/>
      <c r="B273" s="18"/>
      <c r="C273" s="18"/>
      <c r="D273" s="32" t="s">
        <v>172</v>
      </c>
      <c r="E273" s="32"/>
      <c r="G273" s="12"/>
    </row>
    <row r="274">
      <c r="A274" s="22" t="s">
        <v>103</v>
      </c>
      <c r="B274" s="27" t="s">
        <v>173</v>
      </c>
      <c r="G274" s="12"/>
    </row>
    <row r="275">
      <c r="A275" s="14"/>
      <c r="B275" s="12"/>
      <c r="C275" s="12"/>
      <c r="D275" s="12"/>
      <c r="E275" s="12"/>
      <c r="G275" s="12"/>
    </row>
    <row r="276">
      <c r="A276" s="14"/>
      <c r="B276" s="12"/>
      <c r="C276" s="12"/>
      <c r="D276" s="12"/>
      <c r="E276" s="12"/>
      <c r="G276" s="12"/>
    </row>
    <row r="277">
      <c r="A277" s="19"/>
      <c r="B277" s="29">
        <v>45907.0</v>
      </c>
      <c r="G277" s="12"/>
      <c r="H277" s="28"/>
      <c r="I277" s="28"/>
    </row>
    <row r="278">
      <c r="B278" s="21" t="s">
        <v>4</v>
      </c>
      <c r="C278" s="21" t="s">
        <v>5</v>
      </c>
      <c r="D278" s="21" t="s">
        <v>6</v>
      </c>
      <c r="E278" s="21" t="s">
        <v>7</v>
      </c>
      <c r="G278" s="12"/>
      <c r="H278" s="28"/>
      <c r="I278" s="28"/>
    </row>
    <row r="279">
      <c r="A279" s="22" t="s">
        <v>91</v>
      </c>
      <c r="B279" s="24">
        <f t="shared" ref="B279:E279" si="65">B263+0.1</f>
        <v>49.7</v>
      </c>
      <c r="C279" s="24">
        <f t="shared" si="65"/>
        <v>47.5</v>
      </c>
      <c r="D279" s="24">
        <f t="shared" si="65"/>
        <v>54.5</v>
      </c>
      <c r="E279" s="24">
        <f t="shared" si="65"/>
        <v>52.3</v>
      </c>
      <c r="G279" s="12"/>
      <c r="H279" s="28"/>
      <c r="I279" s="28"/>
    </row>
    <row r="280">
      <c r="A280" s="22" t="s">
        <v>92</v>
      </c>
      <c r="B280" s="24">
        <v>5.0</v>
      </c>
      <c r="C280" s="24">
        <v>4.0</v>
      </c>
      <c r="D280" s="24">
        <v>7.0</v>
      </c>
      <c r="E280" s="24">
        <v>12.0</v>
      </c>
      <c r="G280" s="12"/>
      <c r="H280" s="28"/>
      <c r="I280" s="28"/>
    </row>
    <row r="281">
      <c r="A281" s="22" t="s">
        <v>93</v>
      </c>
      <c r="B281" s="23">
        <f t="shared" ref="B281:C281" si="66">B265-B280</f>
        <v>21468</v>
      </c>
      <c r="C281" s="23">
        <f t="shared" si="66"/>
        <v>21298</v>
      </c>
      <c r="D281" s="23">
        <f>D265-D280-26</f>
        <v>21157</v>
      </c>
      <c r="E281" s="23">
        <f>E265-E280</f>
        <v>21438</v>
      </c>
      <c r="G281" s="12"/>
      <c r="H281" s="28"/>
      <c r="I281" s="28"/>
    </row>
    <row r="282">
      <c r="A282" s="22" t="s">
        <v>94</v>
      </c>
      <c r="B282" s="23">
        <f t="shared" ref="B282:E282" si="67">B288*30</f>
        <v>20130</v>
      </c>
      <c r="C282" s="23">
        <f t="shared" si="67"/>
        <v>19920</v>
      </c>
      <c r="D282" s="23">
        <f t="shared" si="67"/>
        <v>19380</v>
      </c>
      <c r="E282" s="23">
        <f t="shared" si="67"/>
        <v>19770</v>
      </c>
      <c r="G282" s="12"/>
      <c r="H282" s="28"/>
      <c r="I282" s="28"/>
    </row>
    <row r="283">
      <c r="A283" s="22" t="s">
        <v>95</v>
      </c>
      <c r="B283" s="24">
        <v>13.0</v>
      </c>
      <c r="C283" s="24">
        <v>18.0</v>
      </c>
      <c r="D283" s="24">
        <v>2.0</v>
      </c>
      <c r="E283" s="24">
        <v>30.0</v>
      </c>
      <c r="G283" s="12"/>
      <c r="H283" s="28"/>
      <c r="I283" s="28"/>
    </row>
    <row r="284">
      <c r="A284" s="22" t="s">
        <v>96</v>
      </c>
      <c r="B284" s="24">
        <v>4.0</v>
      </c>
      <c r="C284" s="24">
        <v>4.0</v>
      </c>
      <c r="D284" s="24">
        <v>0.0</v>
      </c>
      <c r="E284" s="24">
        <v>2.0</v>
      </c>
      <c r="G284" s="12"/>
      <c r="H284" s="28"/>
      <c r="I284" s="28"/>
    </row>
    <row r="285">
      <c r="A285" s="22" t="s">
        <v>111</v>
      </c>
      <c r="B285" s="24">
        <v>0.0</v>
      </c>
      <c r="C285" s="24">
        <v>0.0</v>
      </c>
      <c r="D285" s="24">
        <v>0.0</v>
      </c>
      <c r="E285" s="24">
        <v>0.0</v>
      </c>
      <c r="G285" s="12"/>
      <c r="H285" s="28"/>
      <c r="I285" s="28"/>
    </row>
    <row r="286">
      <c r="A286" s="22" t="s">
        <v>98</v>
      </c>
      <c r="B286" s="24">
        <v>2.0</v>
      </c>
      <c r="C286" s="24">
        <v>2.0</v>
      </c>
      <c r="D286" s="24" t="s">
        <v>174</v>
      </c>
      <c r="E286" s="24">
        <v>1.0</v>
      </c>
      <c r="G286" s="12"/>
      <c r="H286" s="28"/>
      <c r="I286" s="34"/>
    </row>
    <row r="287">
      <c r="A287" s="22" t="s">
        <v>112</v>
      </c>
      <c r="B287" s="26">
        <f t="shared" ref="B287:E287" si="68">round(((B282/B281)*100),2)</f>
        <v>93.77</v>
      </c>
      <c r="C287" s="26">
        <f t="shared" si="68"/>
        <v>93.53</v>
      </c>
      <c r="D287" s="26">
        <f t="shared" si="68"/>
        <v>91.6</v>
      </c>
      <c r="E287" s="26">
        <f t="shared" si="68"/>
        <v>92.22</v>
      </c>
      <c r="G287" s="12"/>
      <c r="H287" s="28"/>
      <c r="I287" s="28"/>
    </row>
    <row r="288">
      <c r="A288" s="22" t="s">
        <v>100</v>
      </c>
      <c r="B288" s="24">
        <v>671.0</v>
      </c>
      <c r="C288" s="24">
        <v>664.0</v>
      </c>
      <c r="D288" s="24">
        <v>646.0</v>
      </c>
      <c r="E288" s="24">
        <v>659.0</v>
      </c>
      <c r="G288" s="12"/>
      <c r="H288" s="28"/>
      <c r="I288" s="28"/>
    </row>
    <row r="289">
      <c r="A289" s="25" t="s">
        <v>175</v>
      </c>
      <c r="B289" s="18"/>
      <c r="C289" s="32">
        <v>10.0</v>
      </c>
      <c r="D289" s="32"/>
      <c r="E289" s="32">
        <v>4.0</v>
      </c>
      <c r="G289" s="12"/>
      <c r="H289" s="28"/>
      <c r="I289" s="28"/>
    </row>
    <row r="290">
      <c r="A290" s="22" t="s">
        <v>103</v>
      </c>
      <c r="B290" s="27" t="s">
        <v>176</v>
      </c>
      <c r="G290" s="12"/>
      <c r="H290" s="28"/>
      <c r="I290" s="28"/>
    </row>
    <row r="291">
      <c r="A291" s="14"/>
      <c r="B291" s="12"/>
      <c r="C291" s="12"/>
      <c r="D291" s="12"/>
      <c r="E291" s="12"/>
      <c r="G291" s="12"/>
      <c r="H291" s="28"/>
      <c r="I291" s="28"/>
    </row>
    <row r="292">
      <c r="A292" s="14"/>
      <c r="B292" s="12"/>
      <c r="C292" s="12"/>
      <c r="D292" s="12"/>
      <c r="E292" s="12"/>
      <c r="G292" s="11"/>
      <c r="H292" s="28"/>
      <c r="I292" s="28"/>
    </row>
    <row r="293">
      <c r="A293" s="19"/>
      <c r="B293" s="29">
        <v>45937.0</v>
      </c>
      <c r="G293" s="11"/>
      <c r="H293" s="28"/>
      <c r="I293" s="28"/>
    </row>
    <row r="294">
      <c r="B294" s="21" t="s">
        <v>4</v>
      </c>
      <c r="C294" s="21" t="s">
        <v>5</v>
      </c>
      <c r="D294" s="21" t="s">
        <v>6</v>
      </c>
      <c r="E294" s="21" t="s">
        <v>7</v>
      </c>
      <c r="G294" s="12"/>
      <c r="H294" s="28"/>
      <c r="I294" s="28"/>
    </row>
    <row r="295">
      <c r="A295" s="22" t="s">
        <v>91</v>
      </c>
      <c r="B295" s="24">
        <v>50.1</v>
      </c>
      <c r="C295" s="24">
        <f t="shared" ref="C295:E295" si="69">C279+0.1</f>
        <v>47.6</v>
      </c>
      <c r="D295" s="24">
        <f t="shared" si="69"/>
        <v>54.6</v>
      </c>
      <c r="E295" s="24">
        <f t="shared" si="69"/>
        <v>52.4</v>
      </c>
      <c r="G295" s="12"/>
      <c r="H295" s="28"/>
      <c r="I295" s="28"/>
    </row>
    <row r="296">
      <c r="A296" s="22" t="s">
        <v>92</v>
      </c>
      <c r="B296" s="24">
        <v>5.0</v>
      </c>
      <c r="C296" s="24">
        <v>1.0</v>
      </c>
      <c r="D296" s="24">
        <v>4.0</v>
      </c>
      <c r="E296" s="24">
        <v>9.0</v>
      </c>
      <c r="G296" s="12"/>
      <c r="H296" s="28"/>
      <c r="I296" s="28"/>
    </row>
    <row r="297">
      <c r="A297" s="22" t="s">
        <v>93</v>
      </c>
      <c r="B297" s="23">
        <f>B281-B296</f>
        <v>21463</v>
      </c>
      <c r="C297" s="23">
        <f>C281-C296-10</f>
        <v>21287</v>
      </c>
      <c r="D297" s="23">
        <f>D281-D296</f>
        <v>21153</v>
      </c>
      <c r="E297" s="23">
        <f>E281-E296-4</f>
        <v>21425</v>
      </c>
      <c r="G297" s="12"/>
      <c r="H297" s="28"/>
      <c r="I297" s="28"/>
    </row>
    <row r="298">
      <c r="A298" s="22" t="s">
        <v>94</v>
      </c>
      <c r="B298" s="23">
        <f t="shared" ref="B298:E298" si="70">B304*30</f>
        <v>20160</v>
      </c>
      <c r="C298" s="23">
        <f t="shared" si="70"/>
        <v>19950</v>
      </c>
      <c r="D298" s="23">
        <f t="shared" si="70"/>
        <v>19230</v>
      </c>
      <c r="E298" s="23">
        <f t="shared" si="70"/>
        <v>20400</v>
      </c>
      <c r="G298" s="12"/>
      <c r="H298" s="28"/>
      <c r="I298" s="28"/>
    </row>
    <row r="299">
      <c r="A299" s="22" t="s">
        <v>95</v>
      </c>
      <c r="B299" s="24">
        <v>13.0</v>
      </c>
      <c r="C299" s="24">
        <v>27.0</v>
      </c>
      <c r="D299" s="24">
        <v>14.0</v>
      </c>
      <c r="E299" s="24">
        <v>34.0</v>
      </c>
      <c r="G299" s="12"/>
      <c r="H299" s="28"/>
      <c r="I299" s="28"/>
    </row>
    <row r="300">
      <c r="A300" s="22" t="s">
        <v>96</v>
      </c>
      <c r="B300" s="24">
        <v>5.0</v>
      </c>
      <c r="C300" s="24">
        <v>3.0</v>
      </c>
      <c r="D300" s="24">
        <v>0.0</v>
      </c>
      <c r="E300" s="24">
        <v>7.0</v>
      </c>
      <c r="G300" s="12"/>
      <c r="H300" s="28"/>
      <c r="I300" s="28"/>
    </row>
    <row r="301">
      <c r="A301" s="22" t="s">
        <v>111</v>
      </c>
      <c r="B301" s="24">
        <v>110.0</v>
      </c>
      <c r="C301" s="24">
        <v>110.0</v>
      </c>
      <c r="D301" s="24">
        <v>110.0</v>
      </c>
      <c r="E301" s="24">
        <v>110.0</v>
      </c>
      <c r="G301" s="12"/>
      <c r="H301" s="28"/>
      <c r="I301" s="28"/>
    </row>
    <row r="302">
      <c r="A302" s="22" t="s">
        <v>98</v>
      </c>
      <c r="B302" s="24">
        <v>2.0</v>
      </c>
      <c r="C302" s="24">
        <v>1.0</v>
      </c>
      <c r="D302" s="24">
        <v>1.0</v>
      </c>
      <c r="E302" s="24" t="s">
        <v>177</v>
      </c>
      <c r="G302" s="12"/>
      <c r="H302" s="28"/>
      <c r="I302" s="28"/>
    </row>
    <row r="303">
      <c r="A303" s="22" t="s">
        <v>112</v>
      </c>
      <c r="B303" s="26">
        <f t="shared" ref="B303:E303" si="71">round(((B298/B297)*100),2)</f>
        <v>93.93</v>
      </c>
      <c r="C303" s="26">
        <f t="shared" si="71"/>
        <v>93.72</v>
      </c>
      <c r="D303" s="26">
        <f t="shared" si="71"/>
        <v>90.91</v>
      </c>
      <c r="E303" s="26">
        <f t="shared" si="71"/>
        <v>95.22</v>
      </c>
      <c r="G303" s="12"/>
      <c r="H303" s="28"/>
      <c r="I303" s="28"/>
    </row>
    <row r="304">
      <c r="A304" s="22" t="s">
        <v>100</v>
      </c>
      <c r="B304" s="24">
        <v>672.0</v>
      </c>
      <c r="C304" s="24">
        <v>665.0</v>
      </c>
      <c r="D304" s="24">
        <v>641.0</v>
      </c>
      <c r="E304" s="24">
        <v>680.0</v>
      </c>
      <c r="G304" s="12"/>
      <c r="H304" s="28"/>
      <c r="I304" s="28"/>
    </row>
    <row r="305">
      <c r="A305" s="25" t="s">
        <v>175</v>
      </c>
      <c r="B305" s="32">
        <v>15.0</v>
      </c>
      <c r="C305" s="18"/>
      <c r="D305" s="32"/>
      <c r="E305" s="32">
        <v>1.0</v>
      </c>
      <c r="G305" s="12"/>
      <c r="H305" s="28"/>
      <c r="I305" s="28"/>
    </row>
    <row r="306">
      <c r="A306" s="10" t="s">
        <v>178</v>
      </c>
      <c r="B306" s="15" t="s">
        <v>179</v>
      </c>
      <c r="C306" s="15" t="s">
        <v>180</v>
      </c>
      <c r="D306" s="3" t="s">
        <v>181</v>
      </c>
      <c r="G306" s="12"/>
      <c r="H306" s="28"/>
      <c r="I306" s="28"/>
    </row>
    <row r="307">
      <c r="A307" s="22" t="s">
        <v>103</v>
      </c>
      <c r="B307" s="27">
        <v>2658.0</v>
      </c>
      <c r="G307" s="12"/>
      <c r="H307" s="28"/>
      <c r="I307" s="28"/>
    </row>
    <row r="308">
      <c r="A308" s="14"/>
      <c r="B308" s="12"/>
      <c r="C308" s="12"/>
      <c r="D308" s="12"/>
      <c r="E308" s="12"/>
      <c r="G308" s="12"/>
      <c r="H308" s="28"/>
      <c r="I308" s="28"/>
    </row>
    <row r="309">
      <c r="A309" s="14"/>
      <c r="B309" s="12"/>
      <c r="C309" s="12"/>
      <c r="D309" s="12"/>
      <c r="E309" s="12"/>
      <c r="G309" s="12"/>
      <c r="H309" s="28"/>
      <c r="I309" s="28"/>
    </row>
    <row r="310">
      <c r="A310" s="19"/>
      <c r="B310" s="29">
        <v>45968.0</v>
      </c>
      <c r="G310" s="12"/>
      <c r="H310" s="28"/>
      <c r="I310" s="28"/>
    </row>
    <row r="311">
      <c r="B311" s="21" t="s">
        <v>4</v>
      </c>
      <c r="C311" s="21" t="s">
        <v>5</v>
      </c>
      <c r="D311" s="21" t="s">
        <v>6</v>
      </c>
      <c r="E311" s="21" t="s">
        <v>7</v>
      </c>
      <c r="G311" s="12"/>
      <c r="H311" s="28"/>
      <c r="I311" s="28"/>
    </row>
    <row r="312">
      <c r="A312" s="22" t="s">
        <v>91</v>
      </c>
      <c r="B312" s="24">
        <f t="shared" ref="B312:E312" si="72">B295+0.1</f>
        <v>50.2</v>
      </c>
      <c r="C312" s="24">
        <f t="shared" si="72"/>
        <v>47.7</v>
      </c>
      <c r="D312" s="24">
        <f t="shared" si="72"/>
        <v>54.7</v>
      </c>
      <c r="E312" s="24">
        <f t="shared" si="72"/>
        <v>52.5</v>
      </c>
      <c r="G312" s="12"/>
      <c r="H312" s="28"/>
      <c r="I312" s="28"/>
    </row>
    <row r="313">
      <c r="A313" s="22" t="s">
        <v>92</v>
      </c>
      <c r="B313" s="24">
        <v>4.0</v>
      </c>
      <c r="C313" s="24">
        <v>3.0</v>
      </c>
      <c r="D313" s="24">
        <v>2.0</v>
      </c>
      <c r="E313" s="24">
        <v>9.0</v>
      </c>
      <c r="G313" s="12"/>
      <c r="H313" s="28"/>
      <c r="I313" s="28"/>
    </row>
    <row r="314">
      <c r="A314" s="22" t="s">
        <v>93</v>
      </c>
      <c r="B314" s="23">
        <f>B297-B313-15</f>
        <v>21444</v>
      </c>
      <c r="C314" s="23">
        <f t="shared" ref="C314:D314" si="73">C297-C313</f>
        <v>21284</v>
      </c>
      <c r="D314" s="23">
        <f t="shared" si="73"/>
        <v>21151</v>
      </c>
      <c r="E314" s="23">
        <f>E297-E313-1</f>
        <v>21415</v>
      </c>
      <c r="G314" s="12"/>
      <c r="H314" s="28"/>
      <c r="I314" s="28"/>
    </row>
    <row r="315">
      <c r="A315" s="22" t="s">
        <v>94</v>
      </c>
      <c r="B315" s="23">
        <f t="shared" ref="B315:E315" si="74">B321*30</f>
        <v>20130</v>
      </c>
      <c r="C315" s="23">
        <f t="shared" si="74"/>
        <v>19590</v>
      </c>
      <c r="D315" s="23">
        <f t="shared" si="74"/>
        <v>19110</v>
      </c>
      <c r="E315" s="23">
        <f t="shared" si="74"/>
        <v>19260</v>
      </c>
      <c r="G315" s="12"/>
      <c r="H315" s="28"/>
      <c r="I315" s="28"/>
    </row>
    <row r="316">
      <c r="A316" s="22" t="s">
        <v>95</v>
      </c>
      <c r="B316" s="24">
        <v>15.0</v>
      </c>
      <c r="C316" s="24">
        <v>32.0</v>
      </c>
      <c r="D316" s="24" t="s">
        <v>182</v>
      </c>
      <c r="E316" s="24">
        <v>12.0</v>
      </c>
      <c r="G316" s="12"/>
      <c r="H316" s="28"/>
      <c r="I316" s="28"/>
    </row>
    <row r="317">
      <c r="A317" s="22" t="s">
        <v>96</v>
      </c>
      <c r="B317" s="24">
        <v>4.0</v>
      </c>
      <c r="C317" s="24">
        <v>2.0</v>
      </c>
      <c r="D317" s="24" t="s">
        <v>182</v>
      </c>
      <c r="E317" s="24">
        <v>2.0</v>
      </c>
      <c r="G317" s="12"/>
      <c r="H317" s="28"/>
      <c r="I317" s="28"/>
    </row>
    <row r="318">
      <c r="A318" s="22" t="s">
        <v>111</v>
      </c>
      <c r="B318" s="24">
        <v>0.0</v>
      </c>
      <c r="C318" s="24">
        <v>0.0</v>
      </c>
      <c r="D318" s="24">
        <v>0.0</v>
      </c>
      <c r="E318" s="24">
        <v>0.0</v>
      </c>
      <c r="G318" s="12"/>
      <c r="H318" s="28"/>
      <c r="I318" s="28"/>
    </row>
    <row r="319">
      <c r="A319" s="22" t="s">
        <v>98</v>
      </c>
      <c r="B319" s="24">
        <v>2.0</v>
      </c>
      <c r="C319" s="24">
        <v>2.0</v>
      </c>
      <c r="D319" s="24">
        <v>1.0</v>
      </c>
      <c r="E319" s="24" t="s">
        <v>183</v>
      </c>
      <c r="G319" s="12"/>
      <c r="H319" s="28"/>
      <c r="I319" s="28"/>
    </row>
    <row r="320">
      <c r="A320" s="22" t="s">
        <v>112</v>
      </c>
      <c r="B320" s="26">
        <f t="shared" ref="B320:E320" si="75">round(((B315/B314)*100),2)</f>
        <v>93.87</v>
      </c>
      <c r="C320" s="26">
        <f t="shared" si="75"/>
        <v>92.04</v>
      </c>
      <c r="D320" s="26">
        <f t="shared" si="75"/>
        <v>90.35</v>
      </c>
      <c r="E320" s="26">
        <f t="shared" si="75"/>
        <v>89.94</v>
      </c>
      <c r="G320" s="12"/>
      <c r="H320" s="28"/>
      <c r="I320" s="28"/>
    </row>
    <row r="321">
      <c r="A321" s="22" t="s">
        <v>100</v>
      </c>
      <c r="B321" s="24">
        <v>671.0</v>
      </c>
      <c r="C321" s="24">
        <v>653.0</v>
      </c>
      <c r="D321" s="24">
        <v>637.0</v>
      </c>
      <c r="E321" s="24">
        <v>642.0</v>
      </c>
      <c r="G321" s="12"/>
      <c r="H321" s="28"/>
      <c r="I321" s="28"/>
    </row>
    <row r="322">
      <c r="A322" s="6"/>
      <c r="B322" s="39"/>
      <c r="C322" s="39"/>
      <c r="D322" s="33"/>
      <c r="E322" s="33"/>
      <c r="G322" s="12"/>
      <c r="H322" s="28"/>
      <c r="I322" s="28"/>
    </row>
    <row r="323">
      <c r="A323" s="22" t="s">
        <v>103</v>
      </c>
      <c r="B323" s="27" t="s">
        <v>184</v>
      </c>
      <c r="G323" s="12"/>
      <c r="H323" s="28"/>
      <c r="I323" s="28"/>
    </row>
    <row r="324">
      <c r="A324" s="14"/>
      <c r="B324" s="12"/>
      <c r="C324" s="12"/>
      <c r="D324" s="12"/>
      <c r="E324" s="12"/>
      <c r="G324" s="12"/>
      <c r="H324" s="28"/>
      <c r="I324" s="28"/>
    </row>
    <row r="325">
      <c r="A325" s="14"/>
      <c r="B325" s="12"/>
      <c r="C325" s="12"/>
      <c r="D325" s="12"/>
      <c r="E325" s="12"/>
      <c r="G325" s="12"/>
      <c r="H325" s="28"/>
      <c r="I325" s="28"/>
    </row>
    <row r="326">
      <c r="A326" s="19"/>
      <c r="B326" s="29">
        <v>45998.0</v>
      </c>
      <c r="G326" s="12"/>
      <c r="H326" s="28"/>
      <c r="I326" s="28"/>
    </row>
    <row r="327">
      <c r="B327" s="21" t="s">
        <v>4</v>
      </c>
      <c r="C327" s="21" t="s">
        <v>5</v>
      </c>
      <c r="D327" s="21" t="s">
        <v>6</v>
      </c>
      <c r="E327" s="21" t="s">
        <v>7</v>
      </c>
      <c r="G327" s="12"/>
      <c r="H327" s="28"/>
      <c r="I327" s="28"/>
    </row>
    <row r="328">
      <c r="A328" s="22" t="s">
        <v>91</v>
      </c>
      <c r="B328" s="24">
        <f>B312+0.1</f>
        <v>50.3</v>
      </c>
      <c r="C328" s="24">
        <v>48.1</v>
      </c>
      <c r="D328" s="24">
        <v>55.1</v>
      </c>
      <c r="E328" s="24">
        <f>E312+0.1</f>
        <v>52.6</v>
      </c>
      <c r="G328" s="12"/>
      <c r="H328" s="28"/>
      <c r="I328" s="28"/>
    </row>
    <row r="329">
      <c r="A329" s="22" t="s">
        <v>92</v>
      </c>
      <c r="B329" s="24">
        <v>5.0</v>
      </c>
      <c r="C329" s="24">
        <v>4.0</v>
      </c>
      <c r="D329" s="24">
        <v>3.0</v>
      </c>
      <c r="E329" s="24">
        <v>0.0</v>
      </c>
      <c r="G329" s="12"/>
      <c r="H329" s="28"/>
      <c r="I329" s="28"/>
    </row>
    <row r="330">
      <c r="A330" s="22" t="s">
        <v>93</v>
      </c>
      <c r="B330" s="23">
        <f t="shared" ref="B330:E330" si="76">B314-B329</f>
        <v>21439</v>
      </c>
      <c r="C330" s="23">
        <f t="shared" si="76"/>
        <v>21280</v>
      </c>
      <c r="D330" s="23">
        <f t="shared" si="76"/>
        <v>21148</v>
      </c>
      <c r="E330" s="23">
        <f t="shared" si="76"/>
        <v>21415</v>
      </c>
      <c r="G330" s="12"/>
      <c r="H330" s="28"/>
      <c r="I330" s="28"/>
    </row>
    <row r="331">
      <c r="A331" s="22" t="s">
        <v>94</v>
      </c>
      <c r="B331" s="23">
        <f t="shared" ref="B331:E331" si="77">B337*30</f>
        <v>20100</v>
      </c>
      <c r="C331" s="23">
        <f t="shared" si="77"/>
        <v>20070</v>
      </c>
      <c r="D331" s="23">
        <f t="shared" si="77"/>
        <v>19560</v>
      </c>
      <c r="E331" s="23">
        <f t="shared" si="77"/>
        <v>20430</v>
      </c>
      <c r="G331" s="12"/>
      <c r="H331" s="28"/>
      <c r="I331" s="28"/>
    </row>
    <row r="332">
      <c r="A332" s="22" t="s">
        <v>95</v>
      </c>
      <c r="B332" s="24">
        <v>18.0</v>
      </c>
      <c r="C332" s="24">
        <v>30.0</v>
      </c>
      <c r="D332" s="24">
        <v>12.0</v>
      </c>
      <c r="E332" s="24">
        <v>10.0</v>
      </c>
      <c r="G332" s="12"/>
      <c r="H332" s="28"/>
      <c r="I332" s="28"/>
    </row>
    <row r="333">
      <c r="A333" s="22" t="s">
        <v>96</v>
      </c>
      <c r="B333" s="24">
        <v>3.0</v>
      </c>
      <c r="C333" s="24">
        <v>5.0</v>
      </c>
      <c r="D333" s="24">
        <v>4.0</v>
      </c>
      <c r="E333" s="24">
        <v>3.0</v>
      </c>
      <c r="G333" s="12"/>
      <c r="H333" s="28"/>
      <c r="I333" s="28"/>
    </row>
    <row r="334">
      <c r="A334" s="22" t="s">
        <v>111</v>
      </c>
      <c r="B334" s="24">
        <v>0.0</v>
      </c>
      <c r="C334" s="24">
        <v>0.0</v>
      </c>
      <c r="D334" s="24">
        <v>0.0</v>
      </c>
      <c r="E334" s="24">
        <v>0.0</v>
      </c>
      <c r="G334" s="12"/>
      <c r="H334" s="28"/>
      <c r="I334" s="28"/>
    </row>
    <row r="335">
      <c r="A335" s="22" t="s">
        <v>98</v>
      </c>
      <c r="B335" s="24">
        <v>1.0</v>
      </c>
      <c r="C335" s="24">
        <v>1.0</v>
      </c>
      <c r="D335" s="24">
        <v>1.0</v>
      </c>
      <c r="E335" s="24">
        <v>2.0</v>
      </c>
      <c r="G335" s="12"/>
      <c r="H335" s="28"/>
      <c r="I335" s="28"/>
    </row>
    <row r="336">
      <c r="A336" s="22" t="s">
        <v>112</v>
      </c>
      <c r="B336" s="26">
        <f t="shared" ref="B336:E336" si="78">round(((B331/B330)*100),2)</f>
        <v>93.75</v>
      </c>
      <c r="C336" s="26">
        <f t="shared" si="78"/>
        <v>94.31</v>
      </c>
      <c r="D336" s="26">
        <f t="shared" si="78"/>
        <v>92.49</v>
      </c>
      <c r="E336" s="26">
        <f t="shared" si="78"/>
        <v>95.4</v>
      </c>
      <c r="G336" s="12"/>
      <c r="H336" s="28"/>
      <c r="I336" s="28"/>
    </row>
    <row r="337">
      <c r="A337" s="22" t="s">
        <v>100</v>
      </c>
      <c r="B337" s="24">
        <v>670.0</v>
      </c>
      <c r="C337" s="24">
        <v>669.0</v>
      </c>
      <c r="D337" s="24">
        <v>652.0</v>
      </c>
      <c r="E337" s="24">
        <v>681.0</v>
      </c>
      <c r="G337" s="12"/>
      <c r="H337" s="28"/>
      <c r="I337" s="28"/>
    </row>
    <row r="338">
      <c r="A338" s="10" t="s">
        <v>178</v>
      </c>
      <c r="B338" s="15" t="s">
        <v>185</v>
      </c>
      <c r="C338" s="3" t="s">
        <v>186</v>
      </c>
      <c r="G338" s="12"/>
      <c r="H338" s="28"/>
      <c r="I338" s="28"/>
    </row>
    <row r="339">
      <c r="A339" s="22" t="s">
        <v>103</v>
      </c>
      <c r="B339" s="40" t="s">
        <v>187</v>
      </c>
      <c r="D339" s="40" t="s">
        <v>188</v>
      </c>
      <c r="G339" s="12"/>
      <c r="H339" s="28"/>
      <c r="I339" s="28"/>
    </row>
    <row r="340">
      <c r="A340" s="14"/>
      <c r="B340" s="12"/>
      <c r="C340" s="12"/>
      <c r="D340" s="12"/>
      <c r="E340" s="12"/>
      <c r="G340" s="12"/>
      <c r="H340" s="28"/>
      <c r="I340" s="28"/>
    </row>
    <row r="341">
      <c r="A341" s="14"/>
      <c r="B341" s="12"/>
      <c r="C341" s="12"/>
      <c r="D341" s="12"/>
      <c r="E341" s="12"/>
      <c r="G341" s="12"/>
      <c r="H341" s="28"/>
      <c r="I341" s="28"/>
    </row>
    <row r="342">
      <c r="A342" s="19"/>
      <c r="B342" s="20" t="s">
        <v>189</v>
      </c>
      <c r="G342" s="12"/>
      <c r="H342" s="28"/>
      <c r="I342" s="28"/>
    </row>
    <row r="343">
      <c r="B343" s="21" t="s">
        <v>4</v>
      </c>
      <c r="C343" s="21" t="s">
        <v>5</v>
      </c>
      <c r="D343" s="21" t="s">
        <v>6</v>
      </c>
      <c r="E343" s="21" t="s">
        <v>7</v>
      </c>
      <c r="G343" s="12"/>
      <c r="H343" s="28"/>
      <c r="I343" s="28"/>
    </row>
    <row r="344">
      <c r="A344" s="22" t="s">
        <v>91</v>
      </c>
      <c r="B344" s="24">
        <f t="shared" ref="B344:E344" si="79">B328+0.1</f>
        <v>50.4</v>
      </c>
      <c r="C344" s="24">
        <f t="shared" si="79"/>
        <v>48.2</v>
      </c>
      <c r="D344" s="24">
        <f t="shared" si="79"/>
        <v>55.2</v>
      </c>
      <c r="E344" s="24">
        <f t="shared" si="79"/>
        <v>52.7</v>
      </c>
      <c r="G344" s="12"/>
      <c r="H344" s="28"/>
      <c r="I344" s="28"/>
    </row>
    <row r="345">
      <c r="A345" s="22" t="s">
        <v>92</v>
      </c>
      <c r="B345" s="24">
        <v>6.0</v>
      </c>
      <c r="C345" s="24">
        <v>5.0</v>
      </c>
      <c r="D345" s="24">
        <v>5.0</v>
      </c>
      <c r="E345" s="24">
        <v>5.0</v>
      </c>
      <c r="G345" s="12"/>
      <c r="H345" s="28"/>
      <c r="I345" s="28"/>
    </row>
    <row r="346">
      <c r="A346" s="22" t="s">
        <v>93</v>
      </c>
      <c r="B346" s="23">
        <f t="shared" ref="B346:E346" si="80">B330-B345</f>
        <v>21433</v>
      </c>
      <c r="C346" s="23">
        <f t="shared" si="80"/>
        <v>21275</v>
      </c>
      <c r="D346" s="23">
        <f t="shared" si="80"/>
        <v>21143</v>
      </c>
      <c r="E346" s="23">
        <f t="shared" si="80"/>
        <v>21410</v>
      </c>
      <c r="G346" s="12"/>
      <c r="H346" s="28"/>
      <c r="I346" s="28"/>
    </row>
    <row r="347">
      <c r="A347" s="22" t="s">
        <v>94</v>
      </c>
      <c r="B347" s="23">
        <f t="shared" ref="B347:E347" si="81">B353*30</f>
        <v>20100</v>
      </c>
      <c r="C347" s="23">
        <f t="shared" si="81"/>
        <v>20100</v>
      </c>
      <c r="D347" s="23">
        <f t="shared" si="81"/>
        <v>19140</v>
      </c>
      <c r="E347" s="23">
        <f t="shared" si="81"/>
        <v>20190</v>
      </c>
      <c r="G347" s="12"/>
      <c r="H347" s="28"/>
      <c r="I347" s="28"/>
    </row>
    <row r="348">
      <c r="A348" s="22" t="s">
        <v>95</v>
      </c>
      <c r="B348" s="24">
        <v>15.0</v>
      </c>
      <c r="C348" s="24">
        <v>13.0</v>
      </c>
      <c r="D348" s="24">
        <v>5.0</v>
      </c>
      <c r="E348" s="24">
        <v>16.0</v>
      </c>
      <c r="G348" s="12"/>
      <c r="H348" s="28"/>
      <c r="I348" s="28"/>
    </row>
    <row r="349">
      <c r="A349" s="22" t="s">
        <v>96</v>
      </c>
      <c r="B349" s="24">
        <v>5.0</v>
      </c>
      <c r="C349" s="24">
        <v>4.0</v>
      </c>
      <c r="D349" s="24">
        <v>3.0</v>
      </c>
      <c r="E349" s="24">
        <v>4.0</v>
      </c>
      <c r="G349" s="12"/>
      <c r="H349" s="28"/>
      <c r="I349" s="28"/>
    </row>
    <row r="350">
      <c r="A350" s="22" t="s">
        <v>111</v>
      </c>
      <c r="B350" s="24">
        <v>0.0</v>
      </c>
      <c r="C350" s="24">
        <v>0.0</v>
      </c>
      <c r="D350" s="24">
        <v>0.0</v>
      </c>
      <c r="E350" s="24">
        <v>0.0</v>
      </c>
      <c r="G350" s="12"/>
      <c r="H350" s="28"/>
      <c r="I350" s="28"/>
    </row>
    <row r="351">
      <c r="A351" s="22" t="s">
        <v>98</v>
      </c>
      <c r="B351" s="24">
        <v>2.0</v>
      </c>
      <c r="C351" s="24" t="s">
        <v>190</v>
      </c>
      <c r="D351" s="24" t="s">
        <v>191</v>
      </c>
      <c r="E351" s="24">
        <v>1.0</v>
      </c>
      <c r="G351" s="12"/>
      <c r="H351" s="28"/>
      <c r="I351" s="28"/>
    </row>
    <row r="352">
      <c r="A352" s="22" t="s">
        <v>112</v>
      </c>
      <c r="B352" s="26">
        <f t="shared" ref="B352:E352" si="82">round(((B347/B346)*100),2)</f>
        <v>93.78</v>
      </c>
      <c r="C352" s="26">
        <f t="shared" si="82"/>
        <v>94.48</v>
      </c>
      <c r="D352" s="26">
        <f t="shared" si="82"/>
        <v>90.53</v>
      </c>
      <c r="E352" s="26">
        <f t="shared" si="82"/>
        <v>94.3</v>
      </c>
      <c r="G352" s="12"/>
      <c r="H352" s="28"/>
      <c r="I352" s="28"/>
    </row>
    <row r="353">
      <c r="A353" s="22" t="s">
        <v>100</v>
      </c>
      <c r="B353" s="24">
        <v>670.0</v>
      </c>
      <c r="C353" s="24">
        <v>670.0</v>
      </c>
      <c r="D353" s="24">
        <v>638.0</v>
      </c>
      <c r="E353" s="24">
        <v>673.0</v>
      </c>
      <c r="G353" s="12"/>
      <c r="I353" s="28"/>
    </row>
    <row r="354">
      <c r="A354" s="25" t="s">
        <v>175</v>
      </c>
      <c r="B354" s="15"/>
      <c r="C354" s="3"/>
      <c r="E354" s="3">
        <v>1.0</v>
      </c>
      <c r="G354" s="12"/>
      <c r="I354" s="28"/>
    </row>
    <row r="355">
      <c r="A355" s="22" t="s">
        <v>103</v>
      </c>
      <c r="B355" s="41"/>
      <c r="D355" s="40" t="s">
        <v>192</v>
      </c>
      <c r="G355" s="12"/>
      <c r="H355" s="28"/>
      <c r="I355" s="28"/>
    </row>
    <row r="356">
      <c r="A356" s="14"/>
      <c r="B356" s="12"/>
      <c r="C356" s="12"/>
      <c r="D356" s="12"/>
      <c r="E356" s="12"/>
      <c r="G356" s="12"/>
      <c r="H356" s="28"/>
      <c r="I356" s="28"/>
    </row>
    <row r="357">
      <c r="A357" s="14"/>
      <c r="B357" s="12"/>
      <c r="C357" s="12"/>
      <c r="D357" s="12"/>
      <c r="E357" s="12"/>
      <c r="G357" s="12"/>
      <c r="H357" s="28"/>
      <c r="I357" s="28"/>
    </row>
    <row r="358">
      <c r="A358" s="19"/>
      <c r="B358" s="20" t="s">
        <v>193</v>
      </c>
      <c r="G358" s="12"/>
      <c r="H358" s="28"/>
      <c r="I358" s="28"/>
    </row>
    <row r="359">
      <c r="B359" s="21" t="s">
        <v>4</v>
      </c>
      <c r="C359" s="21" t="s">
        <v>5</v>
      </c>
      <c r="D359" s="21" t="s">
        <v>6</v>
      </c>
      <c r="E359" s="21" t="s">
        <v>7</v>
      </c>
      <c r="G359" s="12"/>
      <c r="H359" s="28"/>
      <c r="I359" s="28"/>
    </row>
    <row r="360">
      <c r="A360" s="22" t="s">
        <v>91</v>
      </c>
      <c r="B360" s="24">
        <f t="shared" ref="B360:D360" si="83">B344+0.1</f>
        <v>50.5</v>
      </c>
      <c r="C360" s="24">
        <f t="shared" si="83"/>
        <v>48.3</v>
      </c>
      <c r="D360" s="24">
        <f t="shared" si="83"/>
        <v>55.3</v>
      </c>
      <c r="E360" s="24">
        <v>53.1</v>
      </c>
      <c r="G360" s="12"/>
      <c r="H360" s="28"/>
      <c r="I360" s="28"/>
    </row>
    <row r="361">
      <c r="A361" s="22" t="s">
        <v>92</v>
      </c>
      <c r="B361" s="24">
        <v>10.0</v>
      </c>
      <c r="C361" s="24">
        <v>0.0</v>
      </c>
      <c r="D361" s="24">
        <v>8.0</v>
      </c>
      <c r="E361" s="24">
        <v>5.0</v>
      </c>
      <c r="G361" s="12"/>
      <c r="H361" s="28"/>
      <c r="I361" s="28"/>
    </row>
    <row r="362">
      <c r="A362" s="22" t="s">
        <v>93</v>
      </c>
      <c r="B362" s="23">
        <f t="shared" ref="B362:D362" si="84">B346-B361</f>
        <v>21423</v>
      </c>
      <c r="C362" s="23">
        <f t="shared" si="84"/>
        <v>21275</v>
      </c>
      <c r="D362" s="23">
        <f t="shared" si="84"/>
        <v>21135</v>
      </c>
      <c r="E362" s="23">
        <f>E346-E361-1</f>
        <v>21404</v>
      </c>
      <c r="G362" s="12"/>
      <c r="H362" s="28"/>
      <c r="I362" s="28"/>
    </row>
    <row r="363">
      <c r="A363" s="22" t="s">
        <v>94</v>
      </c>
      <c r="B363" s="23">
        <f t="shared" ref="B363:E363" si="85">B369*30</f>
        <v>20100</v>
      </c>
      <c r="C363" s="23">
        <f t="shared" si="85"/>
        <v>20130</v>
      </c>
      <c r="D363" s="23">
        <f t="shared" si="85"/>
        <v>19590</v>
      </c>
      <c r="E363" s="23">
        <f t="shared" si="85"/>
        <v>19920</v>
      </c>
      <c r="G363" s="12"/>
      <c r="H363" s="28"/>
      <c r="I363" s="28"/>
    </row>
    <row r="364">
      <c r="A364" s="22" t="s">
        <v>95</v>
      </c>
      <c r="B364" s="24">
        <v>16.0</v>
      </c>
      <c r="C364" s="24">
        <v>26.0</v>
      </c>
      <c r="D364" s="24">
        <v>10.0</v>
      </c>
      <c r="E364" s="24">
        <v>3.0</v>
      </c>
      <c r="G364" s="12"/>
      <c r="H364" s="28"/>
      <c r="I364" s="28"/>
    </row>
    <row r="365">
      <c r="A365" s="22" t="s">
        <v>96</v>
      </c>
      <c r="B365" s="24">
        <v>6.0</v>
      </c>
      <c r="C365" s="24">
        <v>4.0</v>
      </c>
      <c r="D365" s="24">
        <v>2.0</v>
      </c>
      <c r="E365" s="24">
        <v>3.0</v>
      </c>
      <c r="G365" s="12"/>
      <c r="H365" s="28"/>
      <c r="I365" s="28"/>
    </row>
    <row r="366">
      <c r="A366" s="22" t="s">
        <v>111</v>
      </c>
      <c r="B366" s="24">
        <v>110.0</v>
      </c>
      <c r="C366" s="24">
        <v>110.0</v>
      </c>
      <c r="D366" s="24">
        <v>110.0</v>
      </c>
      <c r="E366" s="24">
        <v>110.0</v>
      </c>
      <c r="G366" s="12"/>
      <c r="H366" s="28"/>
      <c r="I366" s="28"/>
    </row>
    <row r="367">
      <c r="A367" s="22" t="s">
        <v>98</v>
      </c>
      <c r="B367" s="24">
        <v>2.0</v>
      </c>
      <c r="C367" s="24">
        <v>2.0</v>
      </c>
      <c r="D367" s="24">
        <v>1.0</v>
      </c>
      <c r="E367" s="24">
        <v>3.0</v>
      </c>
      <c r="G367" s="12"/>
      <c r="H367" s="28"/>
      <c r="I367" s="28"/>
    </row>
    <row r="368">
      <c r="A368" s="22" t="s">
        <v>112</v>
      </c>
      <c r="B368" s="26">
        <f t="shared" ref="B368:E368" si="86">round(((B363/B362)*100),2)</f>
        <v>93.82</v>
      </c>
      <c r="C368" s="26">
        <f t="shared" si="86"/>
        <v>94.62</v>
      </c>
      <c r="D368" s="26">
        <f t="shared" si="86"/>
        <v>92.69</v>
      </c>
      <c r="E368" s="26">
        <f t="shared" si="86"/>
        <v>93.07</v>
      </c>
      <c r="G368" s="12"/>
      <c r="H368" s="28"/>
      <c r="I368" s="28"/>
    </row>
    <row r="369">
      <c r="A369" s="22" t="s">
        <v>100</v>
      </c>
      <c r="B369" s="24">
        <v>670.0</v>
      </c>
      <c r="C369" s="24">
        <v>671.0</v>
      </c>
      <c r="D369" s="24">
        <v>653.0</v>
      </c>
      <c r="E369" s="24">
        <v>664.0</v>
      </c>
      <c r="G369" s="12"/>
      <c r="H369" s="28"/>
      <c r="I369" s="28"/>
    </row>
    <row r="370">
      <c r="A370" s="25" t="s">
        <v>175</v>
      </c>
      <c r="B370" s="15">
        <v>20.0</v>
      </c>
      <c r="D370" s="3">
        <v>16.0</v>
      </c>
      <c r="E370" s="3">
        <v>2.0</v>
      </c>
      <c r="G370" s="12"/>
      <c r="H370" s="28"/>
      <c r="I370" s="28"/>
    </row>
    <row r="371">
      <c r="A371" s="25" t="s">
        <v>178</v>
      </c>
      <c r="B371" s="11" t="s">
        <v>194</v>
      </c>
      <c r="G371" s="12"/>
      <c r="H371" s="28"/>
      <c r="I371" s="28"/>
    </row>
    <row r="372">
      <c r="A372" s="22" t="s">
        <v>103</v>
      </c>
      <c r="B372" s="42" t="s">
        <v>195</v>
      </c>
      <c r="D372" s="40" t="s">
        <v>196</v>
      </c>
      <c r="G372" s="12"/>
      <c r="H372" s="28"/>
      <c r="I372" s="28"/>
    </row>
    <row r="373">
      <c r="A373" s="14"/>
      <c r="B373" s="12"/>
      <c r="C373" s="12"/>
      <c r="D373" s="12"/>
      <c r="E373" s="12"/>
      <c r="G373" s="12"/>
      <c r="H373" s="28"/>
      <c r="I373" s="28"/>
    </row>
    <row r="374">
      <c r="A374" s="14"/>
      <c r="B374" s="12"/>
      <c r="C374" s="12"/>
      <c r="D374" s="12"/>
      <c r="E374" s="12"/>
      <c r="G374" s="12"/>
      <c r="H374" s="28"/>
      <c r="I374" s="28"/>
    </row>
    <row r="375">
      <c r="A375" s="19"/>
      <c r="B375" s="20" t="s">
        <v>197</v>
      </c>
      <c r="G375" s="12"/>
      <c r="H375" s="28"/>
      <c r="I375" s="28"/>
    </row>
    <row r="376">
      <c r="B376" s="21" t="s">
        <v>4</v>
      </c>
      <c r="C376" s="21" t="s">
        <v>5</v>
      </c>
      <c r="D376" s="21" t="s">
        <v>6</v>
      </c>
      <c r="E376" s="21" t="s">
        <v>7</v>
      </c>
      <c r="G376" s="12"/>
      <c r="H376" s="28"/>
      <c r="I376" s="28"/>
    </row>
    <row r="377">
      <c r="A377" s="22" t="s">
        <v>91</v>
      </c>
      <c r="B377" s="24">
        <f t="shared" ref="B377:E377" si="87">B360+0.1</f>
        <v>50.6</v>
      </c>
      <c r="C377" s="24">
        <f t="shared" si="87"/>
        <v>48.4</v>
      </c>
      <c r="D377" s="24">
        <f t="shared" si="87"/>
        <v>55.4</v>
      </c>
      <c r="E377" s="24">
        <f t="shared" si="87"/>
        <v>53.2</v>
      </c>
      <c r="G377" s="12"/>
      <c r="H377" s="28"/>
      <c r="I377" s="28"/>
    </row>
    <row r="378">
      <c r="A378" s="22" t="s">
        <v>92</v>
      </c>
      <c r="B378" s="24">
        <v>8.0</v>
      </c>
      <c r="C378" s="24">
        <v>1.0</v>
      </c>
      <c r="D378" s="24">
        <v>4.0</v>
      </c>
      <c r="E378" s="24">
        <v>1.0</v>
      </c>
      <c r="G378" s="12"/>
      <c r="H378" s="28"/>
      <c r="I378" s="28"/>
    </row>
    <row r="379">
      <c r="A379" s="22" t="s">
        <v>93</v>
      </c>
      <c r="B379" s="23">
        <f>B362-B378-20</f>
        <v>21395</v>
      </c>
      <c r="C379" s="23">
        <f>C362-C378</f>
        <v>21274</v>
      </c>
      <c r="D379" s="23">
        <f>D362-D378-16</f>
        <v>21115</v>
      </c>
      <c r="E379" s="23">
        <f>E362-E378-2</f>
        <v>21401</v>
      </c>
      <c r="G379" s="12"/>
      <c r="H379" s="28"/>
      <c r="I379" s="28"/>
    </row>
    <row r="380">
      <c r="A380" s="22" t="s">
        <v>94</v>
      </c>
      <c r="B380" s="23">
        <f t="shared" ref="B380:E380" si="88">B386*30</f>
        <v>20100</v>
      </c>
      <c r="C380" s="23">
        <f t="shared" si="88"/>
        <v>20010</v>
      </c>
      <c r="D380" s="23">
        <f t="shared" si="88"/>
        <v>19680</v>
      </c>
      <c r="E380" s="23">
        <f t="shared" si="88"/>
        <v>20160</v>
      </c>
      <c r="G380" s="12"/>
      <c r="H380" s="28"/>
      <c r="I380" s="28"/>
    </row>
    <row r="381">
      <c r="A381" s="22" t="s">
        <v>95</v>
      </c>
      <c r="B381" s="24">
        <v>16.0</v>
      </c>
      <c r="C381" s="24">
        <v>25.0</v>
      </c>
      <c r="D381" s="24">
        <v>10.0</v>
      </c>
      <c r="E381" s="24">
        <v>14.0</v>
      </c>
      <c r="G381" s="12"/>
      <c r="H381" s="28"/>
      <c r="I381" s="28"/>
    </row>
    <row r="382">
      <c r="A382" s="22" t="s">
        <v>96</v>
      </c>
      <c r="B382" s="24">
        <v>5.0</v>
      </c>
      <c r="C382" s="24">
        <v>8.0</v>
      </c>
      <c r="D382" s="24">
        <v>3.0</v>
      </c>
      <c r="E382" s="24">
        <v>2.0</v>
      </c>
      <c r="G382" s="12"/>
      <c r="H382" s="28"/>
      <c r="I382" s="28"/>
    </row>
    <row r="383">
      <c r="A383" s="22" t="s">
        <v>111</v>
      </c>
      <c r="B383" s="24">
        <v>0.0</v>
      </c>
      <c r="C383" s="24">
        <v>0.0</v>
      </c>
      <c r="D383" s="24">
        <v>0.0</v>
      </c>
      <c r="E383" s="24">
        <v>0.0</v>
      </c>
      <c r="G383" s="12"/>
      <c r="H383" s="28"/>
      <c r="I383" s="28"/>
    </row>
    <row r="384">
      <c r="A384" s="22" t="s">
        <v>98</v>
      </c>
      <c r="B384" s="24">
        <v>1.0</v>
      </c>
      <c r="C384" s="24">
        <v>2.0</v>
      </c>
      <c r="D384" s="24" t="s">
        <v>198</v>
      </c>
      <c r="E384" s="24" t="s">
        <v>199</v>
      </c>
      <c r="G384" s="12"/>
      <c r="H384" s="28"/>
      <c r="I384" s="28"/>
    </row>
    <row r="385">
      <c r="A385" s="22" t="s">
        <v>112</v>
      </c>
      <c r="B385" s="26">
        <f t="shared" ref="B385:E385" si="89">round(((B380/B379)*100),2)</f>
        <v>93.95</v>
      </c>
      <c r="C385" s="26">
        <f t="shared" si="89"/>
        <v>94.06</v>
      </c>
      <c r="D385" s="26">
        <f t="shared" si="89"/>
        <v>93.2</v>
      </c>
      <c r="E385" s="26">
        <f t="shared" si="89"/>
        <v>94.2</v>
      </c>
      <c r="G385" s="12"/>
      <c r="H385" s="28"/>
      <c r="I385" s="28"/>
    </row>
    <row r="386">
      <c r="A386" s="22" t="s">
        <v>100</v>
      </c>
      <c r="B386" s="24">
        <v>670.0</v>
      </c>
      <c r="C386" s="24">
        <v>667.0</v>
      </c>
      <c r="D386" s="24">
        <v>656.0</v>
      </c>
      <c r="E386" s="24">
        <v>672.0</v>
      </c>
      <c r="G386" s="12"/>
      <c r="H386" s="28"/>
      <c r="I386" s="28"/>
    </row>
    <row r="387">
      <c r="A387" s="25" t="s">
        <v>178</v>
      </c>
      <c r="B387" s="11" t="s">
        <v>200</v>
      </c>
      <c r="C387" s="3" t="s">
        <v>201</v>
      </c>
      <c r="G387" s="12"/>
      <c r="H387" s="28"/>
      <c r="I387" s="28"/>
    </row>
    <row r="388">
      <c r="A388" s="22" t="s">
        <v>103</v>
      </c>
      <c r="B388" s="42" t="s">
        <v>202</v>
      </c>
      <c r="D388" s="40" t="s">
        <v>203</v>
      </c>
      <c r="G388" s="12"/>
      <c r="H388" s="28"/>
      <c r="I388" s="28"/>
    </row>
    <row r="389">
      <c r="A389" s="14"/>
      <c r="B389" s="12"/>
      <c r="C389" s="12"/>
      <c r="D389" s="12"/>
      <c r="E389" s="12"/>
      <c r="G389" s="12"/>
      <c r="H389" s="28"/>
      <c r="I389" s="28"/>
    </row>
    <row r="390">
      <c r="A390" s="14"/>
      <c r="B390" s="12"/>
      <c r="C390" s="12"/>
      <c r="D390" s="12"/>
      <c r="E390" s="12"/>
      <c r="G390" s="12"/>
      <c r="H390" s="28"/>
      <c r="I390" s="28"/>
    </row>
    <row r="391">
      <c r="A391" s="19"/>
      <c r="B391" s="20" t="s">
        <v>204</v>
      </c>
      <c r="G391" s="12"/>
      <c r="H391" s="28"/>
      <c r="I391" s="28"/>
    </row>
    <row r="392">
      <c r="B392" s="21" t="s">
        <v>4</v>
      </c>
      <c r="C392" s="21" t="s">
        <v>5</v>
      </c>
      <c r="D392" s="21" t="s">
        <v>6</v>
      </c>
      <c r="E392" s="21" t="s">
        <v>7</v>
      </c>
      <c r="G392" s="12"/>
      <c r="H392" s="28"/>
      <c r="I392" s="28"/>
    </row>
    <row r="393">
      <c r="A393" s="22" t="s">
        <v>91</v>
      </c>
      <c r="B393" s="24">
        <v>50.7</v>
      </c>
      <c r="C393" s="24">
        <f t="shared" ref="C393:E393" si="90">C377+0.1</f>
        <v>48.5</v>
      </c>
      <c r="D393" s="24">
        <f t="shared" si="90"/>
        <v>55.5</v>
      </c>
      <c r="E393" s="24">
        <f t="shared" si="90"/>
        <v>53.3</v>
      </c>
      <c r="G393" s="12"/>
      <c r="H393" s="28"/>
      <c r="I393" s="28"/>
    </row>
    <row r="394">
      <c r="A394" s="22" t="s">
        <v>92</v>
      </c>
      <c r="B394" s="24">
        <v>5.0</v>
      </c>
      <c r="C394" s="24">
        <v>6.0</v>
      </c>
      <c r="D394" s="24">
        <v>2.0</v>
      </c>
      <c r="E394" s="24">
        <v>3.0</v>
      </c>
      <c r="G394" s="12"/>
      <c r="H394" s="28"/>
      <c r="I394" s="28"/>
    </row>
    <row r="395">
      <c r="A395" s="22" t="s">
        <v>93</v>
      </c>
      <c r="B395" s="24">
        <v>21390.0</v>
      </c>
      <c r="C395" s="24">
        <v>21268.0</v>
      </c>
      <c r="D395" s="24">
        <v>21113.0</v>
      </c>
      <c r="E395" s="24">
        <v>21398.0</v>
      </c>
      <c r="G395" s="12"/>
      <c r="H395" s="28"/>
      <c r="I395" s="28"/>
    </row>
    <row r="396">
      <c r="A396" s="22" t="s">
        <v>94</v>
      </c>
      <c r="B396" s="23">
        <f t="shared" ref="B396:E396" si="91">B402*30</f>
        <v>20100</v>
      </c>
      <c r="C396" s="23">
        <f t="shared" si="91"/>
        <v>19860</v>
      </c>
      <c r="D396" s="23">
        <f t="shared" si="91"/>
        <v>19020</v>
      </c>
      <c r="E396" s="23">
        <f t="shared" si="91"/>
        <v>20130</v>
      </c>
      <c r="G396" s="12"/>
      <c r="H396" s="28"/>
      <c r="I396" s="28"/>
    </row>
    <row r="397">
      <c r="A397" s="22" t="s">
        <v>95</v>
      </c>
      <c r="B397" s="24">
        <v>15.0</v>
      </c>
      <c r="C397" s="24">
        <v>27.0</v>
      </c>
      <c r="D397" s="24">
        <v>5.0</v>
      </c>
      <c r="E397" s="24" t="s">
        <v>205</v>
      </c>
      <c r="G397" s="12"/>
      <c r="H397" s="28"/>
      <c r="I397" s="28"/>
    </row>
    <row r="398">
      <c r="A398" s="22" t="s">
        <v>96</v>
      </c>
      <c r="B398" s="24">
        <v>3.0</v>
      </c>
      <c r="C398" s="24">
        <v>6.0</v>
      </c>
      <c r="D398" s="24">
        <v>3.0</v>
      </c>
      <c r="E398" s="24">
        <v>3.0</v>
      </c>
      <c r="G398" s="12"/>
      <c r="H398" s="28"/>
      <c r="I398" s="28"/>
    </row>
    <row r="399">
      <c r="A399" s="22" t="s">
        <v>111</v>
      </c>
      <c r="B399" s="24">
        <v>0.0</v>
      </c>
      <c r="C399" s="24">
        <v>0.0</v>
      </c>
      <c r="D399" s="24">
        <v>0.0</v>
      </c>
      <c r="E399" s="24">
        <v>0.0</v>
      </c>
      <c r="G399" s="12"/>
      <c r="H399" s="28"/>
      <c r="I399" s="34" t="s">
        <v>50</v>
      </c>
    </row>
    <row r="400">
      <c r="A400" s="22" t="s">
        <v>98</v>
      </c>
      <c r="B400" s="24">
        <v>1.0</v>
      </c>
      <c r="C400" s="24">
        <v>1.0</v>
      </c>
      <c r="D400" s="24" t="s">
        <v>206</v>
      </c>
      <c r="E400" s="24">
        <v>1.0</v>
      </c>
      <c r="G400" s="12"/>
      <c r="H400" s="28"/>
      <c r="I400" s="28"/>
    </row>
    <row r="401">
      <c r="A401" s="22" t="s">
        <v>112</v>
      </c>
      <c r="B401" s="26">
        <f t="shared" ref="B401:E401" si="92">round(((B396/B395)*100),2)</f>
        <v>93.97</v>
      </c>
      <c r="C401" s="26">
        <f t="shared" si="92"/>
        <v>93.38</v>
      </c>
      <c r="D401" s="26">
        <f t="shared" si="92"/>
        <v>90.09</v>
      </c>
      <c r="E401" s="26">
        <f t="shared" si="92"/>
        <v>94.07</v>
      </c>
      <c r="G401" s="12"/>
      <c r="H401" s="28"/>
      <c r="I401" s="28"/>
    </row>
    <row r="402">
      <c r="A402" s="22" t="s">
        <v>100</v>
      </c>
      <c r="B402" s="24">
        <v>670.0</v>
      </c>
      <c r="C402" s="24">
        <v>662.0</v>
      </c>
      <c r="D402" s="24">
        <v>634.0</v>
      </c>
      <c r="E402" s="24">
        <v>671.0</v>
      </c>
      <c r="G402" s="12"/>
      <c r="H402" s="28"/>
      <c r="I402" s="28"/>
    </row>
    <row r="403">
      <c r="A403" s="22" t="s">
        <v>103</v>
      </c>
      <c r="B403" s="42" t="s">
        <v>207</v>
      </c>
      <c r="D403" s="40" t="s">
        <v>208</v>
      </c>
      <c r="G403" s="12"/>
      <c r="H403" s="28"/>
      <c r="I403" s="28"/>
    </row>
    <row r="404">
      <c r="A404" s="14"/>
      <c r="B404" s="12"/>
      <c r="C404" s="12"/>
      <c r="D404" s="12"/>
      <c r="E404" s="12"/>
      <c r="G404" s="12"/>
      <c r="H404" s="28"/>
      <c r="I404" s="28"/>
    </row>
    <row r="405">
      <c r="A405" s="14"/>
      <c r="B405" s="12"/>
      <c r="C405" s="12"/>
      <c r="D405" s="12"/>
      <c r="E405" s="12"/>
      <c r="G405" s="12"/>
      <c r="H405" s="28"/>
      <c r="I405" s="28"/>
    </row>
    <row r="406">
      <c r="A406" s="19"/>
      <c r="B406" s="20" t="s">
        <v>209</v>
      </c>
      <c r="G406" s="12"/>
      <c r="H406" s="34"/>
      <c r="I406" s="43"/>
      <c r="J406" s="43"/>
      <c r="K406" s="43"/>
      <c r="L406" s="43"/>
    </row>
    <row r="407">
      <c r="B407" s="21" t="s">
        <v>4</v>
      </c>
      <c r="C407" s="21" t="s">
        <v>5</v>
      </c>
      <c r="D407" s="21" t="s">
        <v>6</v>
      </c>
      <c r="E407" s="21" t="s">
        <v>7</v>
      </c>
      <c r="G407" s="12"/>
      <c r="H407" s="34"/>
      <c r="I407" s="24"/>
      <c r="J407" s="24"/>
      <c r="K407" s="24"/>
      <c r="L407" s="24"/>
    </row>
    <row r="408">
      <c r="A408" s="22" t="s">
        <v>91</v>
      </c>
      <c r="B408" s="24">
        <v>51.1</v>
      </c>
      <c r="C408" s="24">
        <v>48.6</v>
      </c>
      <c r="D408" s="24">
        <v>55.6</v>
      </c>
      <c r="E408" s="24">
        <v>53.4</v>
      </c>
      <c r="G408" s="12"/>
      <c r="H408" s="34"/>
      <c r="I408" s="24"/>
      <c r="J408" s="24"/>
      <c r="K408" s="24"/>
      <c r="L408" s="24"/>
    </row>
    <row r="409">
      <c r="A409" s="22" t="s">
        <v>92</v>
      </c>
      <c r="B409" s="24">
        <v>6.0</v>
      </c>
      <c r="C409" s="24">
        <v>5.0</v>
      </c>
      <c r="D409" s="24">
        <v>2.0</v>
      </c>
      <c r="E409" s="24">
        <v>2.0</v>
      </c>
      <c r="G409" s="12"/>
      <c r="H409" s="34"/>
      <c r="I409" s="24"/>
      <c r="J409" s="24"/>
      <c r="K409" s="24"/>
      <c r="L409" s="24"/>
    </row>
    <row r="410">
      <c r="A410" s="22" t="s">
        <v>93</v>
      </c>
      <c r="B410" s="24">
        <v>21384.0</v>
      </c>
      <c r="C410" s="24">
        <v>21263.0</v>
      </c>
      <c r="D410" s="24">
        <v>21111.0</v>
      </c>
      <c r="E410" s="24">
        <v>21396.0</v>
      </c>
      <c r="G410" s="12"/>
      <c r="H410" s="34"/>
      <c r="I410" s="34"/>
    </row>
    <row r="411">
      <c r="A411" s="22" t="s">
        <v>94</v>
      </c>
      <c r="B411" s="23">
        <f t="shared" ref="B411:E411" si="93">B417*30</f>
        <v>20100</v>
      </c>
      <c r="C411" s="23">
        <f t="shared" si="93"/>
        <v>20100</v>
      </c>
      <c r="D411" s="23">
        <f t="shared" si="93"/>
        <v>19350</v>
      </c>
      <c r="E411" s="23">
        <f t="shared" si="93"/>
        <v>19920</v>
      </c>
      <c r="G411" s="12"/>
      <c r="H411" s="28"/>
      <c r="I411" s="28"/>
    </row>
    <row r="412">
      <c r="A412" s="22" t="s">
        <v>95</v>
      </c>
      <c r="B412" s="24">
        <v>20.0</v>
      </c>
      <c r="C412" s="24">
        <v>24.0</v>
      </c>
      <c r="D412" s="24">
        <v>15.0</v>
      </c>
      <c r="E412" s="24">
        <v>3.0</v>
      </c>
      <c r="G412" s="12"/>
      <c r="H412" s="28"/>
      <c r="I412" s="28"/>
    </row>
    <row r="413">
      <c r="A413" s="22" t="s">
        <v>96</v>
      </c>
      <c r="B413" s="24">
        <v>3.0</v>
      </c>
      <c r="C413" s="24">
        <v>3.0</v>
      </c>
      <c r="D413" s="24">
        <v>4.0</v>
      </c>
      <c r="E413" s="24">
        <v>1.0</v>
      </c>
      <c r="G413" s="12"/>
      <c r="H413" s="34"/>
      <c r="I413" s="34"/>
      <c r="J413" s="34"/>
      <c r="K413" s="34"/>
      <c r="L413" s="34"/>
    </row>
    <row r="414">
      <c r="A414" s="22" t="s">
        <v>111</v>
      </c>
      <c r="B414" s="24" t="s">
        <v>210</v>
      </c>
      <c r="C414" s="24" t="s">
        <v>211</v>
      </c>
      <c r="D414" s="24" t="s">
        <v>211</v>
      </c>
      <c r="E414" s="24" t="s">
        <v>211</v>
      </c>
      <c r="G414" s="12"/>
      <c r="H414" s="43"/>
      <c r="I414" s="24"/>
      <c r="J414" s="24"/>
      <c r="K414" s="24"/>
      <c r="L414" s="34"/>
    </row>
    <row r="415">
      <c r="A415" s="22" t="s">
        <v>98</v>
      </c>
      <c r="B415" s="24">
        <v>2.0</v>
      </c>
      <c r="C415" s="24">
        <v>2.0</v>
      </c>
      <c r="D415" s="24">
        <v>1.0</v>
      </c>
      <c r="E415" s="24" t="s">
        <v>212</v>
      </c>
      <c r="G415" s="12"/>
      <c r="H415" s="43"/>
      <c r="I415" s="24"/>
      <c r="J415" s="24"/>
      <c r="K415" s="24"/>
    </row>
    <row r="416">
      <c r="A416" s="22" t="s">
        <v>112</v>
      </c>
      <c r="B416" s="26">
        <f t="shared" ref="B416:E416" si="94">round(((B411/B410)*100),2)</f>
        <v>94</v>
      </c>
      <c r="C416" s="26">
        <f t="shared" si="94"/>
        <v>94.53</v>
      </c>
      <c r="D416" s="26">
        <f t="shared" si="94"/>
        <v>91.66</v>
      </c>
      <c r="E416" s="26">
        <f t="shared" si="94"/>
        <v>93.1</v>
      </c>
      <c r="G416" s="12"/>
      <c r="H416" s="43"/>
      <c r="I416" s="24"/>
      <c r="J416" s="24"/>
      <c r="K416" s="24"/>
    </row>
    <row r="417">
      <c r="A417" s="22" t="s">
        <v>100</v>
      </c>
      <c r="B417" s="24">
        <v>670.0</v>
      </c>
      <c r="C417" s="24">
        <v>670.0</v>
      </c>
      <c r="D417" s="24">
        <v>645.0</v>
      </c>
      <c r="E417" s="24">
        <v>664.0</v>
      </c>
      <c r="G417" s="12"/>
      <c r="H417" s="43"/>
      <c r="I417" s="24"/>
      <c r="J417" s="24"/>
      <c r="K417" s="24"/>
    </row>
    <row r="418">
      <c r="A418" s="22" t="s">
        <v>103</v>
      </c>
      <c r="B418" s="42"/>
      <c r="D418" s="40" t="s">
        <v>213</v>
      </c>
      <c r="G418" s="12"/>
      <c r="H418" s="28"/>
      <c r="I418" s="28"/>
    </row>
    <row r="419">
      <c r="A419" s="14"/>
      <c r="B419" s="12"/>
      <c r="C419" s="12"/>
      <c r="D419" s="12"/>
      <c r="E419" s="12"/>
      <c r="G419" s="12"/>
      <c r="H419" s="28"/>
      <c r="I419" s="28"/>
    </row>
    <row r="420">
      <c r="A420" s="14"/>
      <c r="B420" s="12"/>
      <c r="C420" s="12"/>
      <c r="D420" s="12"/>
      <c r="E420" s="12"/>
      <c r="G420" s="12"/>
      <c r="H420" s="28"/>
      <c r="I420" s="28"/>
    </row>
    <row r="421">
      <c r="A421" s="19"/>
      <c r="B421" s="20" t="s">
        <v>214</v>
      </c>
      <c r="G421" s="12"/>
      <c r="H421" s="28"/>
      <c r="I421" s="28"/>
    </row>
    <row r="422">
      <c r="B422" s="21" t="s">
        <v>4</v>
      </c>
      <c r="C422" s="21" t="s">
        <v>5</v>
      </c>
      <c r="D422" s="21" t="s">
        <v>6</v>
      </c>
      <c r="E422" s="21" t="s">
        <v>7</v>
      </c>
      <c r="G422" s="12"/>
      <c r="H422" s="28"/>
      <c r="I422" s="28"/>
    </row>
    <row r="423">
      <c r="A423" s="22" t="s">
        <v>91</v>
      </c>
      <c r="B423" s="24">
        <v>51.2</v>
      </c>
      <c r="C423" s="24">
        <v>48.7</v>
      </c>
      <c r="D423" s="24">
        <v>55.7</v>
      </c>
      <c r="E423" s="24">
        <v>53.5</v>
      </c>
      <c r="G423" s="12"/>
      <c r="H423" s="28"/>
      <c r="I423" s="28"/>
    </row>
    <row r="424">
      <c r="A424" s="22" t="s">
        <v>92</v>
      </c>
      <c r="B424" s="24">
        <v>9.0</v>
      </c>
      <c r="C424" s="24">
        <v>4.0</v>
      </c>
      <c r="D424" s="24">
        <v>8.0</v>
      </c>
      <c r="E424" s="24">
        <v>2.0</v>
      </c>
      <c r="G424" s="12"/>
      <c r="H424" s="28"/>
      <c r="I424" s="28"/>
    </row>
    <row r="425">
      <c r="A425" s="22" t="s">
        <v>93</v>
      </c>
      <c r="B425" s="24">
        <v>21375.0</v>
      </c>
      <c r="C425" s="24">
        <v>21259.0</v>
      </c>
      <c r="D425" s="24">
        <v>21103.0</v>
      </c>
      <c r="E425" s="24">
        <v>21394.0</v>
      </c>
      <c r="G425" s="12"/>
      <c r="H425" s="28"/>
      <c r="I425" s="28"/>
    </row>
    <row r="426">
      <c r="A426" s="22" t="s">
        <v>94</v>
      </c>
      <c r="B426" s="23">
        <f t="shared" ref="B426:E426" si="95">B433*30</f>
        <v>20100</v>
      </c>
      <c r="C426" s="23">
        <f t="shared" si="95"/>
        <v>19890</v>
      </c>
      <c r="D426" s="23">
        <f t="shared" si="95"/>
        <v>19260</v>
      </c>
      <c r="E426" s="23">
        <f t="shared" si="95"/>
        <v>20190</v>
      </c>
      <c r="G426" s="12"/>
      <c r="H426" s="28"/>
      <c r="I426" s="28"/>
    </row>
    <row r="427">
      <c r="A427" s="22" t="s">
        <v>95</v>
      </c>
      <c r="B427" s="24">
        <v>25.0</v>
      </c>
      <c r="C427" s="24">
        <v>25.0</v>
      </c>
      <c r="D427" s="24">
        <v>4.0</v>
      </c>
      <c r="E427" s="24">
        <v>11.0</v>
      </c>
      <c r="G427" s="12"/>
      <c r="H427" s="28"/>
      <c r="I427" s="28"/>
    </row>
    <row r="428">
      <c r="A428" s="22" t="s">
        <v>96</v>
      </c>
      <c r="B428" s="24">
        <v>5.0</v>
      </c>
      <c r="C428" s="24">
        <v>5.0</v>
      </c>
      <c r="D428" s="24">
        <v>3.0</v>
      </c>
      <c r="E428" s="24">
        <v>6.0</v>
      </c>
      <c r="G428" s="12"/>
      <c r="H428" s="28"/>
      <c r="I428" s="28"/>
    </row>
    <row r="429">
      <c r="A429" s="22" t="s">
        <v>111</v>
      </c>
      <c r="B429" s="24">
        <v>0.0</v>
      </c>
      <c r="C429" s="24">
        <v>0.0</v>
      </c>
      <c r="D429" s="24">
        <v>0.0</v>
      </c>
      <c r="E429" s="24">
        <v>0.0</v>
      </c>
      <c r="G429" s="12"/>
      <c r="H429" s="28"/>
      <c r="I429" s="28"/>
    </row>
    <row r="430">
      <c r="A430" s="22" t="s">
        <v>98</v>
      </c>
      <c r="B430" s="24">
        <v>2.0</v>
      </c>
      <c r="C430" s="24">
        <v>2.0</v>
      </c>
      <c r="D430" s="24">
        <v>1.0</v>
      </c>
      <c r="E430" s="24">
        <v>1.0</v>
      </c>
      <c r="G430" s="12"/>
      <c r="H430" s="28"/>
      <c r="I430" s="28"/>
    </row>
    <row r="431">
      <c r="A431" s="22" t="s">
        <v>112</v>
      </c>
      <c r="B431" s="26">
        <f t="shared" ref="B431:E431" si="96">round(((B426/B425)*100),2)</f>
        <v>94.04</v>
      </c>
      <c r="C431" s="26">
        <f t="shared" si="96"/>
        <v>93.56</v>
      </c>
      <c r="D431" s="26">
        <f t="shared" si="96"/>
        <v>91.27</v>
      </c>
      <c r="E431" s="26">
        <f t="shared" si="96"/>
        <v>94.37</v>
      </c>
      <c r="G431" s="12"/>
      <c r="H431" s="28"/>
      <c r="I431" s="28"/>
    </row>
    <row r="432">
      <c r="A432" s="25" t="s">
        <v>215</v>
      </c>
      <c r="B432" s="24" t="s">
        <v>216</v>
      </c>
      <c r="C432" s="24" t="s">
        <v>217</v>
      </c>
      <c r="D432" s="24"/>
      <c r="E432" s="24"/>
      <c r="G432" s="12"/>
      <c r="H432" s="28"/>
      <c r="I432" s="28"/>
    </row>
    <row r="433">
      <c r="A433" s="22" t="s">
        <v>100</v>
      </c>
      <c r="B433" s="24">
        <v>670.0</v>
      </c>
      <c r="C433" s="24">
        <v>663.0</v>
      </c>
      <c r="D433" s="24">
        <v>642.0</v>
      </c>
      <c r="E433" s="24">
        <v>673.0</v>
      </c>
      <c r="G433" s="12"/>
      <c r="H433" s="28"/>
      <c r="I433" s="28"/>
    </row>
    <row r="434">
      <c r="A434" s="22" t="s">
        <v>103</v>
      </c>
      <c r="B434" s="42" t="s">
        <v>218</v>
      </c>
      <c r="D434" s="40" t="s">
        <v>219</v>
      </c>
      <c r="G434" s="12"/>
      <c r="H434" s="28"/>
      <c r="I434" s="28"/>
    </row>
    <row r="435">
      <c r="A435" s="14"/>
      <c r="B435" s="12"/>
      <c r="C435" s="12"/>
      <c r="D435" s="12"/>
      <c r="E435" s="12"/>
      <c r="G435" s="12"/>
      <c r="H435" s="28"/>
      <c r="I435" s="28"/>
    </row>
    <row r="436">
      <c r="A436" s="14"/>
      <c r="B436" s="12"/>
      <c r="C436" s="12"/>
      <c r="D436" s="12"/>
      <c r="E436" s="12"/>
      <c r="G436" s="12"/>
      <c r="H436" s="28"/>
      <c r="I436" s="28"/>
    </row>
    <row r="437">
      <c r="A437" s="19"/>
      <c r="B437" s="20" t="s">
        <v>220</v>
      </c>
      <c r="G437" s="12"/>
      <c r="H437" s="28"/>
      <c r="I437" s="28"/>
    </row>
    <row r="438">
      <c r="B438" s="21" t="s">
        <v>4</v>
      </c>
      <c r="C438" s="21" t="s">
        <v>5</v>
      </c>
      <c r="D438" s="21" t="s">
        <v>6</v>
      </c>
      <c r="E438" s="21" t="s">
        <v>7</v>
      </c>
      <c r="G438" s="12"/>
      <c r="H438" s="28"/>
      <c r="I438" s="28"/>
    </row>
    <row r="439">
      <c r="A439" s="22" t="s">
        <v>91</v>
      </c>
      <c r="B439" s="24">
        <v>51.3</v>
      </c>
      <c r="C439" s="24">
        <v>49.1</v>
      </c>
      <c r="D439" s="24">
        <v>56.1</v>
      </c>
      <c r="E439" s="24">
        <v>53.6</v>
      </c>
      <c r="G439" s="12"/>
      <c r="H439" s="28"/>
      <c r="I439" s="28"/>
    </row>
    <row r="440">
      <c r="A440" s="22" t="s">
        <v>92</v>
      </c>
      <c r="B440" s="24">
        <v>3.0</v>
      </c>
      <c r="C440" s="24">
        <v>6.0</v>
      </c>
      <c r="D440" s="24">
        <v>9.0</v>
      </c>
      <c r="E440" s="24">
        <v>9.0</v>
      </c>
      <c r="G440" s="12"/>
      <c r="H440" s="28"/>
      <c r="I440" s="28"/>
    </row>
    <row r="441">
      <c r="A441" s="22" t="s">
        <v>93</v>
      </c>
      <c r="B441" s="24">
        <v>21372.0</v>
      </c>
      <c r="C441" s="24">
        <v>21253.0</v>
      </c>
      <c r="D441" s="24">
        <v>21094.0</v>
      </c>
      <c r="E441" s="24">
        <v>21385.0</v>
      </c>
      <c r="G441" s="12"/>
      <c r="H441" s="28"/>
      <c r="I441" s="28"/>
    </row>
    <row r="442">
      <c r="A442" s="22" t="s">
        <v>94</v>
      </c>
      <c r="B442" s="23">
        <f t="shared" ref="B442:E442" si="97">B449*30</f>
        <v>20100</v>
      </c>
      <c r="C442" s="23">
        <f t="shared" si="97"/>
        <v>19920</v>
      </c>
      <c r="D442" s="23">
        <f t="shared" si="97"/>
        <v>19200</v>
      </c>
      <c r="E442" s="23">
        <f t="shared" si="97"/>
        <v>20040</v>
      </c>
      <c r="G442" s="12"/>
      <c r="H442" s="28"/>
      <c r="I442" s="28"/>
    </row>
    <row r="443">
      <c r="A443" s="22" t="s">
        <v>95</v>
      </c>
      <c r="B443" s="24">
        <v>17.0</v>
      </c>
      <c r="C443" s="24">
        <v>15.0</v>
      </c>
      <c r="D443" s="24">
        <v>7.0</v>
      </c>
      <c r="E443" s="24">
        <v>28.0</v>
      </c>
      <c r="G443" s="12"/>
      <c r="H443" s="28"/>
      <c r="I443" s="28"/>
    </row>
    <row r="444">
      <c r="A444" s="22" t="s">
        <v>96</v>
      </c>
      <c r="B444" s="24">
        <v>3.0</v>
      </c>
      <c r="C444" s="24">
        <v>3.0</v>
      </c>
      <c r="D444" s="24">
        <v>3.0</v>
      </c>
      <c r="E444" s="24">
        <v>5.0</v>
      </c>
      <c r="G444" s="12"/>
      <c r="H444" s="28"/>
      <c r="I444" s="28"/>
    </row>
    <row r="445">
      <c r="A445" s="22" t="s">
        <v>111</v>
      </c>
      <c r="B445" s="24">
        <v>0.0</v>
      </c>
      <c r="C445" s="24">
        <v>0.0</v>
      </c>
      <c r="D445" s="24">
        <v>0.0</v>
      </c>
      <c r="E445" s="24">
        <v>0.0</v>
      </c>
      <c r="G445" s="12"/>
      <c r="H445" s="28"/>
      <c r="I445" s="28"/>
    </row>
    <row r="446">
      <c r="A446" s="22" t="s">
        <v>98</v>
      </c>
      <c r="B446" s="24">
        <v>2.0</v>
      </c>
      <c r="C446" s="24" t="s">
        <v>221</v>
      </c>
      <c r="D446" s="24" t="s">
        <v>222</v>
      </c>
      <c r="E446" s="24">
        <v>0.0</v>
      </c>
      <c r="G446" s="12"/>
      <c r="H446" s="28"/>
      <c r="I446" s="28"/>
    </row>
    <row r="447">
      <c r="A447" s="22" t="s">
        <v>112</v>
      </c>
      <c r="B447" s="26">
        <f t="shared" ref="B447:E447" si="98">round(((B442/B441)*100),2)</f>
        <v>94.05</v>
      </c>
      <c r="C447" s="26">
        <f t="shared" si="98"/>
        <v>93.73</v>
      </c>
      <c r="D447" s="26">
        <f t="shared" si="98"/>
        <v>91.02</v>
      </c>
      <c r="E447" s="26">
        <f t="shared" si="98"/>
        <v>93.71</v>
      </c>
      <c r="G447" s="12"/>
      <c r="H447" s="28"/>
      <c r="I447" s="28"/>
    </row>
    <row r="448">
      <c r="A448" s="25" t="s">
        <v>215</v>
      </c>
      <c r="B448" s="24" t="s">
        <v>223</v>
      </c>
      <c r="C448" s="24" t="s">
        <v>224</v>
      </c>
      <c r="D448" s="24"/>
      <c r="E448" s="24"/>
      <c r="G448" s="12"/>
      <c r="H448" s="28"/>
      <c r="I448" s="28"/>
    </row>
    <row r="449">
      <c r="A449" s="22" t="s">
        <v>100</v>
      </c>
      <c r="B449" s="24">
        <v>670.0</v>
      </c>
      <c r="C449" s="24">
        <v>664.0</v>
      </c>
      <c r="D449" s="24">
        <v>640.0</v>
      </c>
      <c r="E449" s="24">
        <v>668.0</v>
      </c>
      <c r="G449" s="12"/>
      <c r="H449" s="28"/>
      <c r="I449" s="28"/>
    </row>
    <row r="450">
      <c r="A450" s="22" t="s">
        <v>103</v>
      </c>
      <c r="B450" s="42" t="s">
        <v>225</v>
      </c>
      <c r="D450" s="40" t="s">
        <v>226</v>
      </c>
      <c r="G450" s="12"/>
      <c r="H450" s="28"/>
      <c r="I450" s="28"/>
    </row>
    <row r="451">
      <c r="A451" s="14"/>
      <c r="B451" s="12"/>
      <c r="C451" s="12"/>
      <c r="D451" s="12"/>
      <c r="E451" s="12"/>
      <c r="G451" s="12"/>
      <c r="H451" s="28"/>
      <c r="I451" s="28"/>
    </row>
    <row r="452">
      <c r="A452" s="14"/>
      <c r="B452" s="12"/>
      <c r="C452" s="12"/>
      <c r="D452" s="12"/>
      <c r="E452" s="12"/>
      <c r="G452" s="12"/>
      <c r="H452" s="28"/>
      <c r="I452" s="28"/>
    </row>
    <row r="453">
      <c r="A453" s="19"/>
      <c r="B453" s="20" t="s">
        <v>227</v>
      </c>
      <c r="G453" s="12"/>
      <c r="H453" s="28"/>
      <c r="I453" s="28"/>
    </row>
    <row r="454">
      <c r="B454" s="21" t="s">
        <v>4</v>
      </c>
      <c r="C454" s="21" t="s">
        <v>5</v>
      </c>
      <c r="D454" s="21" t="s">
        <v>6</v>
      </c>
      <c r="E454" s="21" t="s">
        <v>7</v>
      </c>
      <c r="G454" s="12"/>
      <c r="H454" s="28"/>
      <c r="I454" s="28"/>
    </row>
    <row r="455">
      <c r="A455" s="22" t="s">
        <v>91</v>
      </c>
      <c r="B455" s="24">
        <v>51.4</v>
      </c>
      <c r="C455" s="24">
        <v>49.2</v>
      </c>
      <c r="D455" s="24">
        <v>56.2</v>
      </c>
      <c r="E455" s="24">
        <v>53.7</v>
      </c>
      <c r="G455" s="12"/>
      <c r="H455" s="28"/>
      <c r="I455" s="28"/>
    </row>
    <row r="456">
      <c r="A456" s="22" t="s">
        <v>92</v>
      </c>
      <c r="B456" s="24">
        <v>4.0</v>
      </c>
      <c r="C456" s="24">
        <v>4.0</v>
      </c>
      <c r="D456" s="24">
        <v>4.0</v>
      </c>
      <c r="E456" s="24">
        <v>6.0</v>
      </c>
      <c r="G456" s="12"/>
      <c r="H456" s="28"/>
      <c r="I456" s="28"/>
    </row>
    <row r="457">
      <c r="A457" s="22" t="s">
        <v>93</v>
      </c>
      <c r="B457" s="24">
        <v>21368.0</v>
      </c>
      <c r="C457" s="24">
        <v>21249.0</v>
      </c>
      <c r="D457" s="24">
        <v>21090.0</v>
      </c>
      <c r="E457" s="24">
        <v>21379.0</v>
      </c>
      <c r="G457" s="12"/>
      <c r="H457" s="28"/>
      <c r="I457" s="28"/>
    </row>
    <row r="458">
      <c r="A458" s="22" t="s">
        <v>94</v>
      </c>
      <c r="B458" s="23">
        <f t="shared" ref="B458:E458" si="99">B465*30</f>
        <v>20100</v>
      </c>
      <c r="C458" s="23">
        <f t="shared" si="99"/>
        <v>19860</v>
      </c>
      <c r="D458" s="23">
        <f t="shared" si="99"/>
        <v>19380</v>
      </c>
      <c r="E458" s="23">
        <f t="shared" si="99"/>
        <v>20340</v>
      </c>
      <c r="G458" s="12"/>
      <c r="H458" s="28"/>
      <c r="I458" s="28"/>
    </row>
    <row r="459">
      <c r="A459" s="22" t="s">
        <v>95</v>
      </c>
      <c r="B459" s="24">
        <v>24.0</v>
      </c>
      <c r="C459" s="24">
        <v>20.0</v>
      </c>
      <c r="D459" s="24">
        <v>15.0</v>
      </c>
      <c r="E459" s="24" t="s">
        <v>228</v>
      </c>
      <c r="G459" s="12"/>
      <c r="H459" s="28"/>
      <c r="I459" s="28"/>
    </row>
    <row r="460">
      <c r="A460" s="22" t="s">
        <v>96</v>
      </c>
      <c r="B460" s="24">
        <v>7.0</v>
      </c>
      <c r="C460" s="24">
        <v>5.0</v>
      </c>
      <c r="D460" s="24">
        <v>8.0</v>
      </c>
      <c r="E460" s="24">
        <v>0.0</v>
      </c>
      <c r="G460" s="12"/>
      <c r="H460" s="28"/>
      <c r="I460" s="28"/>
    </row>
    <row r="461">
      <c r="A461" s="22" t="s">
        <v>111</v>
      </c>
      <c r="B461" s="24">
        <v>0.0</v>
      </c>
      <c r="C461" s="24">
        <v>0.0</v>
      </c>
      <c r="D461" s="24">
        <v>0.0</v>
      </c>
      <c r="E461" s="24">
        <v>0.0</v>
      </c>
      <c r="G461" s="12"/>
      <c r="H461" s="28"/>
      <c r="I461" s="28"/>
    </row>
    <row r="462">
      <c r="A462" s="22" t="s">
        <v>98</v>
      </c>
      <c r="B462" s="24">
        <v>2.0</v>
      </c>
      <c r="C462" s="24">
        <v>2.0</v>
      </c>
      <c r="D462" s="24" t="s">
        <v>229</v>
      </c>
      <c r="E462" s="24">
        <v>1.0</v>
      </c>
      <c r="G462" s="12"/>
      <c r="H462" s="28"/>
      <c r="I462" s="28"/>
    </row>
    <row r="463">
      <c r="A463" s="22" t="s">
        <v>112</v>
      </c>
      <c r="B463" s="26">
        <f t="shared" ref="B463:E463" si="100">round(((B458/B457)*100),2)</f>
        <v>94.07</v>
      </c>
      <c r="C463" s="26">
        <f t="shared" si="100"/>
        <v>93.46</v>
      </c>
      <c r="D463" s="26">
        <f t="shared" si="100"/>
        <v>91.89</v>
      </c>
      <c r="E463" s="26">
        <f t="shared" si="100"/>
        <v>95.14</v>
      </c>
      <c r="G463" s="12"/>
      <c r="H463" s="28"/>
      <c r="I463" s="28"/>
    </row>
    <row r="464">
      <c r="A464" s="25" t="s">
        <v>215</v>
      </c>
      <c r="B464" s="24" t="s">
        <v>230</v>
      </c>
      <c r="C464" s="24"/>
      <c r="D464" s="24"/>
      <c r="E464" s="24"/>
      <c r="G464" s="12"/>
      <c r="H464" s="28"/>
      <c r="I464" s="28"/>
    </row>
    <row r="465">
      <c r="A465" s="22" t="s">
        <v>100</v>
      </c>
      <c r="B465" s="24">
        <v>670.0</v>
      </c>
      <c r="C465" s="24">
        <v>662.0</v>
      </c>
      <c r="D465" s="24">
        <v>646.0</v>
      </c>
      <c r="E465" s="24">
        <v>678.0</v>
      </c>
      <c r="G465" s="12"/>
      <c r="H465" s="28"/>
      <c r="I465" s="28"/>
    </row>
    <row r="466">
      <c r="A466" s="22" t="s">
        <v>103</v>
      </c>
      <c r="B466" s="42" t="s">
        <v>231</v>
      </c>
      <c r="D466" s="40" t="s">
        <v>232</v>
      </c>
      <c r="G466" s="12"/>
      <c r="H466" s="28"/>
      <c r="I466" s="28"/>
    </row>
    <row r="467">
      <c r="A467" s="14"/>
      <c r="B467" s="12"/>
      <c r="C467" s="12"/>
      <c r="D467" s="12"/>
      <c r="E467" s="12"/>
      <c r="G467" s="12"/>
      <c r="H467" s="28"/>
      <c r="I467" s="28"/>
    </row>
    <row r="468">
      <c r="A468" s="14"/>
      <c r="B468" s="12"/>
      <c r="C468" s="12"/>
      <c r="D468" s="12"/>
      <c r="E468" s="12"/>
      <c r="G468" s="12"/>
      <c r="H468" s="28"/>
      <c r="I468" s="28"/>
    </row>
    <row r="469">
      <c r="A469" s="19"/>
      <c r="B469" s="20" t="s">
        <v>233</v>
      </c>
      <c r="G469" s="12"/>
      <c r="H469" s="28"/>
      <c r="I469" s="28"/>
    </row>
    <row r="470">
      <c r="B470" s="21" t="s">
        <v>4</v>
      </c>
      <c r="C470" s="21" t="s">
        <v>5</v>
      </c>
      <c r="D470" s="21" t="s">
        <v>6</v>
      </c>
      <c r="E470" s="21" t="s">
        <v>7</v>
      </c>
      <c r="G470" s="12"/>
      <c r="H470" s="28"/>
      <c r="I470" s="28"/>
    </row>
    <row r="471">
      <c r="A471" s="22" t="s">
        <v>91</v>
      </c>
      <c r="B471" s="24">
        <v>51.5</v>
      </c>
      <c r="C471" s="24">
        <v>49.3</v>
      </c>
      <c r="D471" s="24">
        <v>56.3</v>
      </c>
      <c r="E471" s="24">
        <v>54.1</v>
      </c>
      <c r="G471" s="12"/>
      <c r="H471" s="28"/>
      <c r="I471" s="28"/>
    </row>
    <row r="472">
      <c r="A472" s="22" t="s">
        <v>92</v>
      </c>
      <c r="B472" s="24">
        <v>5.0</v>
      </c>
      <c r="C472" s="24">
        <v>2.0</v>
      </c>
      <c r="D472" s="24">
        <v>8.0</v>
      </c>
      <c r="E472" s="24">
        <v>6.0</v>
      </c>
      <c r="G472" s="12"/>
      <c r="H472" s="28"/>
      <c r="I472" s="28"/>
    </row>
    <row r="473">
      <c r="A473" s="22" t="s">
        <v>93</v>
      </c>
      <c r="B473" s="24">
        <v>21363.0</v>
      </c>
      <c r="C473" s="24">
        <v>21247.0</v>
      </c>
      <c r="D473" s="24">
        <v>21082.0</v>
      </c>
      <c r="E473" s="24">
        <v>21373.0</v>
      </c>
      <c r="G473" s="12"/>
      <c r="H473" s="28"/>
      <c r="I473" s="28"/>
    </row>
    <row r="474">
      <c r="A474" s="22" t="s">
        <v>94</v>
      </c>
      <c r="B474" s="23">
        <f t="shared" ref="B474:E474" si="101">B481*30</f>
        <v>20010</v>
      </c>
      <c r="C474" s="23">
        <f t="shared" si="101"/>
        <v>19680</v>
      </c>
      <c r="D474" s="23">
        <f t="shared" si="101"/>
        <v>19290</v>
      </c>
      <c r="E474" s="23">
        <f t="shared" si="101"/>
        <v>20130</v>
      </c>
      <c r="G474" s="12"/>
      <c r="H474" s="28"/>
      <c r="I474" s="28"/>
    </row>
    <row r="475">
      <c r="A475" s="22" t="s">
        <v>95</v>
      </c>
      <c r="B475" s="24">
        <v>15.0</v>
      </c>
      <c r="C475" s="24">
        <v>20.0</v>
      </c>
      <c r="D475" s="24">
        <v>0.0</v>
      </c>
      <c r="E475" s="24" t="s">
        <v>234</v>
      </c>
      <c r="G475" s="12"/>
      <c r="H475" s="28"/>
      <c r="I475" s="28"/>
    </row>
    <row r="476">
      <c r="A476" s="22" t="s">
        <v>96</v>
      </c>
      <c r="B476" s="24">
        <v>5.0</v>
      </c>
      <c r="C476" s="24">
        <v>5.0</v>
      </c>
      <c r="D476" s="24">
        <v>0.0</v>
      </c>
      <c r="E476" s="24">
        <v>5.0</v>
      </c>
      <c r="G476" s="12"/>
      <c r="H476" s="28"/>
      <c r="I476" s="28"/>
    </row>
    <row r="477">
      <c r="A477" s="22" t="s">
        <v>111</v>
      </c>
      <c r="B477" s="24" t="s">
        <v>210</v>
      </c>
      <c r="C477" s="24" t="s">
        <v>210</v>
      </c>
      <c r="D477" s="24" t="s">
        <v>211</v>
      </c>
      <c r="E477" s="24" t="s">
        <v>210</v>
      </c>
      <c r="G477" s="12"/>
      <c r="H477" s="28"/>
      <c r="I477" s="28"/>
    </row>
    <row r="478">
      <c r="A478" s="22" t="s">
        <v>98</v>
      </c>
      <c r="B478" s="24">
        <v>2.0</v>
      </c>
      <c r="C478" s="24">
        <v>2.0</v>
      </c>
      <c r="D478" s="24" t="s">
        <v>235</v>
      </c>
      <c r="E478" s="24">
        <v>2.0</v>
      </c>
      <c r="G478" s="12"/>
      <c r="H478" s="28"/>
      <c r="I478" s="28"/>
    </row>
    <row r="479">
      <c r="A479" s="22" t="s">
        <v>112</v>
      </c>
      <c r="B479" s="26">
        <f t="shared" ref="B479:E479" si="102">round(((B474/B473)*100),2)</f>
        <v>93.67</v>
      </c>
      <c r="C479" s="26">
        <f t="shared" si="102"/>
        <v>92.62</v>
      </c>
      <c r="D479" s="26">
        <f t="shared" si="102"/>
        <v>91.5</v>
      </c>
      <c r="E479" s="26">
        <f t="shared" si="102"/>
        <v>94.18</v>
      </c>
      <c r="G479" s="12"/>
      <c r="H479" s="28"/>
      <c r="I479" s="28"/>
    </row>
    <row r="480">
      <c r="A480" s="25" t="s">
        <v>215</v>
      </c>
      <c r="B480" s="24" t="s">
        <v>236</v>
      </c>
      <c r="C480" s="24" t="s">
        <v>237</v>
      </c>
      <c r="D480" s="24"/>
      <c r="E480" s="24"/>
      <c r="G480" s="12"/>
      <c r="H480" s="28"/>
      <c r="I480" s="28"/>
    </row>
    <row r="481">
      <c r="A481" s="22" t="s">
        <v>100</v>
      </c>
      <c r="B481" s="24">
        <v>667.0</v>
      </c>
      <c r="C481" s="24">
        <v>656.0</v>
      </c>
      <c r="D481" s="24">
        <v>643.0</v>
      </c>
      <c r="E481" s="24">
        <v>671.0</v>
      </c>
      <c r="G481" s="12"/>
      <c r="H481" s="28"/>
      <c r="I481" s="28"/>
    </row>
    <row r="482">
      <c r="A482" s="22" t="s">
        <v>103</v>
      </c>
      <c r="B482" s="42" t="s">
        <v>238</v>
      </c>
      <c r="D482" s="40" t="s">
        <v>239</v>
      </c>
      <c r="G482" s="12"/>
      <c r="H482" s="28"/>
      <c r="I482" s="28"/>
    </row>
    <row r="483">
      <c r="A483" s="14"/>
      <c r="B483" s="12"/>
      <c r="C483" s="12"/>
      <c r="D483" s="12"/>
      <c r="E483" s="12"/>
      <c r="G483" s="12"/>
      <c r="H483" s="28"/>
      <c r="I483" s="28"/>
    </row>
    <row r="484">
      <c r="A484" s="14"/>
      <c r="B484" s="12"/>
      <c r="C484" s="12"/>
      <c r="D484" s="12"/>
      <c r="E484" s="12"/>
      <c r="G484" s="12"/>
      <c r="H484" s="28"/>
      <c r="I484" s="28"/>
    </row>
    <row r="485">
      <c r="A485" s="19"/>
      <c r="B485" s="20" t="s">
        <v>240</v>
      </c>
      <c r="G485" s="12"/>
      <c r="H485" s="28"/>
      <c r="I485" s="28"/>
    </row>
    <row r="486">
      <c r="B486" s="21" t="s">
        <v>4</v>
      </c>
      <c r="C486" s="21" t="s">
        <v>5</v>
      </c>
      <c r="D486" s="21" t="s">
        <v>6</v>
      </c>
      <c r="E486" s="21" t="s">
        <v>7</v>
      </c>
      <c r="G486" s="12"/>
      <c r="H486" s="28"/>
      <c r="I486" s="28"/>
    </row>
    <row r="487">
      <c r="A487" s="22" t="s">
        <v>91</v>
      </c>
      <c r="B487" s="24">
        <v>51.6</v>
      </c>
      <c r="C487" s="24">
        <v>49.4</v>
      </c>
      <c r="D487" s="24">
        <v>56.4</v>
      </c>
      <c r="E487" s="24">
        <v>54.2</v>
      </c>
      <c r="G487" s="12"/>
      <c r="H487" s="28"/>
      <c r="I487" s="28"/>
    </row>
    <row r="488">
      <c r="A488" s="22" t="s">
        <v>92</v>
      </c>
      <c r="B488" s="24">
        <v>6.0</v>
      </c>
      <c r="C488" s="24">
        <v>5.0</v>
      </c>
      <c r="D488" s="24">
        <v>3.0</v>
      </c>
      <c r="E488" s="24">
        <v>4.0</v>
      </c>
      <c r="G488" s="12"/>
      <c r="H488" s="28"/>
      <c r="I488" s="28"/>
    </row>
    <row r="489">
      <c r="A489" s="22" t="s">
        <v>93</v>
      </c>
      <c r="B489" s="24">
        <v>21357.0</v>
      </c>
      <c r="C489" s="24">
        <v>21242.0</v>
      </c>
      <c r="D489" s="24">
        <v>21079.0</v>
      </c>
      <c r="E489" s="24">
        <v>21369.0</v>
      </c>
      <c r="G489" s="12"/>
      <c r="H489" s="28"/>
      <c r="I489" s="28"/>
    </row>
    <row r="490">
      <c r="A490" s="22" t="s">
        <v>94</v>
      </c>
      <c r="B490" s="23">
        <f t="shared" ref="B490:E490" si="103">B497*30</f>
        <v>20100</v>
      </c>
      <c r="C490" s="23">
        <f t="shared" si="103"/>
        <v>20010</v>
      </c>
      <c r="D490" s="23">
        <f t="shared" si="103"/>
        <v>19260</v>
      </c>
      <c r="E490" s="23">
        <f t="shared" si="103"/>
        <v>20070</v>
      </c>
      <c r="G490" s="12"/>
      <c r="H490" s="28"/>
      <c r="I490" s="28"/>
    </row>
    <row r="491">
      <c r="A491" s="22" t="s">
        <v>95</v>
      </c>
      <c r="B491" s="24">
        <v>23.0</v>
      </c>
      <c r="C491" s="24">
        <v>27.0</v>
      </c>
      <c r="D491" s="24">
        <v>18.0</v>
      </c>
      <c r="E491" s="24">
        <v>6.0</v>
      </c>
      <c r="G491" s="12"/>
      <c r="H491" s="28"/>
      <c r="I491" s="28"/>
    </row>
    <row r="492">
      <c r="A492" s="22" t="s">
        <v>96</v>
      </c>
      <c r="B492" s="24">
        <v>7.0</v>
      </c>
      <c r="C492" s="24">
        <v>2.0</v>
      </c>
      <c r="D492" s="24">
        <v>12.0</v>
      </c>
      <c r="E492" s="24">
        <v>5.0</v>
      </c>
      <c r="G492" s="12"/>
      <c r="H492" s="28"/>
      <c r="I492" s="28"/>
    </row>
    <row r="493">
      <c r="A493" s="22" t="s">
        <v>111</v>
      </c>
      <c r="B493" s="24">
        <v>0.0</v>
      </c>
      <c r="C493" s="24">
        <v>0.0</v>
      </c>
      <c r="D493" s="24">
        <v>0.0</v>
      </c>
      <c r="E493" s="24">
        <v>0.0</v>
      </c>
      <c r="G493" s="12"/>
      <c r="H493" s="28"/>
      <c r="I493" s="28"/>
    </row>
    <row r="494">
      <c r="A494" s="22" t="s">
        <v>98</v>
      </c>
      <c r="B494" s="24">
        <v>1.0</v>
      </c>
      <c r="C494" s="24">
        <v>2.0</v>
      </c>
      <c r="D494" s="24" t="s">
        <v>241</v>
      </c>
      <c r="E494" s="24" t="s">
        <v>242</v>
      </c>
      <c r="G494" s="12"/>
      <c r="H494" s="28"/>
      <c r="I494" s="28"/>
    </row>
    <row r="495">
      <c r="A495" s="22" t="s">
        <v>112</v>
      </c>
      <c r="B495" s="26">
        <f t="shared" ref="B495:E495" si="104">round(((B490/B489)*100),2)</f>
        <v>94.11</v>
      </c>
      <c r="C495" s="26">
        <f t="shared" si="104"/>
        <v>94.2</v>
      </c>
      <c r="D495" s="26">
        <f t="shared" si="104"/>
        <v>91.37</v>
      </c>
      <c r="E495" s="26">
        <f t="shared" si="104"/>
        <v>93.92</v>
      </c>
      <c r="G495" s="12"/>
      <c r="H495" s="28"/>
      <c r="I495" s="28"/>
    </row>
    <row r="496">
      <c r="A496" s="25" t="s">
        <v>215</v>
      </c>
      <c r="B496" s="24" t="s">
        <v>236</v>
      </c>
      <c r="C496" s="24" t="s">
        <v>243</v>
      </c>
      <c r="D496" s="24"/>
      <c r="E496" s="24"/>
      <c r="G496" s="12"/>
      <c r="H496" s="28"/>
      <c r="I496" s="28"/>
    </row>
    <row r="497">
      <c r="A497" s="22" t="s">
        <v>100</v>
      </c>
      <c r="B497" s="24">
        <v>670.0</v>
      </c>
      <c r="C497" s="24">
        <v>667.0</v>
      </c>
      <c r="D497" s="24">
        <v>642.0</v>
      </c>
      <c r="E497" s="24">
        <v>669.0</v>
      </c>
      <c r="G497" s="12"/>
      <c r="H497" s="28"/>
      <c r="I497" s="28"/>
    </row>
    <row r="498">
      <c r="A498" s="22" t="s">
        <v>103</v>
      </c>
      <c r="B498" s="42" t="s">
        <v>244</v>
      </c>
      <c r="D498" s="40" t="s">
        <v>245</v>
      </c>
      <c r="G498" s="12"/>
      <c r="H498" s="28"/>
      <c r="I498" s="28"/>
    </row>
    <row r="499">
      <c r="A499" s="14"/>
      <c r="B499" s="12"/>
      <c r="C499" s="12"/>
      <c r="D499" s="12"/>
      <c r="E499" s="12"/>
      <c r="G499" s="12"/>
      <c r="H499" s="28"/>
      <c r="I499" s="28"/>
    </row>
    <row r="500">
      <c r="A500" s="14"/>
      <c r="B500" s="12"/>
      <c r="C500" s="12"/>
      <c r="D500" s="12"/>
      <c r="E500" s="12"/>
      <c r="G500" s="12"/>
      <c r="H500" s="28"/>
      <c r="I500" s="28"/>
    </row>
    <row r="501">
      <c r="A501" s="19"/>
      <c r="B501" s="20" t="s">
        <v>246</v>
      </c>
      <c r="G501" s="12"/>
      <c r="H501" s="28"/>
      <c r="I501" s="28"/>
    </row>
    <row r="502">
      <c r="B502" s="21" t="s">
        <v>4</v>
      </c>
      <c r="C502" s="21" t="s">
        <v>5</v>
      </c>
      <c r="D502" s="21" t="s">
        <v>6</v>
      </c>
      <c r="E502" s="21" t="s">
        <v>7</v>
      </c>
      <c r="G502" s="12"/>
      <c r="H502" s="28"/>
      <c r="I502" s="28"/>
    </row>
    <row r="503">
      <c r="A503" s="22" t="s">
        <v>91</v>
      </c>
      <c r="B503" s="24">
        <v>51.7</v>
      </c>
      <c r="C503" s="24">
        <v>49.5</v>
      </c>
      <c r="D503" s="24">
        <v>56.5</v>
      </c>
      <c r="E503" s="24">
        <v>54.3</v>
      </c>
      <c r="G503" s="12"/>
      <c r="H503" s="28"/>
      <c r="I503" s="28"/>
    </row>
    <row r="504">
      <c r="A504" s="22" t="s">
        <v>92</v>
      </c>
      <c r="B504" s="24">
        <v>3.0</v>
      </c>
      <c r="C504" s="24">
        <v>3.0</v>
      </c>
      <c r="D504" s="24">
        <v>2.0</v>
      </c>
      <c r="E504" s="24">
        <v>1.0</v>
      </c>
      <c r="G504" s="12"/>
      <c r="H504" s="28"/>
      <c r="I504" s="28"/>
    </row>
    <row r="505">
      <c r="A505" s="22" t="s">
        <v>93</v>
      </c>
      <c r="B505" s="24">
        <v>21354.0</v>
      </c>
      <c r="C505" s="24">
        <v>21239.0</v>
      </c>
      <c r="D505" s="24">
        <v>21077.0</v>
      </c>
      <c r="E505" s="24">
        <v>21368.0</v>
      </c>
      <c r="G505" s="12"/>
      <c r="H505" s="28"/>
      <c r="I505" s="28"/>
    </row>
    <row r="506">
      <c r="A506" s="22" t="s">
        <v>94</v>
      </c>
      <c r="B506" s="23">
        <f t="shared" ref="B506:E506" si="105">B514*30</f>
        <v>20100</v>
      </c>
      <c r="C506" s="23">
        <f t="shared" si="105"/>
        <v>19920</v>
      </c>
      <c r="D506" s="23">
        <f t="shared" si="105"/>
        <v>19380</v>
      </c>
      <c r="E506" s="23">
        <f t="shared" si="105"/>
        <v>20100</v>
      </c>
      <c r="G506" s="12"/>
      <c r="H506" s="28"/>
      <c r="I506" s="28"/>
    </row>
    <row r="507">
      <c r="A507" s="22" t="s">
        <v>95</v>
      </c>
      <c r="B507" s="24">
        <v>15.0</v>
      </c>
      <c r="C507" s="24">
        <v>7.0</v>
      </c>
      <c r="D507" s="24">
        <v>9.0</v>
      </c>
      <c r="E507" s="24">
        <v>5.0</v>
      </c>
      <c r="G507" s="12"/>
      <c r="H507" s="28"/>
      <c r="I507" s="28"/>
    </row>
    <row r="508">
      <c r="A508" s="22" t="s">
        <v>96</v>
      </c>
      <c r="B508" s="24">
        <v>5.0</v>
      </c>
      <c r="C508" s="24">
        <v>0.0</v>
      </c>
      <c r="D508" s="24">
        <v>4.0</v>
      </c>
      <c r="E508" s="24">
        <v>8.0</v>
      </c>
      <c r="G508" s="12"/>
      <c r="H508" s="28"/>
      <c r="I508" s="28"/>
    </row>
    <row r="509">
      <c r="A509" s="22" t="s">
        <v>111</v>
      </c>
      <c r="B509" s="24">
        <v>0.0</v>
      </c>
      <c r="C509" s="24">
        <v>0.0</v>
      </c>
      <c r="D509" s="24">
        <v>0.0</v>
      </c>
      <c r="E509" s="24">
        <v>0.0</v>
      </c>
      <c r="G509" s="12"/>
      <c r="H509" s="28"/>
      <c r="I509" s="28"/>
    </row>
    <row r="510">
      <c r="A510" s="22" t="s">
        <v>98</v>
      </c>
      <c r="B510" s="24">
        <v>1.0</v>
      </c>
      <c r="C510" s="24">
        <v>2.0</v>
      </c>
      <c r="D510" s="24" t="s">
        <v>221</v>
      </c>
      <c r="E510" s="24">
        <v>1.0</v>
      </c>
      <c r="G510" s="12"/>
      <c r="H510" s="28"/>
      <c r="I510" s="28"/>
    </row>
    <row r="511">
      <c r="A511" s="22" t="s">
        <v>112</v>
      </c>
      <c r="B511" s="26">
        <f t="shared" ref="B511:E511" si="106">round(((B506/B505)*100),2)</f>
        <v>94.13</v>
      </c>
      <c r="C511" s="26">
        <f t="shared" si="106"/>
        <v>93.79</v>
      </c>
      <c r="D511" s="26">
        <f t="shared" si="106"/>
        <v>91.95</v>
      </c>
      <c r="E511" s="26">
        <f t="shared" si="106"/>
        <v>94.07</v>
      </c>
      <c r="G511" s="12"/>
      <c r="H511" s="28"/>
      <c r="I511" s="28"/>
    </row>
    <row r="512">
      <c r="A512" s="25" t="s">
        <v>215</v>
      </c>
      <c r="B512" s="24" t="s">
        <v>247</v>
      </c>
      <c r="C512" s="24" t="s">
        <v>243</v>
      </c>
      <c r="D512" s="24"/>
      <c r="E512" s="24"/>
      <c r="G512" s="12"/>
      <c r="H512" s="28"/>
      <c r="I512" s="28"/>
    </row>
    <row r="513">
      <c r="A513" s="22"/>
      <c r="B513" s="24">
        <v>-12.0</v>
      </c>
      <c r="C513" s="24">
        <v>-19.0</v>
      </c>
      <c r="D513" s="24">
        <v>-23.0</v>
      </c>
      <c r="E513" s="24"/>
      <c r="G513" s="12"/>
      <c r="H513" s="28"/>
      <c r="I513" s="28"/>
    </row>
    <row r="514">
      <c r="A514" s="22" t="s">
        <v>100</v>
      </c>
      <c r="B514" s="24">
        <v>670.0</v>
      </c>
      <c r="C514" s="24">
        <v>664.0</v>
      </c>
      <c r="D514" s="24">
        <v>646.0</v>
      </c>
      <c r="E514" s="24">
        <v>670.0</v>
      </c>
      <c r="G514" s="12"/>
      <c r="H514" s="28"/>
      <c r="I514" s="28"/>
    </row>
    <row r="515">
      <c r="A515" s="22" t="s">
        <v>103</v>
      </c>
      <c r="B515" s="42" t="s">
        <v>248</v>
      </c>
      <c r="D515" s="40">
        <v>0.0</v>
      </c>
      <c r="G515" s="12"/>
      <c r="H515" s="28"/>
      <c r="I515" s="28"/>
    </row>
    <row r="516">
      <c r="A516" s="14"/>
      <c r="B516" s="12"/>
      <c r="C516" s="12"/>
      <c r="D516" s="12"/>
      <c r="E516" s="12"/>
      <c r="G516" s="12"/>
      <c r="H516" s="28"/>
      <c r="I516" s="28"/>
    </row>
    <row r="517">
      <c r="A517" s="19"/>
      <c r="B517" s="20" t="s">
        <v>249</v>
      </c>
      <c r="G517" s="12"/>
      <c r="H517" s="28"/>
      <c r="I517" s="28"/>
    </row>
    <row r="518">
      <c r="B518" s="21" t="s">
        <v>4</v>
      </c>
      <c r="C518" s="21" t="s">
        <v>5</v>
      </c>
      <c r="D518" s="21" t="s">
        <v>6</v>
      </c>
      <c r="E518" s="21" t="s">
        <v>7</v>
      </c>
      <c r="G518" s="12"/>
      <c r="H518" s="28"/>
      <c r="I518" s="28"/>
    </row>
    <row r="519">
      <c r="A519" s="22" t="s">
        <v>91</v>
      </c>
      <c r="B519" s="24">
        <v>52.1</v>
      </c>
      <c r="C519" s="24">
        <v>50.6</v>
      </c>
      <c r="D519" s="24">
        <v>56.6</v>
      </c>
      <c r="E519" s="24">
        <v>54.4</v>
      </c>
      <c r="G519" s="12"/>
      <c r="H519" s="28"/>
      <c r="I519" s="28"/>
    </row>
    <row r="520">
      <c r="A520" s="22" t="s">
        <v>92</v>
      </c>
      <c r="B520" s="24">
        <v>5.0</v>
      </c>
      <c r="C520" s="24">
        <v>5.0</v>
      </c>
      <c r="D520" s="24">
        <v>3.0</v>
      </c>
      <c r="E520" s="24">
        <v>6.0</v>
      </c>
      <c r="G520" s="12"/>
      <c r="H520" s="28"/>
      <c r="I520" s="28"/>
    </row>
    <row r="521">
      <c r="A521" s="22" t="s">
        <v>93</v>
      </c>
      <c r="B521" s="24">
        <v>21334.0</v>
      </c>
      <c r="C521" s="24">
        <v>21215.0</v>
      </c>
      <c r="D521" s="24">
        <v>21051.0</v>
      </c>
      <c r="E521" s="24">
        <v>21362.0</v>
      </c>
      <c r="G521" s="12"/>
      <c r="H521" s="28"/>
      <c r="I521" s="28"/>
    </row>
    <row r="522">
      <c r="A522" s="22" t="s">
        <v>94</v>
      </c>
      <c r="B522" s="23">
        <f t="shared" ref="B522:E522" si="107">B529*30</f>
        <v>20100</v>
      </c>
      <c r="C522" s="23">
        <f t="shared" si="107"/>
        <v>19920</v>
      </c>
      <c r="D522" s="23">
        <f t="shared" si="107"/>
        <v>19440</v>
      </c>
      <c r="E522" s="23">
        <f t="shared" si="107"/>
        <v>20130</v>
      </c>
      <c r="G522" s="12"/>
      <c r="H522" s="28"/>
      <c r="I522" s="28"/>
    </row>
    <row r="523">
      <c r="A523" s="22" t="s">
        <v>95</v>
      </c>
      <c r="B523" s="24">
        <v>15.0</v>
      </c>
      <c r="C523" s="24">
        <v>20.0</v>
      </c>
      <c r="D523" s="24">
        <v>12.0</v>
      </c>
      <c r="E523" s="24">
        <v>6.0</v>
      </c>
      <c r="G523" s="12"/>
      <c r="H523" s="28"/>
      <c r="I523" s="28"/>
    </row>
    <row r="524">
      <c r="A524" s="22" t="s">
        <v>96</v>
      </c>
      <c r="B524" s="24">
        <v>7.0</v>
      </c>
      <c r="C524" s="24">
        <v>5.0</v>
      </c>
      <c r="D524" s="24">
        <v>9.0</v>
      </c>
      <c r="E524" s="24">
        <v>2.0</v>
      </c>
      <c r="G524" s="12"/>
      <c r="H524" s="28"/>
      <c r="I524" s="28"/>
    </row>
    <row r="525">
      <c r="A525" s="22" t="s">
        <v>111</v>
      </c>
      <c r="B525" s="24" t="s">
        <v>210</v>
      </c>
      <c r="C525" s="24" t="s">
        <v>210</v>
      </c>
      <c r="D525" s="24" t="s">
        <v>210</v>
      </c>
      <c r="E525" s="24" t="s">
        <v>210</v>
      </c>
      <c r="G525" s="12"/>
      <c r="H525" s="28"/>
      <c r="I525" s="28"/>
    </row>
    <row r="526">
      <c r="A526" s="22" t="s">
        <v>98</v>
      </c>
      <c r="B526" s="24">
        <v>2.0</v>
      </c>
      <c r="C526" s="24">
        <v>2.0</v>
      </c>
      <c r="D526" s="24" t="s">
        <v>250</v>
      </c>
      <c r="E526" s="24" t="s">
        <v>251</v>
      </c>
      <c r="G526" s="12"/>
      <c r="H526" s="28"/>
      <c r="I526" s="28"/>
    </row>
    <row r="527">
      <c r="A527" s="22" t="s">
        <v>112</v>
      </c>
      <c r="B527" s="26">
        <f t="shared" ref="B527:E527" si="108">round(((B522/B521)*100),2)</f>
        <v>94.22</v>
      </c>
      <c r="C527" s="26">
        <f t="shared" si="108"/>
        <v>93.9</v>
      </c>
      <c r="D527" s="26">
        <f t="shared" si="108"/>
        <v>92.35</v>
      </c>
      <c r="E527" s="26">
        <f t="shared" si="108"/>
        <v>94.23</v>
      </c>
      <c r="G527" s="12"/>
      <c r="H527" s="28"/>
      <c r="I527" s="28"/>
    </row>
    <row r="528">
      <c r="A528" s="25" t="s">
        <v>215</v>
      </c>
      <c r="B528" s="24" t="s">
        <v>236</v>
      </c>
      <c r="C528" s="24" t="s">
        <v>252</v>
      </c>
      <c r="D528" s="24"/>
      <c r="E528" s="24"/>
      <c r="G528" s="12"/>
      <c r="H528" s="28"/>
      <c r="I528" s="28"/>
    </row>
    <row r="529">
      <c r="A529" s="22" t="s">
        <v>100</v>
      </c>
      <c r="B529" s="24">
        <v>670.0</v>
      </c>
      <c r="C529" s="24">
        <v>664.0</v>
      </c>
      <c r="D529" s="24">
        <v>648.0</v>
      </c>
      <c r="E529" s="24">
        <v>671.0</v>
      </c>
      <c r="G529" s="12"/>
      <c r="H529" s="28"/>
      <c r="I529" s="28"/>
    </row>
    <row r="530">
      <c r="A530" s="22" t="s">
        <v>103</v>
      </c>
      <c r="B530" s="42" t="s">
        <v>253</v>
      </c>
      <c r="D530" s="40" t="s">
        <v>254</v>
      </c>
      <c r="G530" s="12"/>
      <c r="H530" s="28"/>
      <c r="I530" s="28"/>
    </row>
    <row r="531">
      <c r="A531" s="14"/>
      <c r="B531" s="12"/>
      <c r="C531" s="12"/>
      <c r="D531" s="12"/>
      <c r="E531" s="12"/>
      <c r="G531" s="12"/>
      <c r="H531" s="28"/>
      <c r="I531" s="28"/>
    </row>
    <row r="532">
      <c r="A532" s="19"/>
      <c r="B532" s="20" t="s">
        <v>255</v>
      </c>
      <c r="G532" s="12"/>
      <c r="H532" s="28"/>
      <c r="I532" s="28"/>
    </row>
    <row r="533">
      <c r="B533" s="21" t="s">
        <v>4</v>
      </c>
      <c r="C533" s="21" t="s">
        <v>5</v>
      </c>
      <c r="D533" s="21" t="s">
        <v>6</v>
      </c>
      <c r="E533" s="21" t="s">
        <v>7</v>
      </c>
      <c r="G533" s="12"/>
      <c r="H533" s="28"/>
      <c r="I533" s="28"/>
    </row>
    <row r="534">
      <c r="A534" s="22" t="s">
        <v>91</v>
      </c>
      <c r="B534" s="24">
        <v>52.2</v>
      </c>
      <c r="C534" s="24">
        <v>50.7</v>
      </c>
      <c r="D534" s="24">
        <v>56.7</v>
      </c>
      <c r="E534" s="24">
        <v>54.5</v>
      </c>
      <c r="G534" s="12"/>
      <c r="H534" s="28"/>
      <c r="I534" s="28"/>
    </row>
    <row r="535">
      <c r="A535" s="22" t="s">
        <v>92</v>
      </c>
      <c r="B535" s="24">
        <v>3.0</v>
      </c>
      <c r="C535" s="24">
        <v>3.0</v>
      </c>
      <c r="D535" s="24">
        <v>9.0</v>
      </c>
      <c r="E535" s="24">
        <v>8.0</v>
      </c>
      <c r="G535" s="12"/>
      <c r="H535" s="28"/>
      <c r="I535" s="28"/>
    </row>
    <row r="536">
      <c r="A536" s="22" t="s">
        <v>93</v>
      </c>
      <c r="B536" s="24">
        <v>21331.0</v>
      </c>
      <c r="C536" s="24">
        <v>21212.0</v>
      </c>
      <c r="D536" s="24">
        <v>21042.0</v>
      </c>
      <c r="E536" s="24">
        <v>21354.0</v>
      </c>
      <c r="G536" s="12"/>
      <c r="H536" s="28"/>
      <c r="I536" s="28"/>
    </row>
    <row r="537">
      <c r="A537" s="22" t="s">
        <v>94</v>
      </c>
      <c r="B537" s="23">
        <f t="shared" ref="B537:E537" si="109">B544*30</f>
        <v>20100</v>
      </c>
      <c r="C537" s="23">
        <f t="shared" si="109"/>
        <v>19920</v>
      </c>
      <c r="D537" s="23">
        <f t="shared" si="109"/>
        <v>19380</v>
      </c>
      <c r="E537" s="23">
        <f t="shared" si="109"/>
        <v>20130</v>
      </c>
      <c r="G537" s="12"/>
      <c r="H537" s="28"/>
      <c r="I537" s="28"/>
    </row>
    <row r="538">
      <c r="A538" s="22" t="s">
        <v>95</v>
      </c>
      <c r="B538" s="24">
        <v>24.0</v>
      </c>
      <c r="C538" s="24">
        <v>18.0</v>
      </c>
      <c r="D538" s="24">
        <v>8.0</v>
      </c>
      <c r="E538" s="24">
        <v>7.0</v>
      </c>
      <c r="G538" s="12"/>
      <c r="H538" s="28"/>
      <c r="I538" s="28"/>
    </row>
    <row r="539">
      <c r="A539" s="22" t="s">
        <v>96</v>
      </c>
      <c r="B539" s="24">
        <v>3.0</v>
      </c>
      <c r="C539" s="24">
        <v>7.0</v>
      </c>
      <c r="D539" s="24">
        <v>6.0</v>
      </c>
      <c r="E539" s="24">
        <v>8.0</v>
      </c>
      <c r="G539" s="12"/>
      <c r="H539" s="28"/>
      <c r="I539" s="28"/>
    </row>
    <row r="540">
      <c r="A540" s="22" t="s">
        <v>111</v>
      </c>
      <c r="B540" s="24">
        <v>0.0</v>
      </c>
      <c r="C540" s="24">
        <v>0.0</v>
      </c>
      <c r="D540" s="24">
        <v>0.0</v>
      </c>
      <c r="E540" s="24">
        <v>0.0</v>
      </c>
      <c r="G540" s="12"/>
      <c r="H540" s="28"/>
      <c r="I540" s="28"/>
    </row>
    <row r="541">
      <c r="A541" s="22" t="s">
        <v>98</v>
      </c>
      <c r="B541" s="24">
        <v>2.0</v>
      </c>
      <c r="C541" s="24">
        <v>2.0</v>
      </c>
      <c r="D541" s="24" t="s">
        <v>256</v>
      </c>
      <c r="E541" s="24" t="s">
        <v>257</v>
      </c>
      <c r="G541" s="12"/>
      <c r="H541" s="28"/>
      <c r="I541" s="28"/>
    </row>
    <row r="542">
      <c r="A542" s="22" t="s">
        <v>112</v>
      </c>
      <c r="B542" s="26">
        <f t="shared" ref="B542:E542" si="110">round(((B537/B536)*100),2)</f>
        <v>94.23</v>
      </c>
      <c r="C542" s="26">
        <f t="shared" si="110"/>
        <v>93.91</v>
      </c>
      <c r="D542" s="26">
        <f t="shared" si="110"/>
        <v>92.1</v>
      </c>
      <c r="E542" s="26">
        <f t="shared" si="110"/>
        <v>94.27</v>
      </c>
      <c r="G542" s="12"/>
      <c r="H542" s="28"/>
      <c r="I542" s="28"/>
    </row>
    <row r="543">
      <c r="A543" s="25" t="s">
        <v>215</v>
      </c>
      <c r="B543" s="24" t="s">
        <v>258</v>
      </c>
      <c r="C543" s="24" t="s">
        <v>259</v>
      </c>
      <c r="D543" s="24"/>
      <c r="E543" s="24"/>
      <c r="G543" s="12"/>
      <c r="H543" s="28"/>
      <c r="I543" s="28"/>
    </row>
    <row r="544">
      <c r="A544" s="22" t="s">
        <v>100</v>
      </c>
      <c r="B544" s="24">
        <v>670.0</v>
      </c>
      <c r="C544" s="24">
        <v>664.0</v>
      </c>
      <c r="D544" s="24">
        <v>646.0</v>
      </c>
      <c r="E544" s="24">
        <v>671.0</v>
      </c>
      <c r="G544" s="12"/>
      <c r="H544" s="28"/>
      <c r="I544" s="28"/>
    </row>
    <row r="545">
      <c r="A545" s="22" t="s">
        <v>103</v>
      </c>
      <c r="B545" s="42"/>
      <c r="D545" s="40">
        <v>2654.0</v>
      </c>
      <c r="G545" s="12"/>
      <c r="H545" s="28"/>
      <c r="I545" s="28"/>
    </row>
    <row r="546">
      <c r="A546" s="14"/>
      <c r="B546" s="12"/>
      <c r="C546" s="12"/>
      <c r="D546" s="12"/>
      <c r="E546" s="12"/>
      <c r="G546" s="12"/>
      <c r="H546" s="28"/>
      <c r="I546" s="28"/>
    </row>
    <row r="547">
      <c r="A547" s="19"/>
      <c r="B547" s="20" t="s">
        <v>260</v>
      </c>
      <c r="G547" s="12"/>
      <c r="H547" s="28"/>
      <c r="I547" s="28"/>
    </row>
    <row r="548">
      <c r="B548" s="21" t="s">
        <v>4</v>
      </c>
      <c r="C548" s="21" t="s">
        <v>5</v>
      </c>
      <c r="D548" s="21" t="s">
        <v>6</v>
      </c>
      <c r="E548" s="21" t="s">
        <v>7</v>
      </c>
      <c r="G548" s="11" t="s">
        <v>261</v>
      </c>
      <c r="H548" s="28"/>
      <c r="I548" s="34" t="s">
        <v>262</v>
      </c>
    </row>
    <row r="549">
      <c r="A549" s="22" t="s">
        <v>91</v>
      </c>
      <c r="B549" s="24">
        <v>52.3</v>
      </c>
      <c r="C549" s="24">
        <v>51.1</v>
      </c>
      <c r="D549" s="24">
        <v>57.1</v>
      </c>
      <c r="E549" s="24">
        <v>54.6</v>
      </c>
      <c r="G549" s="11" t="s">
        <v>263</v>
      </c>
      <c r="H549" s="28"/>
      <c r="I549" s="28"/>
    </row>
    <row r="550">
      <c r="A550" s="22" t="s">
        <v>92</v>
      </c>
      <c r="B550" s="24">
        <v>3.0</v>
      </c>
      <c r="C550" s="24">
        <v>3.0</v>
      </c>
      <c r="D550" s="24">
        <v>4.0</v>
      </c>
      <c r="E550" s="24">
        <v>6.0</v>
      </c>
      <c r="G550" s="12"/>
      <c r="H550" s="28"/>
      <c r="I550" s="28"/>
    </row>
    <row r="551">
      <c r="A551" s="22" t="s">
        <v>93</v>
      </c>
      <c r="B551" s="24">
        <v>21328.0</v>
      </c>
      <c r="C551" s="24">
        <v>21209.0</v>
      </c>
      <c r="D551" s="24">
        <v>21038.0</v>
      </c>
      <c r="E551" s="24">
        <v>21348.0</v>
      </c>
      <c r="G551" s="12"/>
      <c r="H551" s="28"/>
      <c r="I551" s="28"/>
    </row>
    <row r="552">
      <c r="A552" s="22" t="s">
        <v>94</v>
      </c>
      <c r="B552" s="23">
        <f t="shared" ref="B552:E552" si="111">B559*30</f>
        <v>19980</v>
      </c>
      <c r="C552" s="23">
        <f t="shared" si="111"/>
        <v>19620</v>
      </c>
      <c r="D552" s="23">
        <f t="shared" si="111"/>
        <v>19110</v>
      </c>
      <c r="E552" s="23">
        <f t="shared" si="111"/>
        <v>19860</v>
      </c>
      <c r="G552" s="12"/>
      <c r="H552" s="28"/>
      <c r="I552" s="28"/>
    </row>
    <row r="553">
      <c r="A553" s="22" t="s">
        <v>95</v>
      </c>
      <c r="B553" s="24">
        <v>15.0</v>
      </c>
      <c r="C553" s="24">
        <v>29.0</v>
      </c>
      <c r="D553" s="24">
        <v>5.0</v>
      </c>
      <c r="E553" s="24">
        <v>16.0</v>
      </c>
      <c r="G553" s="12"/>
      <c r="H553" s="28"/>
      <c r="I553" s="28"/>
    </row>
    <row r="554">
      <c r="A554" s="22" t="s">
        <v>96</v>
      </c>
      <c r="B554" s="24">
        <v>4.0</v>
      </c>
      <c r="C554" s="24">
        <v>3.0</v>
      </c>
      <c r="D554" s="24">
        <v>4.0</v>
      </c>
      <c r="E554" s="24">
        <v>6.0</v>
      </c>
      <c r="G554" s="12"/>
      <c r="H554" s="28"/>
      <c r="I554" s="28"/>
    </row>
    <row r="555">
      <c r="A555" s="22" t="s">
        <v>111</v>
      </c>
      <c r="B555" s="24">
        <v>0.0</v>
      </c>
      <c r="C555" s="24">
        <v>0.0</v>
      </c>
      <c r="D555" s="24">
        <v>0.0</v>
      </c>
      <c r="E555" s="24">
        <v>0.0</v>
      </c>
      <c r="G555" s="12"/>
      <c r="H555" s="28"/>
      <c r="I555" s="28"/>
    </row>
    <row r="556">
      <c r="A556" s="22" t="s">
        <v>98</v>
      </c>
      <c r="B556" s="24">
        <v>1.0</v>
      </c>
      <c r="C556" s="24">
        <v>2.0</v>
      </c>
      <c r="D556" s="24" t="s">
        <v>264</v>
      </c>
      <c r="E556" s="24">
        <v>2.0</v>
      </c>
      <c r="G556" s="12"/>
      <c r="H556" s="28"/>
      <c r="I556" s="28"/>
    </row>
    <row r="557">
      <c r="A557" s="22" t="s">
        <v>112</v>
      </c>
      <c r="B557" s="26">
        <f t="shared" ref="B557:E557" si="112">round(((B552/B551)*100),2)</f>
        <v>93.68</v>
      </c>
      <c r="C557" s="26">
        <f t="shared" si="112"/>
        <v>92.51</v>
      </c>
      <c r="D557" s="26">
        <f t="shared" si="112"/>
        <v>90.84</v>
      </c>
      <c r="E557" s="26">
        <f t="shared" si="112"/>
        <v>93.03</v>
      </c>
      <c r="G557" s="12"/>
      <c r="H557" s="28"/>
      <c r="I557" s="28"/>
    </row>
    <row r="558">
      <c r="A558" s="25" t="s">
        <v>215</v>
      </c>
      <c r="B558" s="24" t="s">
        <v>236</v>
      </c>
      <c r="C558" s="24" t="s">
        <v>259</v>
      </c>
      <c r="D558" s="24"/>
      <c r="E558" s="24"/>
      <c r="G558" s="12"/>
      <c r="H558" s="28"/>
      <c r="I558" s="28"/>
    </row>
    <row r="559">
      <c r="A559" s="22" t="s">
        <v>100</v>
      </c>
      <c r="B559" s="24">
        <v>666.0</v>
      </c>
      <c r="C559" s="24">
        <v>654.0</v>
      </c>
      <c r="D559" s="24">
        <v>637.0</v>
      </c>
      <c r="E559" s="24">
        <v>662.0</v>
      </c>
      <c r="G559" s="12"/>
      <c r="H559" s="28"/>
      <c r="I559" s="28"/>
    </row>
    <row r="560">
      <c r="A560" s="22" t="s">
        <v>103</v>
      </c>
      <c r="B560" s="42" t="s">
        <v>265</v>
      </c>
      <c r="D560" s="40" t="s">
        <v>266</v>
      </c>
      <c r="G560" s="12"/>
      <c r="H560" s="28"/>
      <c r="I560" s="28"/>
    </row>
    <row r="561">
      <c r="A561" s="14"/>
      <c r="B561" s="12"/>
      <c r="C561" s="12"/>
      <c r="D561" s="12"/>
      <c r="E561" s="12"/>
      <c r="G561" s="12"/>
      <c r="H561" s="28"/>
      <c r="I561" s="28"/>
    </row>
    <row r="562">
      <c r="A562" s="14"/>
      <c r="B562" s="12"/>
      <c r="C562" s="12"/>
      <c r="D562" s="12"/>
      <c r="E562" s="12"/>
      <c r="G562" s="12"/>
      <c r="H562" s="28"/>
      <c r="I562" s="28"/>
    </row>
    <row r="563">
      <c r="A563" s="19"/>
      <c r="B563" s="20" t="s">
        <v>267</v>
      </c>
      <c r="G563" s="12"/>
      <c r="H563" s="28"/>
      <c r="I563" s="28"/>
    </row>
    <row r="564">
      <c r="B564" s="21" t="s">
        <v>4</v>
      </c>
      <c r="C564" s="21" t="s">
        <v>5</v>
      </c>
      <c r="D564" s="21" t="s">
        <v>6</v>
      </c>
      <c r="E564" s="21" t="s">
        <v>7</v>
      </c>
      <c r="G564" s="12"/>
      <c r="H564" s="28"/>
      <c r="I564" s="28"/>
    </row>
    <row r="565">
      <c r="A565" s="22" t="s">
        <v>91</v>
      </c>
      <c r="B565" s="24">
        <v>52.4</v>
      </c>
      <c r="C565" s="24">
        <v>51.2</v>
      </c>
      <c r="D565" s="24">
        <v>57.2</v>
      </c>
      <c r="E565" s="24">
        <v>54.7</v>
      </c>
      <c r="G565" s="12"/>
      <c r="H565" s="28"/>
      <c r="I565" s="28"/>
    </row>
    <row r="566">
      <c r="A566" s="22" t="s">
        <v>92</v>
      </c>
      <c r="B566" s="24">
        <v>2.0</v>
      </c>
      <c r="C566" s="24">
        <v>5.0</v>
      </c>
      <c r="D566" s="24">
        <v>7.0</v>
      </c>
      <c r="E566" s="24">
        <v>6.0</v>
      </c>
      <c r="G566" s="11" t="s">
        <v>268</v>
      </c>
      <c r="H566" s="28"/>
      <c r="I566" s="28"/>
    </row>
    <row r="567">
      <c r="A567" s="22" t="s">
        <v>93</v>
      </c>
      <c r="B567" s="24">
        <v>21326.0</v>
      </c>
      <c r="C567" s="24">
        <v>21204.0</v>
      </c>
      <c r="D567" s="24">
        <v>21031.0</v>
      </c>
      <c r="E567" s="24">
        <v>21342.0</v>
      </c>
      <c r="G567" s="11" t="s">
        <v>269</v>
      </c>
      <c r="H567" s="28"/>
      <c r="I567" s="28"/>
    </row>
    <row r="568">
      <c r="A568" s="22" t="s">
        <v>94</v>
      </c>
      <c r="B568" s="23">
        <f t="shared" ref="B568:E568" si="113">B575*30</f>
        <v>20040</v>
      </c>
      <c r="C568" s="23">
        <f t="shared" si="113"/>
        <v>19860</v>
      </c>
      <c r="D568" s="23">
        <f t="shared" si="113"/>
        <v>18930</v>
      </c>
      <c r="E568" s="23">
        <f t="shared" si="113"/>
        <v>19890</v>
      </c>
      <c r="G568" s="12"/>
      <c r="H568" s="28"/>
      <c r="I568" s="28"/>
    </row>
    <row r="569">
      <c r="A569" s="22" t="s">
        <v>95</v>
      </c>
      <c r="B569" s="24">
        <v>16.0</v>
      </c>
      <c r="C569" s="24">
        <v>12.0</v>
      </c>
      <c r="D569" s="24">
        <v>8.0</v>
      </c>
      <c r="E569" s="24">
        <v>11.0</v>
      </c>
      <c r="G569" s="12"/>
      <c r="H569" s="28"/>
      <c r="I569" s="28"/>
    </row>
    <row r="570">
      <c r="A570" s="22" t="s">
        <v>96</v>
      </c>
      <c r="B570" s="24">
        <v>5.0</v>
      </c>
      <c r="C570" s="24">
        <v>7.0</v>
      </c>
      <c r="D570" s="24">
        <v>3.0</v>
      </c>
      <c r="E570" s="24">
        <v>8.0</v>
      </c>
      <c r="G570" s="12"/>
      <c r="H570" s="28"/>
      <c r="I570" s="28"/>
    </row>
    <row r="571">
      <c r="A571" s="22" t="s">
        <v>111</v>
      </c>
      <c r="B571" s="24">
        <v>0.0</v>
      </c>
      <c r="C571" s="24">
        <v>0.0</v>
      </c>
      <c r="D571" s="24">
        <v>0.0</v>
      </c>
      <c r="E571" s="24">
        <v>0.0</v>
      </c>
      <c r="G571" s="12"/>
      <c r="H571" s="28"/>
      <c r="I571" s="28"/>
    </row>
    <row r="572">
      <c r="A572" s="22" t="s">
        <v>98</v>
      </c>
      <c r="B572" s="24">
        <v>1.0</v>
      </c>
      <c r="C572" s="24">
        <v>2.0</v>
      </c>
      <c r="D572" s="24" t="s">
        <v>270</v>
      </c>
      <c r="E572" s="24">
        <v>1.0</v>
      </c>
      <c r="G572" s="12"/>
      <c r="H572" s="28"/>
      <c r="I572" s="28"/>
    </row>
    <row r="573">
      <c r="A573" s="22" t="s">
        <v>112</v>
      </c>
      <c r="B573" s="26">
        <f t="shared" ref="B573:E573" si="114">round(((B568/B567)*100),2)</f>
        <v>93.97</v>
      </c>
      <c r="C573" s="26">
        <f t="shared" si="114"/>
        <v>93.66</v>
      </c>
      <c r="D573" s="26">
        <f t="shared" si="114"/>
        <v>90.01</v>
      </c>
      <c r="E573" s="26">
        <f t="shared" si="114"/>
        <v>93.2</v>
      </c>
      <c r="G573" s="12"/>
      <c r="H573" s="28"/>
      <c r="I573" s="28"/>
    </row>
    <row r="574">
      <c r="A574" s="25" t="s">
        <v>215</v>
      </c>
      <c r="B574" s="24" t="s">
        <v>236</v>
      </c>
      <c r="C574" s="24" t="s">
        <v>271</v>
      </c>
      <c r="D574" s="24"/>
      <c r="E574" s="24"/>
      <c r="G574" s="12"/>
      <c r="H574" s="28"/>
      <c r="I574" s="28"/>
    </row>
    <row r="575">
      <c r="A575" s="22" t="s">
        <v>100</v>
      </c>
      <c r="B575" s="24">
        <v>668.0</v>
      </c>
      <c r="C575" s="24">
        <v>662.0</v>
      </c>
      <c r="D575" s="24">
        <v>631.0</v>
      </c>
      <c r="E575" s="24">
        <v>663.0</v>
      </c>
      <c r="G575" s="12"/>
      <c r="H575" s="28"/>
      <c r="I575" s="28"/>
    </row>
    <row r="576">
      <c r="A576" s="22" t="s">
        <v>103</v>
      </c>
      <c r="B576" s="42" t="s">
        <v>272</v>
      </c>
      <c r="D576" s="40" t="s">
        <v>273</v>
      </c>
      <c r="G576" s="12"/>
      <c r="H576" s="28"/>
      <c r="I576" s="28"/>
    </row>
    <row r="577">
      <c r="A577" s="14"/>
      <c r="B577" s="12"/>
      <c r="C577" s="12"/>
      <c r="D577" s="12"/>
      <c r="E577" s="12"/>
      <c r="G577" s="12"/>
      <c r="H577" s="28"/>
      <c r="I577" s="28"/>
    </row>
    <row r="578">
      <c r="A578" s="14"/>
      <c r="B578" s="12"/>
      <c r="C578" s="12"/>
      <c r="D578" s="12"/>
      <c r="E578" s="12"/>
      <c r="G578" s="12"/>
      <c r="H578" s="28"/>
      <c r="I578" s="28"/>
    </row>
    <row r="579">
      <c r="A579" s="19"/>
      <c r="B579" s="20" t="s">
        <v>274</v>
      </c>
      <c r="G579" s="12"/>
      <c r="H579" s="28"/>
      <c r="I579" s="28"/>
    </row>
    <row r="580">
      <c r="B580" s="21" t="s">
        <v>4</v>
      </c>
      <c r="C580" s="21" t="s">
        <v>5</v>
      </c>
      <c r="D580" s="21" t="s">
        <v>6</v>
      </c>
      <c r="E580" s="21" t="s">
        <v>7</v>
      </c>
      <c r="G580" s="12"/>
      <c r="H580" s="28"/>
      <c r="I580" s="28"/>
    </row>
    <row r="581">
      <c r="A581" s="22" t="s">
        <v>91</v>
      </c>
      <c r="B581" s="24">
        <v>52.5</v>
      </c>
      <c r="C581" s="24">
        <v>51.3</v>
      </c>
      <c r="D581" s="24">
        <v>57.3</v>
      </c>
      <c r="E581" s="24">
        <v>55.1</v>
      </c>
      <c r="G581" s="12"/>
      <c r="H581" s="28"/>
      <c r="I581" s="28"/>
    </row>
    <row r="582">
      <c r="A582" s="22" t="s">
        <v>92</v>
      </c>
      <c r="B582" s="24">
        <v>5.0</v>
      </c>
      <c r="C582" s="24">
        <v>8.0</v>
      </c>
      <c r="D582" s="24">
        <v>3.0</v>
      </c>
      <c r="E582" s="24">
        <v>3.0</v>
      </c>
      <c r="G582" s="12"/>
      <c r="H582" s="28"/>
      <c r="I582" s="28"/>
    </row>
    <row r="583">
      <c r="A583" s="22" t="s">
        <v>93</v>
      </c>
      <c r="B583" s="24">
        <v>21321.0</v>
      </c>
      <c r="C583" s="24">
        <v>21196.0</v>
      </c>
      <c r="D583" s="24">
        <v>21028.0</v>
      </c>
      <c r="E583" s="24">
        <v>21339.0</v>
      </c>
      <c r="G583" s="12"/>
      <c r="H583" s="28"/>
      <c r="I583" s="28"/>
    </row>
    <row r="584">
      <c r="A584" s="22" t="s">
        <v>94</v>
      </c>
      <c r="B584" s="23">
        <f t="shared" ref="B584:E584" si="115">B591*30</f>
        <v>19860</v>
      </c>
      <c r="C584" s="23">
        <f t="shared" si="115"/>
        <v>19680</v>
      </c>
      <c r="D584" s="23">
        <f t="shared" si="115"/>
        <v>19080</v>
      </c>
      <c r="E584" s="23">
        <f t="shared" si="115"/>
        <v>19980</v>
      </c>
      <c r="G584" s="12"/>
      <c r="H584" s="28"/>
      <c r="I584" s="28"/>
    </row>
    <row r="585">
      <c r="A585" s="22" t="s">
        <v>95</v>
      </c>
      <c r="B585" s="24">
        <v>20.0</v>
      </c>
      <c r="C585" s="24">
        <v>7.0</v>
      </c>
      <c r="D585" s="24">
        <v>11.0</v>
      </c>
      <c r="E585" s="24">
        <v>23.0</v>
      </c>
      <c r="G585" s="12"/>
      <c r="H585" s="28"/>
      <c r="I585" s="28"/>
    </row>
    <row r="586">
      <c r="A586" s="22" t="s">
        <v>96</v>
      </c>
      <c r="B586" s="24">
        <v>10.0</v>
      </c>
      <c r="C586" s="24">
        <v>3.0</v>
      </c>
      <c r="D586" s="24">
        <v>2.0</v>
      </c>
      <c r="E586" s="24">
        <v>7.0</v>
      </c>
      <c r="G586" s="12"/>
      <c r="H586" s="28"/>
      <c r="I586" s="28"/>
    </row>
    <row r="587">
      <c r="A587" s="22" t="s">
        <v>111</v>
      </c>
      <c r="B587" s="24" t="s">
        <v>210</v>
      </c>
      <c r="C587" s="24" t="s">
        <v>210</v>
      </c>
      <c r="D587" s="24" t="s">
        <v>210</v>
      </c>
      <c r="E587" s="24" t="s">
        <v>275</v>
      </c>
      <c r="G587" s="12"/>
      <c r="H587" s="28"/>
      <c r="I587" s="28"/>
    </row>
    <row r="588">
      <c r="A588" s="22" t="s">
        <v>98</v>
      </c>
      <c r="B588" s="24">
        <v>1.0</v>
      </c>
      <c r="C588" s="24" t="s">
        <v>276</v>
      </c>
      <c r="D588" s="24" t="s">
        <v>133</v>
      </c>
      <c r="E588" s="24">
        <v>1.0</v>
      </c>
      <c r="G588" s="12"/>
      <c r="H588" s="28"/>
      <c r="I588" s="28"/>
    </row>
    <row r="589">
      <c r="A589" s="22" t="s">
        <v>112</v>
      </c>
      <c r="B589" s="26">
        <f t="shared" ref="B589:E589" si="116">round(((B584/B583)*100),2)</f>
        <v>93.15</v>
      </c>
      <c r="C589" s="26">
        <f t="shared" si="116"/>
        <v>92.85</v>
      </c>
      <c r="D589" s="26">
        <f t="shared" si="116"/>
        <v>90.74</v>
      </c>
      <c r="E589" s="26">
        <f t="shared" si="116"/>
        <v>93.63</v>
      </c>
      <c r="G589" s="12"/>
      <c r="H589" s="28"/>
      <c r="I589" s="28"/>
    </row>
    <row r="590">
      <c r="A590" s="25" t="s">
        <v>215</v>
      </c>
      <c r="B590" s="24" t="s">
        <v>236</v>
      </c>
      <c r="C590" s="24" t="s">
        <v>277</v>
      </c>
      <c r="D590" s="24"/>
      <c r="E590" s="24"/>
      <c r="G590" s="12"/>
      <c r="H590" s="28"/>
      <c r="I590" s="28"/>
    </row>
    <row r="591">
      <c r="A591" s="22" t="s">
        <v>100</v>
      </c>
      <c r="B591" s="24">
        <v>662.0</v>
      </c>
      <c r="C591" s="24">
        <v>656.0</v>
      </c>
      <c r="D591" s="24">
        <v>636.0</v>
      </c>
      <c r="E591" s="24">
        <v>666.0</v>
      </c>
      <c r="G591" s="12"/>
      <c r="H591" s="28"/>
      <c r="I591" s="28"/>
    </row>
    <row r="592">
      <c r="A592" s="22" t="s">
        <v>103</v>
      </c>
      <c r="B592" s="42" t="s">
        <v>278</v>
      </c>
      <c r="D592" s="40" t="s">
        <v>279</v>
      </c>
      <c r="G592" s="12"/>
      <c r="H592" s="28"/>
      <c r="I592" s="28"/>
    </row>
    <row r="593">
      <c r="A593" s="14"/>
      <c r="B593" s="12"/>
      <c r="C593" s="12"/>
      <c r="D593" s="12"/>
      <c r="E593" s="12"/>
      <c r="G593" s="12"/>
      <c r="H593" s="28"/>
      <c r="I593" s="28"/>
    </row>
    <row r="594">
      <c r="A594" s="14"/>
      <c r="B594" s="12"/>
      <c r="C594" s="12"/>
      <c r="D594" s="12"/>
      <c r="E594" s="12"/>
      <c r="G594" s="12"/>
      <c r="H594" s="28"/>
      <c r="I594" s="28"/>
    </row>
    <row r="595">
      <c r="A595" s="19"/>
      <c r="B595" s="20" t="s">
        <v>280</v>
      </c>
      <c r="G595" s="12"/>
      <c r="H595" s="28"/>
      <c r="I595" s="28"/>
    </row>
    <row r="596">
      <c r="B596" s="21" t="s">
        <v>4</v>
      </c>
      <c r="C596" s="21" t="s">
        <v>5</v>
      </c>
      <c r="D596" s="21" t="s">
        <v>6</v>
      </c>
      <c r="E596" s="21" t="s">
        <v>7</v>
      </c>
      <c r="G596" s="12"/>
      <c r="H596" s="28"/>
      <c r="I596" s="28"/>
    </row>
    <row r="597">
      <c r="A597" s="22" t="s">
        <v>91</v>
      </c>
      <c r="B597" s="24">
        <v>52.6</v>
      </c>
      <c r="C597" s="24">
        <v>51.4</v>
      </c>
      <c r="D597" s="24">
        <v>57.4</v>
      </c>
      <c r="E597" s="24">
        <v>55.2</v>
      </c>
      <c r="G597" s="12"/>
      <c r="H597" s="28"/>
      <c r="I597" s="28"/>
    </row>
    <row r="598">
      <c r="A598" s="22" t="s">
        <v>92</v>
      </c>
      <c r="B598" s="24">
        <v>5.0</v>
      </c>
      <c r="C598" s="24">
        <v>10.0</v>
      </c>
      <c r="D598" s="24">
        <v>6.0</v>
      </c>
      <c r="E598" s="24">
        <v>8.0</v>
      </c>
      <c r="G598" s="12"/>
      <c r="H598" s="28"/>
      <c r="I598" s="28"/>
    </row>
    <row r="599">
      <c r="A599" s="22" t="s">
        <v>93</v>
      </c>
      <c r="B599" s="24">
        <v>21316.0</v>
      </c>
      <c r="C599" s="24">
        <v>21186.0</v>
      </c>
      <c r="D599" s="24">
        <v>21022.0</v>
      </c>
      <c r="E599" s="24">
        <v>21331.0</v>
      </c>
      <c r="G599" s="12"/>
      <c r="H599" s="28"/>
      <c r="I599" s="28"/>
    </row>
    <row r="600">
      <c r="A600" s="22" t="s">
        <v>94</v>
      </c>
      <c r="B600" s="23">
        <f t="shared" ref="B600:E600" si="117">B607*30</f>
        <v>19980</v>
      </c>
      <c r="C600" s="23">
        <f t="shared" si="117"/>
        <v>19620</v>
      </c>
      <c r="D600" s="23">
        <f t="shared" si="117"/>
        <v>18900</v>
      </c>
      <c r="E600" s="23">
        <f t="shared" si="117"/>
        <v>19650</v>
      </c>
      <c r="G600" s="12"/>
      <c r="H600" s="28"/>
      <c r="I600" s="28"/>
    </row>
    <row r="601">
      <c r="A601" s="22" t="s">
        <v>95</v>
      </c>
      <c r="B601" s="24">
        <v>17.0</v>
      </c>
      <c r="C601" s="24">
        <v>18.0</v>
      </c>
      <c r="D601" s="24">
        <v>29.0</v>
      </c>
      <c r="E601" s="24">
        <v>28.0</v>
      </c>
      <c r="G601" s="12"/>
      <c r="H601" s="28"/>
      <c r="I601" s="28"/>
    </row>
    <row r="602">
      <c r="A602" s="22" t="s">
        <v>96</v>
      </c>
      <c r="B602" s="24">
        <v>6.0</v>
      </c>
      <c r="C602" s="24">
        <v>12.0</v>
      </c>
      <c r="D602" s="24">
        <v>24.0</v>
      </c>
      <c r="E602" s="24">
        <v>10.0</v>
      </c>
      <c r="G602" s="12"/>
      <c r="H602" s="28"/>
      <c r="I602" s="28"/>
    </row>
    <row r="603">
      <c r="A603" s="22" t="s">
        <v>111</v>
      </c>
      <c r="B603" s="23">
        <v>0.0</v>
      </c>
      <c r="C603" s="23">
        <v>0.0</v>
      </c>
      <c r="D603" s="23">
        <v>0.0</v>
      </c>
      <c r="E603" s="23">
        <v>0.0</v>
      </c>
      <c r="G603" s="12"/>
      <c r="H603" s="28"/>
      <c r="I603" s="28"/>
    </row>
    <row r="604">
      <c r="A604" s="22" t="s">
        <v>98</v>
      </c>
      <c r="B604" s="23">
        <v>1.0</v>
      </c>
      <c r="C604" s="24" t="s">
        <v>205</v>
      </c>
      <c r="D604" s="24" t="s">
        <v>281</v>
      </c>
      <c r="E604" s="23">
        <v>1.0</v>
      </c>
      <c r="G604" s="12"/>
      <c r="H604" s="28"/>
      <c r="I604" s="28"/>
    </row>
    <row r="605">
      <c r="A605" s="22" t="s">
        <v>112</v>
      </c>
      <c r="B605" s="26">
        <f t="shared" ref="B605:E605" si="118">round(((B600/B599)*100),2)</f>
        <v>93.73</v>
      </c>
      <c r="C605" s="26">
        <f t="shared" si="118"/>
        <v>92.61</v>
      </c>
      <c r="D605" s="26">
        <f t="shared" si="118"/>
        <v>89.91</v>
      </c>
      <c r="E605" s="26">
        <f t="shared" si="118"/>
        <v>92.12</v>
      </c>
      <c r="G605" s="12"/>
      <c r="H605" s="28"/>
      <c r="I605" s="28"/>
    </row>
    <row r="606">
      <c r="A606" s="22" t="s">
        <v>215</v>
      </c>
      <c r="B606" s="24" t="s">
        <v>282</v>
      </c>
      <c r="C606" s="24" t="s">
        <v>283</v>
      </c>
      <c r="D606" s="18"/>
      <c r="E606" s="18"/>
      <c r="G606" s="12"/>
      <c r="H606" s="28"/>
      <c r="I606" s="28"/>
    </row>
    <row r="607">
      <c r="A607" s="22" t="s">
        <v>100</v>
      </c>
      <c r="B607" s="24">
        <v>666.0</v>
      </c>
      <c r="C607" s="24">
        <v>654.0</v>
      </c>
      <c r="D607" s="24">
        <v>630.0</v>
      </c>
      <c r="E607" s="24">
        <v>655.0</v>
      </c>
      <c r="G607" s="12"/>
      <c r="H607" s="28"/>
      <c r="I607" s="28"/>
    </row>
    <row r="608">
      <c r="A608" s="22" t="s">
        <v>103</v>
      </c>
      <c r="B608" s="23"/>
      <c r="D608" s="24" t="s">
        <v>284</v>
      </c>
      <c r="G608" s="12"/>
      <c r="H608" s="28"/>
      <c r="I608" s="28"/>
    </row>
    <row r="609">
      <c r="A609" s="14"/>
      <c r="B609" s="12"/>
      <c r="C609" s="12"/>
      <c r="D609" s="12"/>
      <c r="E609" s="12"/>
      <c r="G609" s="12"/>
      <c r="H609" s="28"/>
      <c r="I609" s="28"/>
    </row>
    <row r="610">
      <c r="A610" s="14"/>
      <c r="B610" s="12"/>
      <c r="C610" s="12"/>
      <c r="D610" s="12"/>
      <c r="E610" s="12"/>
      <c r="G610" s="12"/>
      <c r="H610" s="28"/>
      <c r="I610" s="28"/>
    </row>
    <row r="611">
      <c r="A611" s="19"/>
      <c r="B611" s="20" t="s">
        <v>285</v>
      </c>
      <c r="G611" s="12"/>
      <c r="H611" s="28"/>
      <c r="I611" s="28"/>
    </row>
    <row r="612">
      <c r="B612" s="21" t="s">
        <v>4</v>
      </c>
      <c r="C612" s="21" t="s">
        <v>5</v>
      </c>
      <c r="D612" s="21" t="s">
        <v>6</v>
      </c>
      <c r="E612" s="21" t="s">
        <v>7</v>
      </c>
      <c r="G612" s="12"/>
      <c r="H612" s="28"/>
      <c r="I612" s="28"/>
    </row>
    <row r="613">
      <c r="A613" s="22" t="s">
        <v>91</v>
      </c>
      <c r="B613" s="24">
        <v>52.7</v>
      </c>
      <c r="C613" s="24">
        <v>51.5</v>
      </c>
      <c r="D613" s="24">
        <v>57.5</v>
      </c>
      <c r="E613" s="24">
        <v>55.3</v>
      </c>
      <c r="G613" s="12"/>
      <c r="H613" s="28"/>
      <c r="I613" s="28"/>
    </row>
    <row r="614">
      <c r="A614" s="22" t="s">
        <v>92</v>
      </c>
      <c r="B614" s="24">
        <v>3.0</v>
      </c>
      <c r="C614" s="24">
        <v>3.0</v>
      </c>
      <c r="D614" s="24">
        <v>3.0</v>
      </c>
      <c r="E614" s="24">
        <v>3.0</v>
      </c>
      <c r="G614" s="12"/>
      <c r="H614" s="28"/>
      <c r="I614" s="28"/>
    </row>
    <row r="615">
      <c r="A615" s="22" t="s">
        <v>93</v>
      </c>
      <c r="B615" s="24">
        <v>21313.0</v>
      </c>
      <c r="C615" s="24">
        <v>21183.0</v>
      </c>
      <c r="D615" s="24">
        <v>21019.0</v>
      </c>
      <c r="E615" s="24">
        <v>21328.0</v>
      </c>
      <c r="G615" s="12"/>
      <c r="H615" s="28"/>
      <c r="I615" s="28"/>
    </row>
    <row r="616">
      <c r="A616" s="22" t="s">
        <v>94</v>
      </c>
      <c r="B616" s="23">
        <f t="shared" ref="B616:E616" si="119">B623*30</f>
        <v>19980</v>
      </c>
      <c r="C616" s="23">
        <f t="shared" si="119"/>
        <v>19290</v>
      </c>
      <c r="D616" s="23">
        <f t="shared" si="119"/>
        <v>18960</v>
      </c>
      <c r="E616" s="23">
        <f t="shared" si="119"/>
        <v>19830</v>
      </c>
      <c r="G616" s="12"/>
      <c r="H616" s="28"/>
      <c r="I616" s="28"/>
    </row>
    <row r="617">
      <c r="A617" s="22" t="s">
        <v>95</v>
      </c>
      <c r="B617" s="24">
        <v>16.0</v>
      </c>
      <c r="C617" s="24">
        <v>26.0</v>
      </c>
      <c r="D617" s="24">
        <v>8.0</v>
      </c>
      <c r="E617" s="24">
        <v>24.0</v>
      </c>
      <c r="G617" s="12"/>
      <c r="H617" s="28"/>
      <c r="I617" s="28"/>
    </row>
    <row r="618">
      <c r="A618" s="22" t="s">
        <v>96</v>
      </c>
      <c r="B618" s="24">
        <v>13.0</v>
      </c>
      <c r="C618" s="24">
        <v>7.0</v>
      </c>
      <c r="D618" s="24">
        <v>6.0</v>
      </c>
      <c r="E618" s="24">
        <v>6.0</v>
      </c>
      <c r="G618" s="12"/>
      <c r="H618" s="28"/>
      <c r="I618" s="28"/>
    </row>
    <row r="619">
      <c r="A619" s="22" t="s">
        <v>111</v>
      </c>
      <c r="B619" s="23">
        <v>0.0</v>
      </c>
      <c r="C619" s="23">
        <v>0.0</v>
      </c>
      <c r="D619" s="23">
        <v>0.0</v>
      </c>
      <c r="E619" s="23">
        <v>0.0</v>
      </c>
      <c r="G619" s="12"/>
      <c r="H619" s="28"/>
      <c r="I619" s="28"/>
    </row>
    <row r="620">
      <c r="A620" s="22" t="s">
        <v>98</v>
      </c>
      <c r="B620" s="23">
        <v>1.0</v>
      </c>
      <c r="C620" s="24">
        <v>1.0</v>
      </c>
      <c r="D620" s="24" t="s">
        <v>286</v>
      </c>
      <c r="E620" s="23">
        <v>1.0</v>
      </c>
      <c r="G620" s="12"/>
      <c r="H620" s="28"/>
      <c r="I620" s="28"/>
    </row>
    <row r="621">
      <c r="A621" s="22" t="s">
        <v>112</v>
      </c>
      <c r="B621" s="26">
        <f t="shared" ref="B621:E621" si="120">round(((B616/B615)*100),2)</f>
        <v>93.75</v>
      </c>
      <c r="C621" s="26">
        <f t="shared" si="120"/>
        <v>91.06</v>
      </c>
      <c r="D621" s="26">
        <f t="shared" si="120"/>
        <v>90.2</v>
      </c>
      <c r="E621" s="26">
        <f t="shared" si="120"/>
        <v>92.98</v>
      </c>
      <c r="G621" s="12"/>
      <c r="H621" s="28"/>
      <c r="I621" s="28"/>
    </row>
    <row r="622">
      <c r="A622" s="22" t="s">
        <v>215</v>
      </c>
      <c r="B622" s="24" t="s">
        <v>258</v>
      </c>
      <c r="C622" s="24" t="s">
        <v>287</v>
      </c>
      <c r="D622" s="18"/>
      <c r="E622" s="18"/>
      <c r="G622" s="12"/>
      <c r="H622" s="28"/>
      <c r="I622" s="28"/>
    </row>
    <row r="623">
      <c r="A623" s="22" t="s">
        <v>100</v>
      </c>
      <c r="B623" s="24">
        <v>666.0</v>
      </c>
      <c r="C623" s="24">
        <v>643.0</v>
      </c>
      <c r="D623" s="24">
        <v>632.0</v>
      </c>
      <c r="E623" s="24">
        <v>661.0</v>
      </c>
      <c r="G623" s="12"/>
      <c r="H623" s="28"/>
      <c r="I623" s="28"/>
    </row>
    <row r="624">
      <c r="A624" s="22" t="s">
        <v>103</v>
      </c>
      <c r="B624" s="24" t="s">
        <v>288</v>
      </c>
      <c r="D624" s="24" t="s">
        <v>289</v>
      </c>
      <c r="G624" s="12"/>
      <c r="H624" s="28"/>
      <c r="I624" s="28"/>
    </row>
    <row r="625">
      <c r="A625" s="14"/>
      <c r="B625" s="12"/>
      <c r="C625" s="12"/>
      <c r="D625" s="12"/>
      <c r="E625" s="12"/>
      <c r="G625" s="12"/>
      <c r="H625" s="28"/>
      <c r="I625" s="28"/>
    </row>
    <row r="626">
      <c r="A626" s="14"/>
      <c r="B626" s="12"/>
      <c r="C626" s="12"/>
      <c r="D626" s="12"/>
      <c r="E626" s="12"/>
      <c r="G626" s="12"/>
      <c r="H626" s="28"/>
      <c r="I626" s="28"/>
    </row>
    <row r="627">
      <c r="A627" s="19"/>
      <c r="B627" s="20" t="s">
        <v>290</v>
      </c>
      <c r="G627" s="12"/>
      <c r="H627" s="28"/>
      <c r="I627" s="28"/>
    </row>
    <row r="628">
      <c r="B628" s="21" t="s">
        <v>4</v>
      </c>
      <c r="C628" s="21" t="s">
        <v>5</v>
      </c>
      <c r="D628" s="21" t="s">
        <v>6</v>
      </c>
      <c r="E628" s="21" t="s">
        <v>7</v>
      </c>
      <c r="G628" s="12"/>
      <c r="H628" s="34" t="s">
        <v>291</v>
      </c>
      <c r="I628" s="28"/>
    </row>
    <row r="629">
      <c r="A629" s="22" t="s">
        <v>91</v>
      </c>
      <c r="B629" s="24">
        <v>53.1</v>
      </c>
      <c r="C629" s="24">
        <v>51.6</v>
      </c>
      <c r="D629" s="24">
        <v>57.6</v>
      </c>
      <c r="E629" s="24">
        <v>55.4</v>
      </c>
      <c r="G629" s="12"/>
      <c r="H629" s="34" t="s">
        <v>292</v>
      </c>
      <c r="I629" s="28"/>
    </row>
    <row r="630">
      <c r="A630" s="22" t="s">
        <v>92</v>
      </c>
      <c r="B630" s="24">
        <v>9.0</v>
      </c>
      <c r="C630" s="24">
        <v>5.0</v>
      </c>
      <c r="D630" s="24">
        <v>3.0</v>
      </c>
      <c r="E630" s="24">
        <v>4.0</v>
      </c>
      <c r="G630" s="12"/>
      <c r="H630" s="34" t="s">
        <v>293</v>
      </c>
      <c r="I630" s="28"/>
    </row>
    <row r="631">
      <c r="A631" s="22" t="s">
        <v>93</v>
      </c>
      <c r="B631" s="24">
        <v>21304.0</v>
      </c>
      <c r="C631" s="24">
        <v>21178.0</v>
      </c>
      <c r="D631" s="24">
        <v>21016.0</v>
      </c>
      <c r="E631" s="24">
        <v>21324.0</v>
      </c>
      <c r="G631" s="12"/>
      <c r="H631" s="34" t="s">
        <v>294</v>
      </c>
      <c r="I631" s="28"/>
    </row>
    <row r="632">
      <c r="A632" s="22" t="s">
        <v>94</v>
      </c>
      <c r="B632" s="23">
        <f t="shared" ref="B632:E632" si="121">B639*30</f>
        <v>19920</v>
      </c>
      <c r="C632" s="23">
        <f t="shared" si="121"/>
        <v>19470</v>
      </c>
      <c r="D632" s="23">
        <f t="shared" si="121"/>
        <v>18900</v>
      </c>
      <c r="E632" s="23">
        <f t="shared" si="121"/>
        <v>19650</v>
      </c>
      <c r="G632" s="12"/>
      <c r="H632" s="34" t="s">
        <v>295</v>
      </c>
      <c r="I632" s="28"/>
    </row>
    <row r="633">
      <c r="A633" s="22" t="s">
        <v>95</v>
      </c>
      <c r="B633" s="24">
        <v>17.0</v>
      </c>
      <c r="C633" s="24">
        <v>16.0</v>
      </c>
      <c r="D633" s="24">
        <v>11.0</v>
      </c>
      <c r="E633" s="24">
        <v>14.0</v>
      </c>
      <c r="G633" s="12"/>
      <c r="H633" s="34" t="s">
        <v>296</v>
      </c>
      <c r="I633" s="28"/>
    </row>
    <row r="634">
      <c r="A634" s="22" t="s">
        <v>96</v>
      </c>
      <c r="B634" s="24">
        <v>15.0</v>
      </c>
      <c r="C634" s="24">
        <v>5.0</v>
      </c>
      <c r="D634" s="24">
        <v>4.0</v>
      </c>
      <c r="E634" s="24">
        <v>5.0</v>
      </c>
      <c r="G634" s="12"/>
      <c r="H634" s="34"/>
      <c r="I634" s="28"/>
    </row>
    <row r="635">
      <c r="A635" s="22" t="s">
        <v>111</v>
      </c>
      <c r="B635" s="24" t="s">
        <v>210</v>
      </c>
      <c r="C635" s="24" t="s">
        <v>210</v>
      </c>
      <c r="D635" s="24" t="s">
        <v>210</v>
      </c>
      <c r="E635" s="24" t="s">
        <v>210</v>
      </c>
      <c r="G635" s="12"/>
      <c r="H635" s="28"/>
      <c r="I635" s="28"/>
    </row>
    <row r="636">
      <c r="A636" s="22" t="s">
        <v>98</v>
      </c>
      <c r="B636" s="24">
        <v>2.0</v>
      </c>
      <c r="C636" s="24">
        <v>1.0</v>
      </c>
      <c r="D636" s="24" t="s">
        <v>229</v>
      </c>
      <c r="E636" s="23">
        <v>1.0</v>
      </c>
      <c r="G636" s="12"/>
      <c r="H636" s="28"/>
      <c r="I636" s="28"/>
    </row>
    <row r="637">
      <c r="A637" s="22" t="s">
        <v>112</v>
      </c>
      <c r="B637" s="26">
        <f t="shared" ref="B637:E637" si="122">round(((B632/B631)*100),2)</f>
        <v>93.5</v>
      </c>
      <c r="C637" s="26">
        <f t="shared" si="122"/>
        <v>91.94</v>
      </c>
      <c r="D637" s="26">
        <f t="shared" si="122"/>
        <v>89.93</v>
      </c>
      <c r="E637" s="26">
        <f t="shared" si="122"/>
        <v>92.15</v>
      </c>
      <c r="G637" s="12"/>
      <c r="H637" s="28"/>
      <c r="I637" s="28"/>
    </row>
    <row r="638">
      <c r="A638" s="22" t="s">
        <v>215</v>
      </c>
      <c r="B638" s="24" t="s">
        <v>247</v>
      </c>
      <c r="C638" s="24" t="s">
        <v>297</v>
      </c>
      <c r="D638" s="18"/>
      <c r="E638" s="18"/>
      <c r="G638" s="12"/>
      <c r="H638" s="28"/>
      <c r="I638" s="28"/>
    </row>
    <row r="639">
      <c r="A639" s="22" t="s">
        <v>100</v>
      </c>
      <c r="B639" s="24">
        <v>664.0</v>
      </c>
      <c r="C639" s="24">
        <v>649.0</v>
      </c>
      <c r="D639" s="24">
        <v>630.0</v>
      </c>
      <c r="E639" s="24">
        <v>655.0</v>
      </c>
      <c r="G639" s="12"/>
      <c r="H639" s="28"/>
      <c r="I639" s="28"/>
    </row>
    <row r="640">
      <c r="A640" s="22" t="s">
        <v>103</v>
      </c>
      <c r="B640" s="24" t="s">
        <v>298</v>
      </c>
      <c r="D640" s="24" t="s">
        <v>299</v>
      </c>
      <c r="G640" s="12"/>
      <c r="H640" s="28"/>
      <c r="I640" s="28"/>
    </row>
    <row r="641">
      <c r="A641" s="14"/>
      <c r="B641" s="12"/>
      <c r="C641" s="12"/>
      <c r="D641" s="12"/>
      <c r="E641" s="12"/>
      <c r="G641" s="12"/>
      <c r="H641" s="28"/>
      <c r="I641" s="28"/>
    </row>
    <row r="642">
      <c r="A642" s="14"/>
      <c r="B642" s="12"/>
      <c r="C642" s="12"/>
      <c r="D642" s="12"/>
      <c r="E642" s="12"/>
      <c r="G642" s="12"/>
      <c r="H642" s="28"/>
      <c r="I642" s="28"/>
    </row>
    <row r="643">
      <c r="A643" s="19"/>
      <c r="B643" s="29">
        <v>45665.0</v>
      </c>
      <c r="G643" s="12"/>
      <c r="H643" s="28"/>
      <c r="I643" s="28"/>
    </row>
    <row r="644">
      <c r="B644" s="21" t="s">
        <v>4</v>
      </c>
      <c r="C644" s="21" t="s">
        <v>5</v>
      </c>
      <c r="D644" s="21" t="s">
        <v>6</v>
      </c>
      <c r="E644" s="21" t="s">
        <v>7</v>
      </c>
      <c r="G644" s="12"/>
      <c r="H644" s="28"/>
      <c r="I644" s="28"/>
    </row>
    <row r="645">
      <c r="A645" s="22" t="s">
        <v>91</v>
      </c>
      <c r="B645" s="24">
        <v>53.2</v>
      </c>
      <c r="C645" s="24">
        <v>51.7</v>
      </c>
      <c r="D645" s="24">
        <v>57.7</v>
      </c>
      <c r="E645" s="24">
        <v>55.5</v>
      </c>
      <c r="G645" s="12"/>
      <c r="H645" s="28"/>
      <c r="I645" s="28"/>
    </row>
    <row r="646">
      <c r="A646" s="22" t="s">
        <v>92</v>
      </c>
      <c r="B646" s="24">
        <v>5.0</v>
      </c>
      <c r="C646" s="24">
        <v>3.0</v>
      </c>
      <c r="D646" s="24">
        <v>2.0</v>
      </c>
      <c r="E646" s="24">
        <v>4.0</v>
      </c>
      <c r="G646" s="12"/>
      <c r="H646" s="28"/>
      <c r="I646" s="28"/>
    </row>
    <row r="647">
      <c r="A647" s="22" t="s">
        <v>93</v>
      </c>
      <c r="B647" s="24">
        <v>21299.0</v>
      </c>
      <c r="C647" s="24">
        <v>21175.0</v>
      </c>
      <c r="D647" s="24">
        <v>21014.0</v>
      </c>
      <c r="E647" s="24">
        <v>21320.0</v>
      </c>
      <c r="G647" s="12"/>
      <c r="H647" s="28"/>
      <c r="I647" s="28"/>
    </row>
    <row r="648">
      <c r="A648" s="22" t="s">
        <v>94</v>
      </c>
      <c r="B648" s="23">
        <f t="shared" ref="B648:E648" si="123">B655*30</f>
        <v>19620</v>
      </c>
      <c r="C648" s="23">
        <f t="shared" si="123"/>
        <v>19440</v>
      </c>
      <c r="D648" s="23">
        <f t="shared" si="123"/>
        <v>18810</v>
      </c>
      <c r="E648" s="23">
        <f t="shared" si="123"/>
        <v>19530</v>
      </c>
      <c r="G648" s="12"/>
      <c r="H648" s="28"/>
      <c r="I648" s="28"/>
    </row>
    <row r="649">
      <c r="A649" s="22" t="s">
        <v>95</v>
      </c>
      <c r="B649" s="24">
        <v>17.0</v>
      </c>
      <c r="C649" s="24">
        <v>26.0</v>
      </c>
      <c r="D649" s="24">
        <v>15.0</v>
      </c>
      <c r="E649" s="24">
        <v>11.0</v>
      </c>
      <c r="G649" s="12"/>
      <c r="H649" s="28"/>
      <c r="I649" s="28"/>
    </row>
    <row r="650">
      <c r="A650" s="22" t="s">
        <v>96</v>
      </c>
      <c r="B650" s="24">
        <v>9.0</v>
      </c>
      <c r="C650" s="24">
        <v>4.0</v>
      </c>
      <c r="D650" s="24">
        <v>8.0</v>
      </c>
      <c r="E650" s="24">
        <v>5.0</v>
      </c>
      <c r="G650" s="12"/>
      <c r="H650" s="28"/>
      <c r="I650" s="28"/>
    </row>
    <row r="651">
      <c r="A651" s="22" t="s">
        <v>111</v>
      </c>
      <c r="B651" s="24">
        <v>0.0</v>
      </c>
      <c r="C651" s="24">
        <v>0.0</v>
      </c>
      <c r="D651" s="24">
        <v>0.0</v>
      </c>
      <c r="E651" s="24">
        <v>0.0</v>
      </c>
      <c r="G651" s="12"/>
      <c r="H651" s="28"/>
      <c r="I651" s="28"/>
    </row>
    <row r="652">
      <c r="A652" s="22" t="s">
        <v>98</v>
      </c>
      <c r="B652" s="24">
        <v>1.0</v>
      </c>
      <c r="C652" s="24">
        <v>1.0</v>
      </c>
      <c r="D652" s="24" t="s">
        <v>133</v>
      </c>
      <c r="E652" s="23">
        <v>1.0</v>
      </c>
      <c r="G652" s="12"/>
      <c r="H652" s="28"/>
      <c r="I652" s="28"/>
    </row>
    <row r="653">
      <c r="A653" s="22" t="s">
        <v>112</v>
      </c>
      <c r="B653" s="26">
        <f t="shared" ref="B653:E653" si="124">round(((B648/B647)*100),2)</f>
        <v>92.12</v>
      </c>
      <c r="C653" s="26">
        <f t="shared" si="124"/>
        <v>91.81</v>
      </c>
      <c r="D653" s="26">
        <f t="shared" si="124"/>
        <v>89.51</v>
      </c>
      <c r="E653" s="26">
        <f t="shared" si="124"/>
        <v>91.6</v>
      </c>
      <c r="G653" s="12"/>
      <c r="H653" s="28"/>
      <c r="I653" s="28"/>
    </row>
    <row r="654">
      <c r="A654" s="22" t="s">
        <v>215</v>
      </c>
      <c r="B654" s="24" t="s">
        <v>258</v>
      </c>
      <c r="C654" s="24" t="s">
        <v>300</v>
      </c>
      <c r="D654" s="18"/>
      <c r="E654" s="18"/>
      <c r="G654" s="12"/>
      <c r="H654" s="28"/>
      <c r="I654" s="28"/>
    </row>
    <row r="655">
      <c r="A655" s="22" t="s">
        <v>100</v>
      </c>
      <c r="B655" s="24">
        <v>654.0</v>
      </c>
      <c r="C655" s="24">
        <v>648.0</v>
      </c>
      <c r="D655" s="24">
        <v>627.0</v>
      </c>
      <c r="E655" s="24">
        <v>651.0</v>
      </c>
      <c r="G655" s="12"/>
      <c r="H655" s="28"/>
      <c r="I655" s="28"/>
    </row>
    <row r="656">
      <c r="A656" s="22" t="s">
        <v>103</v>
      </c>
      <c r="B656" s="24" t="s">
        <v>301</v>
      </c>
      <c r="D656" s="24" t="s">
        <v>302</v>
      </c>
      <c r="G656" s="12"/>
      <c r="H656" s="28"/>
      <c r="I656" s="28"/>
    </row>
    <row r="657">
      <c r="A657" s="14"/>
      <c r="B657" s="12"/>
      <c r="C657" s="12"/>
      <c r="D657" s="12"/>
      <c r="E657" s="12"/>
      <c r="G657" s="12"/>
      <c r="H657" s="28"/>
      <c r="I657" s="28"/>
    </row>
    <row r="658">
      <c r="A658" s="14"/>
      <c r="B658" s="12"/>
      <c r="C658" s="12"/>
      <c r="D658" s="12"/>
      <c r="E658" s="12"/>
      <c r="G658" s="12"/>
      <c r="H658" s="28"/>
      <c r="I658" s="28"/>
    </row>
    <row r="659">
      <c r="A659" s="19"/>
      <c r="B659" s="29">
        <v>45696.0</v>
      </c>
      <c r="G659" s="12"/>
      <c r="H659" s="28"/>
      <c r="I659" s="28"/>
    </row>
    <row r="660">
      <c r="B660" s="21" t="s">
        <v>4</v>
      </c>
      <c r="C660" s="21" t="s">
        <v>5</v>
      </c>
      <c r="D660" s="21" t="s">
        <v>6</v>
      </c>
      <c r="E660" s="21" t="s">
        <v>7</v>
      </c>
      <c r="G660" s="12"/>
      <c r="H660" s="28"/>
      <c r="I660" s="28"/>
    </row>
    <row r="661">
      <c r="A661" s="22" t="s">
        <v>91</v>
      </c>
      <c r="B661" s="24">
        <v>53.3</v>
      </c>
      <c r="C661" s="24">
        <v>52.1</v>
      </c>
      <c r="D661" s="24">
        <v>58.1</v>
      </c>
      <c r="E661" s="24">
        <v>55.6</v>
      </c>
      <c r="G661" s="12"/>
      <c r="H661" s="28"/>
      <c r="I661" s="28"/>
    </row>
    <row r="662">
      <c r="A662" s="22" t="s">
        <v>92</v>
      </c>
      <c r="B662" s="24">
        <v>5.0</v>
      </c>
      <c r="C662" s="24">
        <v>3.0</v>
      </c>
      <c r="D662" s="24">
        <v>2.0</v>
      </c>
      <c r="E662" s="24">
        <v>4.0</v>
      </c>
      <c r="G662" s="12"/>
      <c r="H662" s="28"/>
      <c r="I662" s="28"/>
    </row>
    <row r="663">
      <c r="A663" s="22" t="s">
        <v>93</v>
      </c>
      <c r="B663" s="24">
        <v>21294.0</v>
      </c>
      <c r="C663" s="24">
        <v>21172.0</v>
      </c>
      <c r="D663" s="24">
        <v>21012.0</v>
      </c>
      <c r="E663" s="24">
        <v>21316.0</v>
      </c>
      <c r="G663" s="12"/>
      <c r="H663" s="28"/>
      <c r="I663" s="28"/>
    </row>
    <row r="664">
      <c r="A664" s="22" t="s">
        <v>94</v>
      </c>
      <c r="B664" s="23">
        <f t="shared" ref="B664:E664" si="125">B671*30</f>
        <v>19620</v>
      </c>
      <c r="C664" s="23">
        <f t="shared" si="125"/>
        <v>18930</v>
      </c>
      <c r="D664" s="23">
        <f t="shared" si="125"/>
        <v>18570</v>
      </c>
      <c r="E664" s="23">
        <f t="shared" si="125"/>
        <v>19440</v>
      </c>
      <c r="G664" s="12"/>
      <c r="H664" s="28"/>
      <c r="I664" s="28"/>
    </row>
    <row r="665">
      <c r="A665" s="22" t="s">
        <v>95</v>
      </c>
      <c r="B665" s="24">
        <v>15.0</v>
      </c>
      <c r="C665" s="24">
        <v>9.0</v>
      </c>
      <c r="D665" s="24">
        <v>15.0</v>
      </c>
      <c r="E665" s="24">
        <v>11.0</v>
      </c>
      <c r="G665" s="12"/>
      <c r="H665" s="28"/>
      <c r="I665" s="28"/>
    </row>
    <row r="666">
      <c r="A666" s="22" t="s">
        <v>96</v>
      </c>
      <c r="B666" s="24">
        <v>3.0</v>
      </c>
      <c r="C666" s="24">
        <v>5.0</v>
      </c>
      <c r="D666" s="24">
        <v>5.0</v>
      </c>
      <c r="E666" s="24">
        <v>8.0</v>
      </c>
      <c r="G666" s="12"/>
      <c r="H666" s="28"/>
      <c r="I666" s="28"/>
    </row>
    <row r="667">
      <c r="A667" s="22" t="s">
        <v>111</v>
      </c>
      <c r="B667" s="24">
        <v>0.0</v>
      </c>
      <c r="C667" s="24">
        <v>0.0</v>
      </c>
      <c r="D667" s="24">
        <v>0.0</v>
      </c>
      <c r="E667" s="24">
        <v>0.0</v>
      </c>
      <c r="G667" s="12"/>
      <c r="H667" s="28"/>
      <c r="I667" s="28"/>
    </row>
    <row r="668">
      <c r="A668" s="22" t="s">
        <v>98</v>
      </c>
      <c r="B668" s="24">
        <v>1.0</v>
      </c>
      <c r="C668" s="24">
        <v>1.0</v>
      </c>
      <c r="D668" s="24">
        <v>1.0</v>
      </c>
      <c r="E668" s="24" t="s">
        <v>303</v>
      </c>
      <c r="G668" s="12"/>
      <c r="H668" s="28"/>
      <c r="I668" s="28"/>
    </row>
    <row r="669">
      <c r="A669" s="22" t="s">
        <v>112</v>
      </c>
      <c r="B669" s="26">
        <f t="shared" ref="B669:E669" si="126">round(((B664/B663)*100),2)</f>
        <v>92.14</v>
      </c>
      <c r="C669" s="26">
        <f t="shared" si="126"/>
        <v>89.41</v>
      </c>
      <c r="D669" s="26">
        <f t="shared" si="126"/>
        <v>88.38</v>
      </c>
      <c r="E669" s="26">
        <f t="shared" si="126"/>
        <v>91.2</v>
      </c>
      <c r="G669" s="12"/>
      <c r="H669" s="28"/>
      <c r="I669" s="28"/>
    </row>
    <row r="670">
      <c r="A670" s="22" t="s">
        <v>215</v>
      </c>
      <c r="B670" s="24" t="s">
        <v>304</v>
      </c>
      <c r="C670" s="24" t="s">
        <v>243</v>
      </c>
      <c r="D670" s="18"/>
      <c r="E670" s="18"/>
      <c r="G670" s="12"/>
      <c r="H670" s="28"/>
      <c r="I670" s="28"/>
    </row>
    <row r="671">
      <c r="A671" s="22" t="s">
        <v>100</v>
      </c>
      <c r="B671" s="24">
        <v>654.0</v>
      </c>
      <c r="C671" s="24">
        <v>631.0</v>
      </c>
      <c r="D671" s="24">
        <v>619.0</v>
      </c>
      <c r="E671" s="24">
        <v>648.0</v>
      </c>
      <c r="G671" s="12"/>
      <c r="H671" s="28"/>
      <c r="I671" s="28"/>
    </row>
    <row r="672">
      <c r="A672" s="22" t="s">
        <v>103</v>
      </c>
      <c r="B672" s="24"/>
      <c r="D672" s="24" t="s">
        <v>305</v>
      </c>
      <c r="G672" s="12"/>
      <c r="H672" s="28"/>
      <c r="I672" s="28"/>
    </row>
    <row r="673">
      <c r="A673" s="14"/>
      <c r="B673" s="12"/>
      <c r="C673" s="12"/>
      <c r="D673" s="12"/>
      <c r="E673" s="12"/>
      <c r="G673" s="12"/>
      <c r="H673" s="28"/>
      <c r="I673" s="28"/>
    </row>
    <row r="674">
      <c r="A674" s="14"/>
      <c r="B674" s="12"/>
      <c r="C674" s="12"/>
      <c r="D674" s="12"/>
      <c r="E674" s="12"/>
      <c r="G674" s="12"/>
      <c r="H674" s="28"/>
      <c r="I674" s="28"/>
    </row>
    <row r="675">
      <c r="A675" s="19"/>
      <c r="B675" s="29">
        <v>45724.0</v>
      </c>
      <c r="G675" s="12"/>
      <c r="H675" s="28"/>
      <c r="I675" s="28"/>
    </row>
    <row r="676">
      <c r="B676" s="21" t="s">
        <v>4</v>
      </c>
      <c r="C676" s="21" t="s">
        <v>5</v>
      </c>
      <c r="D676" s="21" t="s">
        <v>6</v>
      </c>
      <c r="E676" s="21" t="s">
        <v>7</v>
      </c>
      <c r="G676" s="12"/>
      <c r="H676" s="28"/>
      <c r="I676" s="28"/>
    </row>
    <row r="677">
      <c r="A677" s="22" t="s">
        <v>91</v>
      </c>
      <c r="B677" s="24">
        <v>53.4</v>
      </c>
      <c r="C677" s="24">
        <v>52.2</v>
      </c>
      <c r="D677" s="24">
        <v>58.2</v>
      </c>
      <c r="E677" s="24">
        <v>55.7</v>
      </c>
      <c r="G677" s="12"/>
      <c r="H677" s="28"/>
      <c r="I677" s="28"/>
    </row>
    <row r="678">
      <c r="A678" s="22" t="s">
        <v>92</v>
      </c>
      <c r="B678" s="24">
        <v>2.0</v>
      </c>
      <c r="C678" s="24">
        <v>5.0</v>
      </c>
      <c r="D678" s="24">
        <v>7.0</v>
      </c>
      <c r="E678" s="24">
        <v>7.0</v>
      </c>
      <c r="G678" s="12"/>
      <c r="H678" s="28"/>
      <c r="I678" s="28"/>
    </row>
    <row r="679">
      <c r="A679" s="22" t="s">
        <v>93</v>
      </c>
      <c r="B679" s="24">
        <v>21292.0</v>
      </c>
      <c r="C679" s="24">
        <v>21167.0</v>
      </c>
      <c r="D679" s="24">
        <v>21005.0</v>
      </c>
      <c r="E679" s="24">
        <v>21309.0</v>
      </c>
      <c r="G679" s="12"/>
      <c r="H679" s="28"/>
      <c r="I679" s="28"/>
    </row>
    <row r="680">
      <c r="A680" s="22" t="s">
        <v>94</v>
      </c>
      <c r="B680" s="23">
        <f t="shared" ref="B680:E680" si="127">B687*30</f>
        <v>19620</v>
      </c>
      <c r="C680" s="23">
        <f t="shared" si="127"/>
        <v>19560</v>
      </c>
      <c r="D680" s="23">
        <f t="shared" si="127"/>
        <v>19200</v>
      </c>
      <c r="E680" s="23">
        <f t="shared" si="127"/>
        <v>19950</v>
      </c>
      <c r="G680" s="12"/>
      <c r="H680" s="28"/>
      <c r="I680" s="28"/>
    </row>
    <row r="681">
      <c r="A681" s="22" t="s">
        <v>95</v>
      </c>
      <c r="B681" s="24">
        <v>16.0</v>
      </c>
      <c r="C681" s="24">
        <v>6.0</v>
      </c>
      <c r="D681" s="24">
        <v>24.0</v>
      </c>
      <c r="E681" s="24">
        <v>10.0</v>
      </c>
      <c r="G681" s="12"/>
      <c r="H681" s="28"/>
      <c r="I681" s="28"/>
    </row>
    <row r="682">
      <c r="A682" s="22" t="s">
        <v>96</v>
      </c>
      <c r="B682" s="24">
        <v>5.0</v>
      </c>
      <c r="C682" s="24">
        <v>2.0</v>
      </c>
      <c r="D682" s="24">
        <v>6.0</v>
      </c>
      <c r="E682" s="24">
        <v>8.0</v>
      </c>
      <c r="G682" s="12"/>
      <c r="H682" s="28"/>
      <c r="I682" s="28"/>
    </row>
    <row r="683">
      <c r="A683" s="22" t="s">
        <v>111</v>
      </c>
      <c r="B683" s="24">
        <v>0.0</v>
      </c>
      <c r="C683" s="24">
        <v>0.0</v>
      </c>
      <c r="D683" s="24">
        <v>0.0</v>
      </c>
      <c r="E683" s="24">
        <v>0.0</v>
      </c>
      <c r="G683" s="12"/>
      <c r="H683" s="28"/>
      <c r="I683" s="28"/>
    </row>
    <row r="684">
      <c r="A684" s="22" t="s">
        <v>98</v>
      </c>
      <c r="B684" s="24">
        <v>1.0</v>
      </c>
      <c r="C684" s="24">
        <v>1.0</v>
      </c>
      <c r="D684" s="24">
        <v>1.0</v>
      </c>
      <c r="E684" s="24">
        <v>1.0</v>
      </c>
      <c r="G684" s="12"/>
      <c r="H684" s="28"/>
      <c r="I684" s="28"/>
    </row>
    <row r="685">
      <c r="A685" s="22" t="s">
        <v>112</v>
      </c>
      <c r="B685" s="26">
        <f t="shared" ref="B685:E685" si="128">round(((B680/B679)*100),2)</f>
        <v>92.15</v>
      </c>
      <c r="C685" s="26">
        <f t="shared" si="128"/>
        <v>92.41</v>
      </c>
      <c r="D685" s="26">
        <f t="shared" si="128"/>
        <v>91.41</v>
      </c>
      <c r="E685" s="26">
        <f t="shared" si="128"/>
        <v>93.62</v>
      </c>
      <c r="G685" s="12"/>
      <c r="H685" s="28"/>
      <c r="I685" s="28"/>
    </row>
    <row r="686">
      <c r="A686" s="22" t="s">
        <v>215</v>
      </c>
      <c r="B686" s="24" t="s">
        <v>306</v>
      </c>
      <c r="C686" s="24" t="s">
        <v>307</v>
      </c>
      <c r="D686" s="18"/>
      <c r="E686" s="18"/>
      <c r="G686" s="12"/>
      <c r="H686" s="28"/>
      <c r="I686" s="28"/>
    </row>
    <row r="687">
      <c r="A687" s="22" t="s">
        <v>100</v>
      </c>
      <c r="B687" s="24">
        <v>654.0</v>
      </c>
      <c r="C687" s="24">
        <v>652.0</v>
      </c>
      <c r="D687" s="24">
        <v>640.0</v>
      </c>
      <c r="E687" s="24">
        <v>665.0</v>
      </c>
      <c r="G687" s="12"/>
      <c r="H687" s="28"/>
      <c r="I687" s="28"/>
    </row>
    <row r="688">
      <c r="A688" s="22" t="s">
        <v>103</v>
      </c>
      <c r="B688" s="24" t="s">
        <v>308</v>
      </c>
      <c r="D688" s="24" t="s">
        <v>309</v>
      </c>
      <c r="G688" s="12"/>
      <c r="H688" s="28"/>
      <c r="I688" s="28"/>
    </row>
    <row r="689">
      <c r="A689" s="14"/>
      <c r="B689" s="12"/>
      <c r="C689" s="12"/>
      <c r="D689" s="12"/>
      <c r="E689" s="12"/>
      <c r="G689" s="12"/>
      <c r="H689" s="28"/>
      <c r="I689" s="28"/>
    </row>
    <row r="690">
      <c r="A690" s="14"/>
      <c r="B690" s="12"/>
      <c r="C690" s="12"/>
      <c r="D690" s="12"/>
      <c r="E690" s="12"/>
      <c r="G690" s="12"/>
      <c r="H690" s="28"/>
      <c r="I690" s="28"/>
    </row>
    <row r="691">
      <c r="A691" s="19"/>
      <c r="B691" s="29">
        <v>45755.0</v>
      </c>
      <c r="G691" s="12"/>
      <c r="H691" s="28"/>
      <c r="I691" s="28"/>
    </row>
    <row r="692">
      <c r="B692" s="21" t="s">
        <v>4</v>
      </c>
      <c r="C692" s="21" t="s">
        <v>5</v>
      </c>
      <c r="D692" s="21" t="s">
        <v>6</v>
      </c>
      <c r="E692" s="21" t="s">
        <v>7</v>
      </c>
      <c r="G692" s="12"/>
      <c r="H692" s="28"/>
      <c r="I692" s="28"/>
    </row>
    <row r="693">
      <c r="A693" s="22" t="s">
        <v>91</v>
      </c>
      <c r="B693" s="24">
        <v>53.5</v>
      </c>
      <c r="C693" s="24">
        <v>52.3</v>
      </c>
      <c r="D693" s="24">
        <v>58.3</v>
      </c>
      <c r="E693" s="24">
        <v>56.1</v>
      </c>
      <c r="G693" s="12"/>
      <c r="H693" s="28"/>
      <c r="I693" s="28"/>
    </row>
    <row r="694">
      <c r="A694" s="22" t="s">
        <v>92</v>
      </c>
      <c r="B694" s="24">
        <v>2.0</v>
      </c>
      <c r="C694" s="24">
        <v>6.0</v>
      </c>
      <c r="D694" s="24">
        <v>7.0</v>
      </c>
      <c r="E694" s="24">
        <v>4.0</v>
      </c>
      <c r="G694" s="12"/>
      <c r="H694" s="28"/>
      <c r="I694" s="28"/>
    </row>
    <row r="695">
      <c r="A695" s="22" t="s">
        <v>93</v>
      </c>
      <c r="B695" s="24">
        <v>21290.0</v>
      </c>
      <c r="C695" s="24">
        <v>21161.0</v>
      </c>
      <c r="D695" s="24">
        <v>20998.0</v>
      </c>
      <c r="E695" s="24">
        <v>21305.0</v>
      </c>
      <c r="G695" s="12"/>
      <c r="H695" s="28"/>
      <c r="I695" s="28"/>
    </row>
    <row r="696">
      <c r="A696" s="22" t="s">
        <v>94</v>
      </c>
      <c r="B696" s="23">
        <f t="shared" ref="B696:E696" si="129">B703*30</f>
        <v>19560</v>
      </c>
      <c r="C696" s="23">
        <f t="shared" si="129"/>
        <v>19320</v>
      </c>
      <c r="D696" s="23">
        <f t="shared" si="129"/>
        <v>19170</v>
      </c>
      <c r="E696" s="23">
        <f t="shared" si="129"/>
        <v>19350</v>
      </c>
      <c r="G696" s="12"/>
      <c r="H696" s="28"/>
      <c r="I696" s="28"/>
    </row>
    <row r="697">
      <c r="A697" s="22" t="s">
        <v>95</v>
      </c>
      <c r="B697" s="24">
        <v>15.0</v>
      </c>
      <c r="C697" s="24">
        <v>17.0</v>
      </c>
      <c r="D697" s="24">
        <v>13.0</v>
      </c>
      <c r="E697" s="24">
        <v>17.0</v>
      </c>
      <c r="G697" s="12"/>
      <c r="H697" s="28"/>
      <c r="I697" s="28"/>
    </row>
    <row r="698">
      <c r="A698" s="22" t="s">
        <v>96</v>
      </c>
      <c r="B698" s="24">
        <v>9.0</v>
      </c>
      <c r="C698" s="24">
        <v>3.0</v>
      </c>
      <c r="D698" s="24">
        <v>4.0</v>
      </c>
      <c r="E698" s="24">
        <v>5.0</v>
      </c>
      <c r="G698" s="12"/>
      <c r="H698" s="28"/>
      <c r="I698" s="28"/>
    </row>
    <row r="699">
      <c r="A699" s="22" t="s">
        <v>111</v>
      </c>
      <c r="B699" s="24" t="s">
        <v>210</v>
      </c>
      <c r="C699" s="24" t="s">
        <v>210</v>
      </c>
      <c r="D699" s="24" t="s">
        <v>210</v>
      </c>
      <c r="E699" s="24" t="s">
        <v>210</v>
      </c>
      <c r="G699" s="12"/>
      <c r="H699" s="28"/>
      <c r="I699" s="28"/>
    </row>
    <row r="700">
      <c r="A700" s="22" t="s">
        <v>98</v>
      </c>
      <c r="B700" s="24">
        <v>1.0</v>
      </c>
      <c r="C700" s="24">
        <v>1.0</v>
      </c>
      <c r="D700" s="24">
        <v>1.0</v>
      </c>
      <c r="E700" s="24">
        <v>1.0</v>
      </c>
      <c r="G700" s="12"/>
      <c r="H700" s="28"/>
      <c r="I700" s="28"/>
    </row>
    <row r="701">
      <c r="A701" s="22" t="s">
        <v>112</v>
      </c>
      <c r="B701" s="26">
        <f t="shared" ref="B701:E701" si="130">round(((B696/B695)*100),2)</f>
        <v>91.87</v>
      </c>
      <c r="C701" s="26">
        <f t="shared" si="130"/>
        <v>91.3</v>
      </c>
      <c r="D701" s="26">
        <f t="shared" si="130"/>
        <v>91.29</v>
      </c>
      <c r="E701" s="26">
        <f t="shared" si="130"/>
        <v>90.82</v>
      </c>
      <c r="G701" s="12"/>
      <c r="H701" s="28"/>
      <c r="I701" s="28"/>
    </row>
    <row r="702">
      <c r="A702" s="22" t="s">
        <v>215</v>
      </c>
      <c r="B702" s="24" t="s">
        <v>306</v>
      </c>
      <c r="C702" s="24" t="s">
        <v>307</v>
      </c>
      <c r="D702" s="18"/>
      <c r="E702" s="18"/>
      <c r="G702" s="12"/>
      <c r="H702" s="28"/>
      <c r="I702" s="28"/>
    </row>
    <row r="703">
      <c r="A703" s="22" t="s">
        <v>100</v>
      </c>
      <c r="B703" s="24">
        <v>652.0</v>
      </c>
      <c r="C703" s="24">
        <v>644.0</v>
      </c>
      <c r="D703" s="24">
        <v>639.0</v>
      </c>
      <c r="E703" s="24">
        <v>645.0</v>
      </c>
      <c r="G703" s="12"/>
      <c r="H703" s="28"/>
      <c r="I703" s="28"/>
    </row>
    <row r="704">
      <c r="A704" s="22" t="s">
        <v>103</v>
      </c>
      <c r="B704" s="24" t="s">
        <v>310</v>
      </c>
      <c r="D704" s="24" t="s">
        <v>311</v>
      </c>
      <c r="G704" s="12"/>
      <c r="H704" s="28"/>
      <c r="I704" s="28"/>
    </row>
    <row r="705">
      <c r="A705" s="14"/>
      <c r="B705" s="12"/>
      <c r="C705" s="12"/>
      <c r="D705" s="12"/>
      <c r="E705" s="12"/>
      <c r="G705" s="12"/>
      <c r="H705" s="34" t="s">
        <v>312</v>
      </c>
      <c r="I705" s="28"/>
    </row>
    <row r="706">
      <c r="A706" s="14"/>
      <c r="B706" s="12"/>
      <c r="C706" s="12"/>
      <c r="D706" s="12"/>
      <c r="E706" s="12"/>
      <c r="G706" s="12"/>
      <c r="H706" s="28"/>
      <c r="I706" s="28"/>
    </row>
    <row r="707">
      <c r="A707" s="19"/>
      <c r="B707" s="29">
        <v>45785.0</v>
      </c>
      <c r="G707" s="12"/>
      <c r="H707" s="28"/>
      <c r="I707" s="28"/>
    </row>
    <row r="708">
      <c r="B708" s="21" t="s">
        <v>4</v>
      </c>
      <c r="C708" s="21" t="s">
        <v>5</v>
      </c>
      <c r="D708" s="21" t="s">
        <v>6</v>
      </c>
      <c r="E708" s="21" t="s">
        <v>7</v>
      </c>
      <c r="G708" s="12"/>
      <c r="H708" s="28"/>
      <c r="I708" s="28"/>
    </row>
    <row r="709">
      <c r="A709" s="22" t="s">
        <v>91</v>
      </c>
      <c r="B709" s="24">
        <v>53.6</v>
      </c>
      <c r="C709" s="24">
        <v>52.4</v>
      </c>
      <c r="D709" s="24">
        <v>58.4</v>
      </c>
      <c r="E709" s="24">
        <v>56.2</v>
      </c>
      <c r="G709" s="11" t="s">
        <v>313</v>
      </c>
      <c r="H709" s="28"/>
      <c r="I709" s="28"/>
    </row>
    <row r="710">
      <c r="A710" s="22" t="s">
        <v>92</v>
      </c>
      <c r="B710" s="24">
        <v>4.0</v>
      </c>
      <c r="C710" s="24">
        <v>0.0</v>
      </c>
      <c r="D710" s="24">
        <v>3.0</v>
      </c>
      <c r="E710" s="24">
        <v>5.0</v>
      </c>
      <c r="G710" s="12"/>
      <c r="H710" s="28"/>
      <c r="I710" s="28"/>
    </row>
    <row r="711">
      <c r="A711" s="22" t="s">
        <v>93</v>
      </c>
      <c r="B711" s="24">
        <v>21286.0</v>
      </c>
      <c r="C711" s="24">
        <v>21161.0</v>
      </c>
      <c r="D711" s="24">
        <v>20995.0</v>
      </c>
      <c r="E711" s="24">
        <v>21300.0</v>
      </c>
      <c r="G711" s="12"/>
      <c r="H711" s="28"/>
      <c r="I711" s="28"/>
    </row>
    <row r="712">
      <c r="A712" s="22" t="s">
        <v>94</v>
      </c>
      <c r="B712" s="23">
        <f t="shared" ref="B712:E712" si="131">B719*30</f>
        <v>19620</v>
      </c>
      <c r="C712" s="23">
        <f t="shared" si="131"/>
        <v>19170</v>
      </c>
      <c r="D712" s="23">
        <f t="shared" si="131"/>
        <v>18510</v>
      </c>
      <c r="E712" s="23">
        <f t="shared" si="131"/>
        <v>19770</v>
      </c>
      <c r="G712" s="12"/>
      <c r="H712" s="28"/>
      <c r="I712" s="28"/>
    </row>
    <row r="713">
      <c r="A713" s="22" t="s">
        <v>95</v>
      </c>
      <c r="B713" s="24">
        <v>25.0</v>
      </c>
      <c r="C713" s="24">
        <v>8.0</v>
      </c>
      <c r="D713" s="24">
        <v>7.0</v>
      </c>
      <c r="E713" s="24">
        <v>12.0</v>
      </c>
      <c r="G713" s="12"/>
      <c r="H713" s="28"/>
      <c r="I713" s="28"/>
    </row>
    <row r="714">
      <c r="A714" s="22" t="s">
        <v>96</v>
      </c>
      <c r="B714" s="24">
        <v>2.0</v>
      </c>
      <c r="C714" s="24">
        <v>2.0</v>
      </c>
      <c r="D714" s="24">
        <v>3.0</v>
      </c>
      <c r="E714" s="24">
        <v>8.0</v>
      </c>
      <c r="G714" s="12"/>
      <c r="H714" s="28"/>
      <c r="I714" s="28"/>
    </row>
    <row r="715">
      <c r="A715" s="22" t="s">
        <v>111</v>
      </c>
      <c r="B715" s="24">
        <v>0.0</v>
      </c>
      <c r="C715" s="24">
        <v>0.0</v>
      </c>
      <c r="D715" s="24">
        <v>0.0</v>
      </c>
      <c r="E715" s="24">
        <v>0.0</v>
      </c>
      <c r="G715" s="12"/>
      <c r="H715" s="28"/>
      <c r="I715" s="28"/>
    </row>
    <row r="716">
      <c r="A716" s="22" t="s">
        <v>98</v>
      </c>
      <c r="B716" s="24">
        <v>1.0</v>
      </c>
      <c r="C716" s="24" t="s">
        <v>314</v>
      </c>
      <c r="D716" s="24" t="s">
        <v>315</v>
      </c>
      <c r="E716" s="24">
        <v>1.0</v>
      </c>
      <c r="G716" s="12"/>
      <c r="H716" s="28"/>
      <c r="I716" s="28"/>
    </row>
    <row r="717">
      <c r="A717" s="22" t="s">
        <v>112</v>
      </c>
      <c r="B717" s="26">
        <f t="shared" ref="B717:E717" si="132">round(((B712/B711)*100),2)</f>
        <v>92.17</v>
      </c>
      <c r="C717" s="26">
        <f t="shared" si="132"/>
        <v>90.59</v>
      </c>
      <c r="D717" s="26">
        <f t="shared" si="132"/>
        <v>88.16</v>
      </c>
      <c r="E717" s="26">
        <f t="shared" si="132"/>
        <v>92.82</v>
      </c>
      <c r="G717" s="12"/>
      <c r="H717" s="28"/>
      <c r="I717" s="28"/>
    </row>
    <row r="718">
      <c r="A718" s="22" t="s">
        <v>215</v>
      </c>
      <c r="B718" s="24" t="s">
        <v>306</v>
      </c>
      <c r="C718" s="24" t="s">
        <v>307</v>
      </c>
      <c r="D718" s="18"/>
      <c r="E718" s="18"/>
      <c r="G718" s="12"/>
      <c r="H718" s="28"/>
      <c r="I718" s="28"/>
    </row>
    <row r="719">
      <c r="A719" s="22" t="s">
        <v>100</v>
      </c>
      <c r="B719" s="24">
        <v>654.0</v>
      </c>
      <c r="C719" s="24">
        <v>639.0</v>
      </c>
      <c r="D719" s="24">
        <v>617.0</v>
      </c>
      <c r="E719" s="24">
        <v>659.0</v>
      </c>
      <c r="G719" s="12"/>
      <c r="H719" s="28"/>
      <c r="I719" s="28"/>
    </row>
    <row r="720">
      <c r="A720" s="22" t="s">
        <v>103</v>
      </c>
      <c r="B720" s="24" t="s">
        <v>316</v>
      </c>
      <c r="D720" s="24" t="s">
        <v>317</v>
      </c>
      <c r="G720" s="12"/>
      <c r="H720" s="28"/>
      <c r="I720" s="28"/>
    </row>
    <row r="721">
      <c r="A721" s="14"/>
      <c r="B721" s="12"/>
      <c r="C721" s="12"/>
      <c r="D721" s="12"/>
      <c r="E721" s="12"/>
      <c r="G721" s="12"/>
      <c r="H721" s="28"/>
      <c r="I721" s="28"/>
    </row>
    <row r="722">
      <c r="A722" s="14"/>
      <c r="B722" s="12"/>
      <c r="C722" s="12"/>
      <c r="D722" s="12"/>
      <c r="E722" s="12"/>
      <c r="G722" s="12"/>
      <c r="H722" s="28"/>
      <c r="I722" s="28"/>
    </row>
    <row r="723">
      <c r="A723" s="19"/>
      <c r="B723" s="29">
        <v>45816.0</v>
      </c>
      <c r="G723" s="12"/>
      <c r="H723" s="28"/>
      <c r="I723" s="28"/>
    </row>
    <row r="724">
      <c r="B724" s="21" t="s">
        <v>4</v>
      </c>
      <c r="C724" s="21" t="s">
        <v>5</v>
      </c>
      <c r="D724" s="21" t="s">
        <v>6</v>
      </c>
      <c r="E724" s="21" t="s">
        <v>7</v>
      </c>
      <c r="G724" s="11" t="s">
        <v>50</v>
      </c>
      <c r="H724" s="28"/>
      <c r="I724" s="28"/>
    </row>
    <row r="725">
      <c r="A725" s="22" t="s">
        <v>91</v>
      </c>
      <c r="B725" s="24">
        <v>53.7</v>
      </c>
      <c r="C725" s="24">
        <v>52.5</v>
      </c>
      <c r="D725" s="24">
        <v>58.5</v>
      </c>
      <c r="E725" s="24">
        <v>56.3</v>
      </c>
      <c r="G725" s="12"/>
      <c r="H725" s="28"/>
      <c r="I725" s="28"/>
    </row>
    <row r="726">
      <c r="A726" s="22" t="s">
        <v>92</v>
      </c>
      <c r="B726" s="24">
        <v>3.0</v>
      </c>
      <c r="C726" s="24">
        <v>4.0</v>
      </c>
      <c r="D726" s="24">
        <v>8.0</v>
      </c>
      <c r="E726" s="24">
        <v>3.0</v>
      </c>
      <c r="G726" s="12"/>
      <c r="H726" s="28"/>
      <c r="I726" s="28"/>
    </row>
    <row r="727">
      <c r="A727" s="22" t="s">
        <v>93</v>
      </c>
      <c r="B727" s="24">
        <v>21283.0</v>
      </c>
      <c r="C727" s="24">
        <v>21157.0</v>
      </c>
      <c r="D727" s="24">
        <v>20987.0</v>
      </c>
      <c r="E727" s="24">
        <v>21297.0</v>
      </c>
      <c r="G727" s="12"/>
      <c r="H727" s="28"/>
      <c r="I727" s="28"/>
    </row>
    <row r="728">
      <c r="A728" s="22" t="s">
        <v>94</v>
      </c>
      <c r="B728" s="23">
        <f t="shared" ref="B728:E728" si="133">B735*30</f>
        <v>19650</v>
      </c>
      <c r="C728" s="23">
        <f t="shared" si="133"/>
        <v>19260</v>
      </c>
      <c r="D728" s="23">
        <f t="shared" si="133"/>
        <v>18960</v>
      </c>
      <c r="E728" s="23">
        <f t="shared" si="133"/>
        <v>19800</v>
      </c>
      <c r="G728" s="12"/>
      <c r="H728" s="28"/>
      <c r="I728" s="28"/>
    </row>
    <row r="729">
      <c r="A729" s="22" t="s">
        <v>95</v>
      </c>
      <c r="B729" s="24">
        <v>17.0</v>
      </c>
      <c r="C729" s="24">
        <v>22.0</v>
      </c>
      <c r="D729" s="24">
        <v>27.0</v>
      </c>
      <c r="E729" s="24">
        <v>15.0</v>
      </c>
      <c r="G729" s="12"/>
      <c r="H729" s="28"/>
      <c r="I729" s="28"/>
    </row>
    <row r="730">
      <c r="A730" s="22" t="s">
        <v>96</v>
      </c>
      <c r="B730" s="24">
        <v>10.0</v>
      </c>
      <c r="C730" s="24">
        <v>3.0</v>
      </c>
      <c r="D730" s="24">
        <v>3.0</v>
      </c>
      <c r="E730" s="24">
        <v>7.0</v>
      </c>
      <c r="G730" s="12"/>
      <c r="H730" s="28"/>
      <c r="I730" s="28"/>
    </row>
    <row r="731">
      <c r="A731" s="22" t="s">
        <v>111</v>
      </c>
      <c r="B731" s="24">
        <v>0.0</v>
      </c>
      <c r="C731" s="24">
        <v>0.0</v>
      </c>
      <c r="D731" s="24">
        <v>0.0</v>
      </c>
      <c r="E731" s="24">
        <v>0.0</v>
      </c>
      <c r="G731" s="12"/>
      <c r="H731" s="28"/>
      <c r="I731" s="28"/>
    </row>
    <row r="732">
      <c r="A732" s="22" t="s">
        <v>98</v>
      </c>
      <c r="B732" s="24">
        <v>2.0</v>
      </c>
      <c r="C732" s="24">
        <v>1.0</v>
      </c>
      <c r="D732" s="24">
        <v>1.0</v>
      </c>
      <c r="E732" s="24">
        <v>1.0</v>
      </c>
      <c r="G732" s="12"/>
      <c r="H732" s="28"/>
      <c r="I732" s="28"/>
    </row>
    <row r="733">
      <c r="A733" s="22" t="s">
        <v>112</v>
      </c>
      <c r="B733" s="26">
        <f t="shared" ref="B733:E733" si="134">round(((B728/B727)*100),2)</f>
        <v>92.33</v>
      </c>
      <c r="C733" s="26">
        <f t="shared" si="134"/>
        <v>91.03</v>
      </c>
      <c r="D733" s="26">
        <f t="shared" si="134"/>
        <v>90.34</v>
      </c>
      <c r="E733" s="26">
        <f t="shared" si="134"/>
        <v>92.97</v>
      </c>
      <c r="G733" s="12"/>
      <c r="H733" s="28"/>
      <c r="I733" s="28"/>
    </row>
    <row r="734">
      <c r="A734" s="22" t="s">
        <v>215</v>
      </c>
      <c r="B734" s="24" t="s">
        <v>247</v>
      </c>
      <c r="C734" s="24" t="s">
        <v>318</v>
      </c>
      <c r="D734" s="18"/>
      <c r="E734" s="18"/>
      <c r="G734" s="12"/>
      <c r="H734" s="28"/>
      <c r="I734" s="28"/>
    </row>
    <row r="735">
      <c r="A735" s="22" t="s">
        <v>100</v>
      </c>
      <c r="B735" s="24">
        <v>655.0</v>
      </c>
      <c r="C735" s="24">
        <v>642.0</v>
      </c>
      <c r="D735" s="24">
        <v>632.0</v>
      </c>
      <c r="E735" s="24">
        <v>660.0</v>
      </c>
      <c r="G735" s="12"/>
      <c r="H735" s="28"/>
      <c r="I735" s="28"/>
    </row>
    <row r="736">
      <c r="A736" s="25" t="s">
        <v>319</v>
      </c>
      <c r="B736" s="24">
        <v>2589.0</v>
      </c>
      <c r="C736" s="24"/>
      <c r="D736" s="24"/>
      <c r="E736" s="24"/>
      <c r="G736" s="12"/>
      <c r="H736" s="28"/>
      <c r="I736" s="28"/>
    </row>
    <row r="737">
      <c r="A737" s="22" t="s">
        <v>103</v>
      </c>
      <c r="B737" s="24" t="s">
        <v>320</v>
      </c>
      <c r="D737" s="24" t="s">
        <v>321</v>
      </c>
      <c r="G737" s="12"/>
      <c r="H737" s="28"/>
      <c r="I737" s="28"/>
    </row>
    <row r="738">
      <c r="A738" s="14"/>
      <c r="B738" s="12"/>
      <c r="C738" s="12"/>
      <c r="D738" s="12"/>
      <c r="E738" s="12"/>
      <c r="G738" s="12"/>
      <c r="H738" s="28"/>
      <c r="I738" s="28"/>
    </row>
    <row r="739">
      <c r="A739" s="14"/>
      <c r="B739" s="12"/>
      <c r="C739" s="12"/>
      <c r="D739" s="12"/>
      <c r="E739" s="12"/>
      <c r="G739" s="12"/>
      <c r="H739" s="28"/>
      <c r="I739" s="28"/>
    </row>
    <row r="740">
      <c r="A740" s="19"/>
      <c r="B740" s="29">
        <v>45846.0</v>
      </c>
      <c r="G740" s="12"/>
      <c r="H740" s="28"/>
      <c r="I740" s="28"/>
    </row>
    <row r="741">
      <c r="B741" s="21" t="s">
        <v>4</v>
      </c>
      <c r="C741" s="21" t="s">
        <v>5</v>
      </c>
      <c r="D741" s="21" t="s">
        <v>6</v>
      </c>
      <c r="E741" s="21" t="s">
        <v>7</v>
      </c>
      <c r="G741" s="12"/>
      <c r="H741" s="34" t="s">
        <v>322</v>
      </c>
      <c r="I741" s="28"/>
    </row>
    <row r="742">
      <c r="A742" s="22" t="s">
        <v>91</v>
      </c>
      <c r="B742" s="24">
        <v>54.1</v>
      </c>
      <c r="C742" s="24">
        <v>52.6</v>
      </c>
      <c r="D742" s="24">
        <v>58.6</v>
      </c>
      <c r="E742" s="24">
        <v>56.4</v>
      </c>
      <c r="G742" s="12"/>
      <c r="H742" s="28"/>
      <c r="I742" s="28"/>
    </row>
    <row r="743">
      <c r="A743" s="22" t="s">
        <v>92</v>
      </c>
      <c r="B743" s="24">
        <v>3.0</v>
      </c>
      <c r="C743" s="24">
        <v>2.0</v>
      </c>
      <c r="D743" s="24">
        <v>6.0</v>
      </c>
      <c r="E743" s="24">
        <v>3.0</v>
      </c>
      <c r="G743" s="12"/>
      <c r="H743" s="28"/>
      <c r="I743" s="28"/>
    </row>
    <row r="744">
      <c r="A744" s="22" t="s">
        <v>93</v>
      </c>
      <c r="B744" s="24">
        <v>21280.0</v>
      </c>
      <c r="C744" s="24">
        <v>21155.0</v>
      </c>
      <c r="D744" s="24">
        <v>20981.0</v>
      </c>
      <c r="E744" s="24">
        <v>21294.0</v>
      </c>
      <c r="G744" s="12"/>
      <c r="H744" s="28"/>
      <c r="I744" s="28"/>
    </row>
    <row r="745">
      <c r="A745" s="22" t="s">
        <v>94</v>
      </c>
      <c r="B745" s="23">
        <f t="shared" ref="B745:E745" si="135">B752*30</f>
        <v>19680</v>
      </c>
      <c r="C745" s="23">
        <f t="shared" si="135"/>
        <v>19260</v>
      </c>
      <c r="D745" s="23">
        <f t="shared" si="135"/>
        <v>18690</v>
      </c>
      <c r="E745" s="23">
        <f t="shared" si="135"/>
        <v>19380</v>
      </c>
      <c r="G745" s="12"/>
      <c r="H745" s="28"/>
      <c r="I745" s="28"/>
    </row>
    <row r="746">
      <c r="A746" s="22" t="s">
        <v>95</v>
      </c>
      <c r="B746" s="24">
        <v>16.0</v>
      </c>
      <c r="C746" s="24">
        <v>11.0</v>
      </c>
      <c r="D746" s="24">
        <v>30.0</v>
      </c>
      <c r="E746" s="24">
        <v>15.0</v>
      </c>
      <c r="G746" s="12"/>
      <c r="H746" s="28"/>
      <c r="I746" s="28"/>
    </row>
    <row r="747">
      <c r="A747" s="22" t="s">
        <v>96</v>
      </c>
      <c r="B747" s="24">
        <v>11.0</v>
      </c>
      <c r="C747" s="24">
        <v>4.0</v>
      </c>
      <c r="D747" s="24">
        <v>3.0</v>
      </c>
      <c r="E747" s="24">
        <v>4.0</v>
      </c>
      <c r="G747" s="12"/>
      <c r="H747" s="28"/>
      <c r="I747" s="28"/>
    </row>
    <row r="748">
      <c r="A748" s="22" t="s">
        <v>111</v>
      </c>
      <c r="B748" s="24" t="s">
        <v>323</v>
      </c>
      <c r="C748" s="24" t="s">
        <v>323</v>
      </c>
      <c r="D748" s="24" t="s">
        <v>323</v>
      </c>
      <c r="E748" s="24" t="s">
        <v>323</v>
      </c>
      <c r="G748" s="12"/>
      <c r="H748" s="28"/>
      <c r="I748" s="28"/>
    </row>
    <row r="749">
      <c r="A749" s="22" t="s">
        <v>98</v>
      </c>
      <c r="B749" s="24">
        <v>1.0</v>
      </c>
      <c r="C749" s="24">
        <v>1.0</v>
      </c>
      <c r="D749" s="24">
        <v>1.0</v>
      </c>
      <c r="E749" s="24">
        <v>1.0</v>
      </c>
      <c r="G749" s="12"/>
      <c r="H749" s="28"/>
      <c r="I749" s="28"/>
    </row>
    <row r="750">
      <c r="A750" s="22" t="s">
        <v>112</v>
      </c>
      <c r="B750" s="26">
        <f t="shared" ref="B750:E750" si="136">round(((B745/B744)*100),2)</f>
        <v>92.48</v>
      </c>
      <c r="C750" s="26">
        <f t="shared" si="136"/>
        <v>91.04</v>
      </c>
      <c r="D750" s="26">
        <f t="shared" si="136"/>
        <v>89.08</v>
      </c>
      <c r="E750" s="26">
        <f t="shared" si="136"/>
        <v>91.01</v>
      </c>
      <c r="G750" s="12"/>
      <c r="H750" s="28"/>
      <c r="I750" s="28"/>
    </row>
    <row r="751">
      <c r="A751" s="22" t="s">
        <v>215</v>
      </c>
      <c r="B751" s="24" t="s">
        <v>304</v>
      </c>
      <c r="C751" s="24" t="s">
        <v>324</v>
      </c>
      <c r="D751" s="18"/>
      <c r="E751" s="18"/>
      <c r="G751" s="12"/>
      <c r="H751" s="28"/>
      <c r="I751" s="28"/>
    </row>
    <row r="752">
      <c r="A752" s="22" t="s">
        <v>100</v>
      </c>
      <c r="B752" s="24">
        <v>656.0</v>
      </c>
      <c r="C752" s="24">
        <v>642.0</v>
      </c>
      <c r="D752" s="24">
        <v>623.0</v>
      </c>
      <c r="E752" s="24">
        <v>646.0</v>
      </c>
      <c r="G752" s="12"/>
      <c r="H752" s="28"/>
      <c r="I752" s="28"/>
    </row>
    <row r="753">
      <c r="A753" s="25" t="s">
        <v>319</v>
      </c>
      <c r="B753" s="24">
        <v>2567.0</v>
      </c>
      <c r="C753" s="24"/>
      <c r="D753" s="24"/>
      <c r="E753" s="24"/>
      <c r="G753" s="12"/>
      <c r="H753" s="28"/>
      <c r="I753" s="28"/>
    </row>
    <row r="754">
      <c r="A754" s="22" t="s">
        <v>103</v>
      </c>
      <c r="B754" s="24" t="s">
        <v>325</v>
      </c>
      <c r="D754" s="24" t="s">
        <v>326</v>
      </c>
      <c r="G754" s="12"/>
      <c r="H754" s="28"/>
      <c r="I754" s="28"/>
    </row>
    <row r="755">
      <c r="A755" s="14"/>
      <c r="B755" s="11" t="s">
        <v>50</v>
      </c>
      <c r="C755" s="12"/>
      <c r="D755" s="12"/>
      <c r="E755" s="12"/>
      <c r="G755" s="12"/>
      <c r="H755" s="28"/>
      <c r="I755" s="28"/>
    </row>
    <row r="756">
      <c r="A756" s="14"/>
      <c r="B756" s="12"/>
      <c r="C756" s="12"/>
      <c r="D756" s="12"/>
      <c r="E756" s="12"/>
      <c r="G756" s="12"/>
      <c r="H756" s="28"/>
      <c r="I756" s="28"/>
    </row>
    <row r="757">
      <c r="A757" s="19"/>
      <c r="B757" s="29">
        <v>45877.0</v>
      </c>
      <c r="G757" s="12"/>
      <c r="H757" s="28"/>
      <c r="I757" s="28"/>
    </row>
    <row r="758">
      <c r="B758" s="21" t="s">
        <v>4</v>
      </c>
      <c r="C758" s="21" t="s">
        <v>5</v>
      </c>
      <c r="D758" s="21" t="s">
        <v>6</v>
      </c>
      <c r="E758" s="21" t="s">
        <v>7</v>
      </c>
      <c r="G758" s="12"/>
      <c r="H758" s="28"/>
      <c r="I758" s="28"/>
    </row>
    <row r="759">
      <c r="A759" s="22" t="s">
        <v>91</v>
      </c>
      <c r="B759" s="24">
        <v>54.2</v>
      </c>
      <c r="C759" s="24">
        <v>52.7</v>
      </c>
      <c r="D759" s="24">
        <v>58.7</v>
      </c>
      <c r="E759" s="24">
        <v>56.5</v>
      </c>
      <c r="G759" s="12"/>
      <c r="H759" s="28"/>
      <c r="I759" s="28"/>
    </row>
    <row r="760">
      <c r="A760" s="22" t="s">
        <v>92</v>
      </c>
      <c r="B760" s="24">
        <v>9.0</v>
      </c>
      <c r="C760" s="24">
        <v>3.0</v>
      </c>
      <c r="D760" s="24">
        <v>8.0</v>
      </c>
      <c r="E760" s="24">
        <v>7.0</v>
      </c>
      <c r="G760" s="12"/>
      <c r="H760" s="28"/>
      <c r="I760" s="28"/>
    </row>
    <row r="761">
      <c r="A761" s="22" t="s">
        <v>93</v>
      </c>
      <c r="B761" s="24">
        <v>21271.0</v>
      </c>
      <c r="C761" s="24">
        <v>21152.0</v>
      </c>
      <c r="D761" s="24">
        <v>20973.0</v>
      </c>
      <c r="E761" s="24">
        <v>21287.0</v>
      </c>
      <c r="G761" s="12"/>
      <c r="H761" s="28"/>
      <c r="I761" s="28"/>
    </row>
    <row r="762">
      <c r="A762" s="22" t="s">
        <v>94</v>
      </c>
      <c r="B762" s="23">
        <f t="shared" ref="B762:E762" si="137">B769*30</f>
        <v>19710</v>
      </c>
      <c r="C762" s="23">
        <f t="shared" si="137"/>
        <v>19260</v>
      </c>
      <c r="D762" s="23">
        <f t="shared" si="137"/>
        <v>19200</v>
      </c>
      <c r="E762" s="23">
        <f t="shared" si="137"/>
        <v>19770</v>
      </c>
      <c r="G762" s="12"/>
      <c r="H762" s="28"/>
      <c r="I762" s="28"/>
    </row>
    <row r="763">
      <c r="A763" s="22" t="s">
        <v>95</v>
      </c>
      <c r="B763" s="24">
        <v>25.0</v>
      </c>
      <c r="C763" s="24">
        <v>16.0</v>
      </c>
      <c r="D763" s="24">
        <v>8.0</v>
      </c>
      <c r="E763" s="24">
        <v>11.0</v>
      </c>
      <c r="G763" s="12"/>
      <c r="H763" s="28"/>
      <c r="I763" s="28"/>
    </row>
    <row r="764">
      <c r="A764" s="22" t="s">
        <v>96</v>
      </c>
      <c r="B764" s="24">
        <v>4.0</v>
      </c>
      <c r="C764" s="24">
        <v>6.0</v>
      </c>
      <c r="D764" s="24">
        <v>7.0</v>
      </c>
      <c r="E764" s="24">
        <v>5.0</v>
      </c>
      <c r="G764" s="12"/>
      <c r="H764" s="28"/>
      <c r="I764" s="28"/>
    </row>
    <row r="765">
      <c r="A765" s="22" t="s">
        <v>111</v>
      </c>
      <c r="B765" s="24">
        <v>0.0</v>
      </c>
      <c r="C765" s="24">
        <v>0.0</v>
      </c>
      <c r="D765" s="24">
        <v>0.0</v>
      </c>
      <c r="E765" s="24">
        <v>0.0</v>
      </c>
      <c r="G765" s="12"/>
      <c r="H765" s="28"/>
      <c r="I765" s="28"/>
    </row>
    <row r="766">
      <c r="A766" s="22" t="s">
        <v>98</v>
      </c>
      <c r="B766" s="24">
        <v>2.0</v>
      </c>
      <c r="C766" s="24">
        <v>1.0</v>
      </c>
      <c r="D766" s="24">
        <v>1.0</v>
      </c>
      <c r="E766" s="24">
        <v>1.0</v>
      </c>
      <c r="G766" s="12"/>
      <c r="H766" s="28"/>
      <c r="I766" s="28"/>
    </row>
    <row r="767">
      <c r="A767" s="22" t="s">
        <v>112</v>
      </c>
      <c r="B767" s="26">
        <f t="shared" ref="B767:E767" si="138">round(((B762/B761)*100),2)</f>
        <v>92.66</v>
      </c>
      <c r="C767" s="26">
        <f t="shared" si="138"/>
        <v>91.06</v>
      </c>
      <c r="D767" s="26">
        <f t="shared" si="138"/>
        <v>91.55</v>
      </c>
      <c r="E767" s="26">
        <f t="shared" si="138"/>
        <v>92.87</v>
      </c>
      <c r="G767" s="12"/>
      <c r="H767" s="28"/>
      <c r="I767" s="28"/>
    </row>
    <row r="768">
      <c r="A768" s="22" t="s">
        <v>215</v>
      </c>
      <c r="B768" s="24" t="s">
        <v>247</v>
      </c>
      <c r="C768" s="24" t="s">
        <v>327</v>
      </c>
      <c r="D768" s="18"/>
      <c r="E768" s="18"/>
      <c r="G768" s="12"/>
      <c r="H768" s="28"/>
      <c r="I768" s="28"/>
    </row>
    <row r="769">
      <c r="A769" s="22" t="s">
        <v>100</v>
      </c>
      <c r="B769" s="24">
        <v>657.0</v>
      </c>
      <c r="C769" s="24">
        <v>642.0</v>
      </c>
      <c r="D769" s="24">
        <v>640.0</v>
      </c>
      <c r="E769" s="24">
        <v>659.0</v>
      </c>
      <c r="G769" s="12"/>
      <c r="H769" s="28"/>
      <c r="I769" s="28"/>
    </row>
    <row r="770">
      <c r="A770" s="25" t="s">
        <v>319</v>
      </c>
      <c r="B770" s="24">
        <v>2598.0</v>
      </c>
      <c r="C770" s="24"/>
      <c r="D770" s="24"/>
      <c r="E770" s="24"/>
      <c r="G770" s="12"/>
      <c r="H770" s="28"/>
      <c r="I770" s="28"/>
    </row>
    <row r="771">
      <c r="A771" s="22" t="s">
        <v>103</v>
      </c>
      <c r="B771" s="24" t="s">
        <v>328</v>
      </c>
      <c r="D771" s="24" t="s">
        <v>329</v>
      </c>
      <c r="G771" s="12"/>
      <c r="H771" s="28"/>
      <c r="I771" s="28"/>
    </row>
    <row r="772">
      <c r="A772" s="14"/>
      <c r="B772" s="12"/>
      <c r="C772" s="12"/>
      <c r="D772" s="12"/>
      <c r="E772" s="12"/>
      <c r="G772" s="12"/>
      <c r="H772" s="28"/>
      <c r="I772" s="28"/>
    </row>
    <row r="773">
      <c r="A773" s="14"/>
      <c r="B773" s="12"/>
      <c r="C773" s="12"/>
      <c r="D773" s="12"/>
      <c r="E773" s="12"/>
      <c r="G773" s="12"/>
      <c r="H773" s="28"/>
      <c r="I773" s="28"/>
    </row>
    <row r="774">
      <c r="A774" s="19"/>
      <c r="B774" s="29">
        <v>45908.0</v>
      </c>
      <c r="G774" s="12"/>
      <c r="H774" s="28"/>
      <c r="I774" s="28"/>
    </row>
    <row r="775">
      <c r="B775" s="21" t="s">
        <v>4</v>
      </c>
      <c r="C775" s="21" t="s">
        <v>5</v>
      </c>
      <c r="D775" s="21" t="s">
        <v>6</v>
      </c>
      <c r="E775" s="21" t="s">
        <v>7</v>
      </c>
      <c r="G775" s="11" t="s">
        <v>330</v>
      </c>
      <c r="H775" s="28"/>
      <c r="I775" s="28"/>
    </row>
    <row r="776">
      <c r="A776" s="22" t="s">
        <v>91</v>
      </c>
      <c r="B776" s="24">
        <v>54.3</v>
      </c>
      <c r="C776" s="24">
        <v>53.1</v>
      </c>
      <c r="D776" s="24">
        <v>59.1</v>
      </c>
      <c r="E776" s="24">
        <v>56.6</v>
      </c>
      <c r="G776" s="11" t="s">
        <v>331</v>
      </c>
      <c r="H776" s="28"/>
      <c r="I776" s="28"/>
    </row>
    <row r="777">
      <c r="A777" s="22" t="s">
        <v>92</v>
      </c>
      <c r="B777" s="24">
        <v>4.0</v>
      </c>
      <c r="C777" s="24">
        <v>4.0</v>
      </c>
      <c r="D777" s="24">
        <v>9.0</v>
      </c>
      <c r="E777" s="24">
        <v>6.0</v>
      </c>
      <c r="G777" s="11" t="s">
        <v>332</v>
      </c>
      <c r="H777" s="28"/>
      <c r="I777" s="28"/>
    </row>
    <row r="778">
      <c r="A778" s="22" t="s">
        <v>93</v>
      </c>
      <c r="B778" s="24">
        <v>21267.0</v>
      </c>
      <c r="C778" s="24">
        <v>21148.0</v>
      </c>
      <c r="D778" s="24">
        <v>20964.0</v>
      </c>
      <c r="E778" s="24">
        <v>21281.0</v>
      </c>
      <c r="G778" s="11" t="s">
        <v>333</v>
      </c>
      <c r="H778" s="28"/>
      <c r="I778" s="28"/>
    </row>
    <row r="779">
      <c r="A779" s="22" t="s">
        <v>94</v>
      </c>
      <c r="B779" s="23">
        <f t="shared" ref="B779:E779" si="139">B786*30</f>
        <v>19590</v>
      </c>
      <c r="C779" s="23">
        <f t="shared" si="139"/>
        <v>19200</v>
      </c>
      <c r="D779" s="23">
        <f t="shared" si="139"/>
        <v>18510</v>
      </c>
      <c r="E779" s="23">
        <f t="shared" si="139"/>
        <v>19350</v>
      </c>
      <c r="G779" s="11" t="s">
        <v>334</v>
      </c>
      <c r="H779" s="28"/>
      <c r="I779" s="28"/>
    </row>
    <row r="780">
      <c r="A780" s="22" t="s">
        <v>95</v>
      </c>
      <c r="B780" s="24">
        <v>16.0</v>
      </c>
      <c r="C780" s="24">
        <v>9.0</v>
      </c>
      <c r="D780" s="24">
        <v>4.0</v>
      </c>
      <c r="E780" s="24">
        <v>6.0</v>
      </c>
      <c r="G780" s="11" t="s">
        <v>296</v>
      </c>
      <c r="H780" s="28"/>
      <c r="I780" s="28"/>
    </row>
    <row r="781">
      <c r="A781" s="22" t="s">
        <v>96</v>
      </c>
      <c r="B781" s="24">
        <v>4.0</v>
      </c>
      <c r="C781" s="24">
        <v>2.0</v>
      </c>
      <c r="D781" s="24">
        <v>8.0</v>
      </c>
      <c r="E781" s="24">
        <v>8.0</v>
      </c>
      <c r="G781" s="12"/>
      <c r="H781" s="28"/>
      <c r="I781" s="28"/>
    </row>
    <row r="782">
      <c r="A782" s="22" t="s">
        <v>111</v>
      </c>
      <c r="B782" s="24">
        <v>0.0</v>
      </c>
      <c r="C782" s="24">
        <v>0.0</v>
      </c>
      <c r="D782" s="24">
        <v>0.0</v>
      </c>
      <c r="E782" s="24">
        <v>0.0</v>
      </c>
      <c r="G782" s="12"/>
      <c r="H782" s="28"/>
      <c r="I782" s="28"/>
    </row>
    <row r="783">
      <c r="A783" s="22" t="s">
        <v>98</v>
      </c>
      <c r="B783" s="24">
        <v>2.0</v>
      </c>
      <c r="C783" s="24">
        <v>1.0</v>
      </c>
      <c r="D783" s="24" t="s">
        <v>206</v>
      </c>
      <c r="E783" s="24">
        <v>1.0</v>
      </c>
      <c r="G783" s="12"/>
      <c r="H783" s="28"/>
      <c r="I783" s="28"/>
    </row>
    <row r="784">
      <c r="A784" s="22" t="s">
        <v>112</v>
      </c>
      <c r="B784" s="26">
        <f t="shared" ref="B784:E784" si="140">round(((B779/B778)*100),2)</f>
        <v>92.11</v>
      </c>
      <c r="C784" s="26">
        <f t="shared" si="140"/>
        <v>90.79</v>
      </c>
      <c r="D784" s="26">
        <f t="shared" si="140"/>
        <v>88.29</v>
      </c>
      <c r="E784" s="26">
        <f t="shared" si="140"/>
        <v>90.93</v>
      </c>
      <c r="G784" s="12"/>
      <c r="H784" s="28"/>
      <c r="I784" s="28"/>
    </row>
    <row r="785">
      <c r="A785" s="22" t="s">
        <v>215</v>
      </c>
      <c r="B785" s="24" t="s">
        <v>247</v>
      </c>
      <c r="C785" s="24" t="s">
        <v>327</v>
      </c>
      <c r="D785" s="18"/>
      <c r="E785" s="18"/>
      <c r="G785" s="12"/>
      <c r="H785" s="28"/>
      <c r="I785" s="28"/>
    </row>
    <row r="786">
      <c r="A786" s="22" t="s">
        <v>100</v>
      </c>
      <c r="B786" s="24">
        <v>653.0</v>
      </c>
      <c r="C786" s="24">
        <v>640.0</v>
      </c>
      <c r="D786" s="24">
        <v>617.0</v>
      </c>
      <c r="E786" s="24">
        <v>645.0</v>
      </c>
      <c r="G786" s="12"/>
      <c r="H786" s="28"/>
      <c r="I786" s="28"/>
    </row>
    <row r="787">
      <c r="A787" s="25" t="s">
        <v>319</v>
      </c>
      <c r="B787" s="24">
        <v>2555.0</v>
      </c>
      <c r="C787" s="24"/>
      <c r="D787" s="24"/>
      <c r="E787" s="24"/>
      <c r="G787" s="12"/>
      <c r="H787" s="28"/>
      <c r="I787" s="28"/>
    </row>
    <row r="788">
      <c r="A788" s="22" t="s">
        <v>103</v>
      </c>
      <c r="B788" s="24" t="s">
        <v>335</v>
      </c>
      <c r="D788" s="24" t="s">
        <v>336</v>
      </c>
      <c r="G788" s="12"/>
      <c r="H788" s="28"/>
      <c r="I788" s="28"/>
    </row>
    <row r="789">
      <c r="A789" s="14"/>
      <c r="B789" s="12"/>
      <c r="C789" s="12"/>
      <c r="D789" s="11" t="s">
        <v>50</v>
      </c>
      <c r="E789" s="12"/>
      <c r="G789" s="12"/>
      <c r="H789" s="28"/>
      <c r="I789" s="28"/>
    </row>
    <row r="790">
      <c r="A790" s="14"/>
      <c r="B790" s="12"/>
      <c r="C790" s="12"/>
      <c r="D790" s="12"/>
      <c r="E790" s="12"/>
      <c r="G790" s="12"/>
      <c r="H790" s="28"/>
      <c r="I790" s="28"/>
    </row>
    <row r="791">
      <c r="A791" s="44" t="s">
        <v>50</v>
      </c>
      <c r="B791" s="29">
        <v>45938.0</v>
      </c>
      <c r="G791" s="12"/>
      <c r="H791" s="28"/>
      <c r="I791" s="28"/>
    </row>
    <row r="792">
      <c r="B792" s="21" t="s">
        <v>4</v>
      </c>
      <c r="C792" s="21" t="s">
        <v>5</v>
      </c>
      <c r="D792" s="21" t="s">
        <v>6</v>
      </c>
      <c r="E792" s="21" t="s">
        <v>7</v>
      </c>
      <c r="G792" s="12"/>
      <c r="H792" s="28"/>
      <c r="I792" s="28"/>
    </row>
    <row r="793">
      <c r="A793" s="22" t="s">
        <v>91</v>
      </c>
      <c r="B793" s="24">
        <v>54.4</v>
      </c>
      <c r="C793" s="24">
        <v>53.2</v>
      </c>
      <c r="D793" s="24">
        <v>59.2</v>
      </c>
      <c r="E793" s="24">
        <v>56.7</v>
      </c>
      <c r="G793" s="12"/>
      <c r="H793" s="28"/>
      <c r="I793" s="28"/>
    </row>
    <row r="794">
      <c r="A794" s="22" t="s">
        <v>92</v>
      </c>
      <c r="B794" s="24">
        <v>5.0</v>
      </c>
      <c r="C794" s="24">
        <v>5.0</v>
      </c>
      <c r="D794" s="24">
        <v>9.0</v>
      </c>
      <c r="E794" s="24">
        <v>7.0</v>
      </c>
      <c r="G794" s="12"/>
      <c r="H794" s="28"/>
      <c r="I794" s="28"/>
    </row>
    <row r="795">
      <c r="A795" s="22" t="s">
        <v>93</v>
      </c>
      <c r="B795" s="24">
        <v>21262.0</v>
      </c>
      <c r="C795" s="24">
        <v>21143.0</v>
      </c>
      <c r="D795" s="24">
        <v>20955.0</v>
      </c>
      <c r="E795" s="24">
        <v>21274.0</v>
      </c>
      <c r="G795" s="12"/>
      <c r="H795" s="28"/>
      <c r="I795" s="28"/>
    </row>
    <row r="796">
      <c r="A796" s="22" t="s">
        <v>94</v>
      </c>
      <c r="B796" s="23">
        <f t="shared" ref="B796:E796" si="141">B803*30</f>
        <v>19680</v>
      </c>
      <c r="C796" s="23">
        <f t="shared" si="141"/>
        <v>19140</v>
      </c>
      <c r="D796" s="23">
        <f t="shared" si="141"/>
        <v>19200</v>
      </c>
      <c r="E796" s="23">
        <f t="shared" si="141"/>
        <v>19500</v>
      </c>
      <c r="G796" s="12"/>
      <c r="H796" s="28"/>
      <c r="I796" s="28"/>
    </row>
    <row r="797">
      <c r="A797" s="22" t="s">
        <v>95</v>
      </c>
      <c r="B797" s="24">
        <v>21.0</v>
      </c>
      <c r="C797" s="24">
        <v>7.0</v>
      </c>
      <c r="D797" s="24">
        <v>11.0</v>
      </c>
      <c r="E797" s="24">
        <v>7.0</v>
      </c>
      <c r="G797" s="12"/>
      <c r="H797" s="28"/>
      <c r="I797" s="28"/>
    </row>
    <row r="798">
      <c r="A798" s="22" t="s">
        <v>96</v>
      </c>
      <c r="B798" s="24">
        <v>7.0</v>
      </c>
      <c r="C798" s="24">
        <v>5.0</v>
      </c>
      <c r="D798" s="24">
        <v>6.0</v>
      </c>
      <c r="E798" s="24">
        <v>5.0</v>
      </c>
      <c r="G798" s="12"/>
      <c r="H798" s="28"/>
      <c r="I798" s="28"/>
    </row>
    <row r="799">
      <c r="A799" s="22" t="s">
        <v>111</v>
      </c>
      <c r="B799" s="24">
        <v>0.0</v>
      </c>
      <c r="C799" s="24">
        <v>0.0</v>
      </c>
      <c r="D799" s="24">
        <v>0.0</v>
      </c>
      <c r="E799" s="24">
        <v>0.0</v>
      </c>
      <c r="G799" s="12"/>
      <c r="H799" s="28"/>
      <c r="I799" s="28"/>
    </row>
    <row r="800">
      <c r="A800" s="22" t="s">
        <v>98</v>
      </c>
      <c r="B800" s="24">
        <v>1.0</v>
      </c>
      <c r="C800" s="24">
        <v>1.0</v>
      </c>
      <c r="D800" s="24">
        <v>1.0</v>
      </c>
      <c r="E800" s="24" t="s">
        <v>337</v>
      </c>
      <c r="G800" s="12"/>
      <c r="H800" s="28"/>
      <c r="I800" s="28"/>
    </row>
    <row r="801">
      <c r="A801" s="22" t="s">
        <v>112</v>
      </c>
      <c r="B801" s="26">
        <f t="shared" ref="B801:E801" si="142">round(((B796/B795)*100),2)</f>
        <v>92.56</v>
      </c>
      <c r="C801" s="26">
        <f t="shared" si="142"/>
        <v>90.53</v>
      </c>
      <c r="D801" s="26">
        <f t="shared" si="142"/>
        <v>91.62</v>
      </c>
      <c r="E801" s="26">
        <f t="shared" si="142"/>
        <v>91.66</v>
      </c>
      <c r="G801" s="12"/>
      <c r="H801" s="28"/>
      <c r="I801" s="28"/>
    </row>
    <row r="802">
      <c r="A802" s="22" t="s">
        <v>215</v>
      </c>
      <c r="B802" s="24" t="s">
        <v>306</v>
      </c>
      <c r="C802" s="24" t="s">
        <v>338</v>
      </c>
      <c r="D802" s="18"/>
      <c r="E802" s="18"/>
      <c r="G802" s="12"/>
      <c r="H802" s="28"/>
      <c r="I802" s="28"/>
    </row>
    <row r="803">
      <c r="A803" s="22" t="s">
        <v>100</v>
      </c>
      <c r="B803" s="24">
        <v>656.0</v>
      </c>
      <c r="C803" s="24">
        <v>638.0</v>
      </c>
      <c r="D803" s="24">
        <v>640.0</v>
      </c>
      <c r="E803" s="24">
        <v>650.0</v>
      </c>
      <c r="G803" s="12"/>
      <c r="H803" s="28"/>
      <c r="I803" s="28"/>
    </row>
    <row r="804">
      <c r="A804" s="25" t="s">
        <v>319</v>
      </c>
      <c r="B804" s="24">
        <v>2586.0</v>
      </c>
      <c r="C804" s="24"/>
      <c r="D804" s="24"/>
      <c r="E804" s="24"/>
      <c r="G804" s="12"/>
      <c r="H804" s="28"/>
      <c r="I804" s="28"/>
    </row>
    <row r="805">
      <c r="A805" s="22" t="s">
        <v>103</v>
      </c>
      <c r="B805" s="24" t="s">
        <v>339</v>
      </c>
      <c r="D805" s="24" t="s">
        <v>340</v>
      </c>
      <c r="G805" s="12"/>
      <c r="H805" s="28"/>
      <c r="I805" s="28"/>
    </row>
    <row r="806">
      <c r="A806" s="14"/>
      <c r="B806" s="12"/>
      <c r="C806" s="12"/>
      <c r="D806" s="12"/>
      <c r="E806" s="12"/>
      <c r="G806" s="12"/>
      <c r="H806" s="28"/>
      <c r="I806" s="28"/>
    </row>
    <row r="807">
      <c r="A807" s="14"/>
      <c r="B807" s="12"/>
      <c r="C807" s="12"/>
      <c r="D807" s="12"/>
      <c r="E807" s="12"/>
      <c r="G807" s="12"/>
      <c r="H807" s="28"/>
      <c r="I807" s="28"/>
    </row>
    <row r="808">
      <c r="A808" s="44" t="s">
        <v>50</v>
      </c>
      <c r="B808" s="29">
        <v>45969.0</v>
      </c>
      <c r="G808" s="12"/>
      <c r="H808" s="28"/>
      <c r="I808" s="28"/>
    </row>
    <row r="809">
      <c r="B809" s="21" t="s">
        <v>4</v>
      </c>
      <c r="C809" s="21" t="s">
        <v>5</v>
      </c>
      <c r="D809" s="21" t="s">
        <v>6</v>
      </c>
      <c r="E809" s="21" t="s">
        <v>7</v>
      </c>
      <c r="G809" s="12"/>
      <c r="H809" s="34"/>
      <c r="I809" s="28"/>
    </row>
    <row r="810">
      <c r="A810" s="22" t="s">
        <v>91</v>
      </c>
      <c r="B810" s="24">
        <v>54.5</v>
      </c>
      <c r="C810" s="24">
        <v>53.3</v>
      </c>
      <c r="D810" s="24">
        <v>59.3</v>
      </c>
      <c r="E810" s="24">
        <v>57.1</v>
      </c>
      <c r="G810" s="12"/>
      <c r="H810" s="28"/>
      <c r="I810" s="28"/>
    </row>
    <row r="811">
      <c r="A811" s="22" t="s">
        <v>92</v>
      </c>
      <c r="B811" s="24">
        <v>3.0</v>
      </c>
      <c r="C811" s="24">
        <v>5.0</v>
      </c>
      <c r="D811" s="24">
        <v>2.0</v>
      </c>
      <c r="E811" s="24">
        <v>3.0</v>
      </c>
      <c r="G811" s="12"/>
      <c r="H811" s="28"/>
      <c r="I811" s="28"/>
    </row>
    <row r="812">
      <c r="A812" s="22" t="s">
        <v>93</v>
      </c>
      <c r="B812" s="24">
        <v>21259.0</v>
      </c>
      <c r="C812" s="24">
        <v>21138.0</v>
      </c>
      <c r="D812" s="24">
        <v>20953.0</v>
      </c>
      <c r="E812" s="24">
        <v>21271.0</v>
      </c>
      <c r="G812" s="12"/>
      <c r="H812" s="28"/>
      <c r="I812" s="28"/>
    </row>
    <row r="813">
      <c r="A813" s="22" t="s">
        <v>94</v>
      </c>
      <c r="B813" s="23">
        <f t="shared" ref="B813:E813" si="143">B820*30</f>
        <v>19680</v>
      </c>
      <c r="C813" s="23">
        <f t="shared" si="143"/>
        <v>19410</v>
      </c>
      <c r="D813" s="23">
        <f t="shared" si="143"/>
        <v>18660</v>
      </c>
      <c r="E813" s="23">
        <f t="shared" si="143"/>
        <v>19710</v>
      </c>
      <c r="G813" s="12"/>
      <c r="H813" s="28"/>
      <c r="I813" s="28"/>
    </row>
    <row r="814">
      <c r="A814" s="22" t="s">
        <v>95</v>
      </c>
      <c r="B814" s="24">
        <v>21.0</v>
      </c>
      <c r="C814" s="24">
        <v>16.0</v>
      </c>
      <c r="D814" s="24">
        <v>10.0</v>
      </c>
      <c r="E814" s="24">
        <v>13.0</v>
      </c>
      <c r="G814" s="12"/>
      <c r="H814" s="28"/>
      <c r="I814" s="28"/>
    </row>
    <row r="815">
      <c r="A815" s="22" t="s">
        <v>96</v>
      </c>
      <c r="B815" s="24">
        <v>5.0</v>
      </c>
      <c r="C815" s="24">
        <v>7.0</v>
      </c>
      <c r="D815" s="24">
        <v>6.0</v>
      </c>
      <c r="E815" s="24">
        <v>6.0</v>
      </c>
      <c r="G815" s="12"/>
      <c r="H815" s="28"/>
      <c r="I815" s="28"/>
    </row>
    <row r="816">
      <c r="A816" s="22" t="s">
        <v>111</v>
      </c>
      <c r="B816" s="24" t="s">
        <v>210</v>
      </c>
      <c r="C816" s="24" t="s">
        <v>210</v>
      </c>
      <c r="D816" s="24" t="s">
        <v>210</v>
      </c>
      <c r="E816" s="24" t="s">
        <v>210</v>
      </c>
      <c r="G816" s="12"/>
      <c r="H816" s="28"/>
      <c r="I816" s="28"/>
    </row>
    <row r="817">
      <c r="A817" s="22" t="s">
        <v>98</v>
      </c>
      <c r="B817" s="24">
        <v>1.0</v>
      </c>
      <c r="C817" s="24">
        <v>1.0</v>
      </c>
      <c r="D817" s="24" t="s">
        <v>341</v>
      </c>
      <c r="E817" s="24">
        <v>1.0</v>
      </c>
      <c r="G817" s="12"/>
      <c r="H817" s="28"/>
      <c r="I817" s="28"/>
    </row>
    <row r="818">
      <c r="A818" s="22" t="s">
        <v>112</v>
      </c>
      <c r="B818" s="26">
        <f t="shared" ref="B818:E818" si="144">round(((B813/B812)*100),2)</f>
        <v>92.57</v>
      </c>
      <c r="C818" s="26">
        <f t="shared" si="144"/>
        <v>91.83</v>
      </c>
      <c r="D818" s="26">
        <f t="shared" si="144"/>
        <v>89.06</v>
      </c>
      <c r="E818" s="26">
        <f t="shared" si="144"/>
        <v>92.66</v>
      </c>
      <c r="G818" s="12"/>
      <c r="H818" s="28"/>
      <c r="I818" s="28"/>
    </row>
    <row r="819">
      <c r="A819" s="22" t="s">
        <v>215</v>
      </c>
      <c r="B819" s="24" t="s">
        <v>306</v>
      </c>
      <c r="C819" s="24" t="s">
        <v>338</v>
      </c>
      <c r="D819" s="18"/>
      <c r="E819" s="18"/>
      <c r="G819" s="12"/>
      <c r="H819" s="28"/>
      <c r="I819" s="28"/>
    </row>
    <row r="820">
      <c r="A820" s="22" t="s">
        <v>100</v>
      </c>
      <c r="B820" s="24">
        <v>656.0</v>
      </c>
      <c r="C820" s="24">
        <v>647.0</v>
      </c>
      <c r="D820" s="24">
        <v>622.0</v>
      </c>
      <c r="E820" s="24">
        <v>657.0</v>
      </c>
      <c r="G820" s="12"/>
      <c r="H820" s="28"/>
      <c r="I820" s="28"/>
    </row>
    <row r="821">
      <c r="A821" s="25" t="s">
        <v>319</v>
      </c>
      <c r="B821" s="24">
        <v>2582.0</v>
      </c>
      <c r="C821" s="24"/>
      <c r="D821" s="24"/>
      <c r="E821" s="24"/>
      <c r="G821" s="12"/>
      <c r="H821" s="28"/>
      <c r="I821" s="28"/>
    </row>
    <row r="822">
      <c r="A822" s="22" t="s">
        <v>103</v>
      </c>
      <c r="B822" s="24"/>
      <c r="D822" s="24" t="s">
        <v>342</v>
      </c>
      <c r="G822" s="12"/>
      <c r="H822" s="28"/>
      <c r="I822" s="28"/>
    </row>
    <row r="823">
      <c r="A823" s="14"/>
      <c r="B823" s="12"/>
      <c r="C823" s="12"/>
      <c r="D823" s="12"/>
      <c r="E823" s="12"/>
      <c r="G823" s="12"/>
      <c r="H823" s="28"/>
      <c r="I823" s="28"/>
    </row>
    <row r="824">
      <c r="A824" s="14"/>
      <c r="B824" s="12"/>
      <c r="C824" s="12"/>
      <c r="D824" s="12"/>
      <c r="E824" s="12"/>
      <c r="G824" s="12"/>
      <c r="H824" s="28"/>
      <c r="I824" s="28"/>
    </row>
    <row r="825">
      <c r="A825" s="44" t="s">
        <v>50</v>
      </c>
      <c r="B825" s="29">
        <v>45999.0</v>
      </c>
      <c r="G825" s="12"/>
      <c r="H825" s="28"/>
      <c r="I825" s="28"/>
    </row>
    <row r="826">
      <c r="B826" s="21" t="s">
        <v>4</v>
      </c>
      <c r="C826" s="21" t="s">
        <v>5</v>
      </c>
      <c r="D826" s="21" t="s">
        <v>6</v>
      </c>
      <c r="E826" s="21" t="s">
        <v>7</v>
      </c>
      <c r="G826" s="12"/>
      <c r="H826" s="28"/>
      <c r="I826" s="28"/>
    </row>
    <row r="827">
      <c r="A827" s="22" t="s">
        <v>91</v>
      </c>
      <c r="B827" s="24">
        <v>54.6</v>
      </c>
      <c r="C827" s="24">
        <v>53.4</v>
      </c>
      <c r="D827" s="24">
        <v>59.4</v>
      </c>
      <c r="E827" s="24">
        <v>57.2</v>
      </c>
      <c r="G827" s="12"/>
      <c r="H827" s="28"/>
      <c r="I827" s="28"/>
    </row>
    <row r="828">
      <c r="A828" s="22" t="s">
        <v>92</v>
      </c>
      <c r="B828" s="24">
        <v>7.0</v>
      </c>
      <c r="C828" s="24">
        <v>3.0</v>
      </c>
      <c r="D828" s="24">
        <v>7.0</v>
      </c>
      <c r="E828" s="24">
        <v>3.0</v>
      </c>
      <c r="G828" s="12"/>
      <c r="H828" s="28"/>
      <c r="I828" s="28"/>
    </row>
    <row r="829">
      <c r="A829" s="22" t="s">
        <v>93</v>
      </c>
      <c r="B829" s="24">
        <v>21252.0</v>
      </c>
      <c r="C829" s="24">
        <v>21135.0</v>
      </c>
      <c r="D829" s="24">
        <v>20946.0</v>
      </c>
      <c r="E829" s="24">
        <v>21268.0</v>
      </c>
      <c r="G829" s="12"/>
      <c r="H829" s="28"/>
      <c r="I829" s="28"/>
    </row>
    <row r="830">
      <c r="A830" s="22" t="s">
        <v>94</v>
      </c>
      <c r="B830" s="23">
        <f t="shared" ref="B830:E830" si="145">B837*30</f>
        <v>19740</v>
      </c>
      <c r="C830" s="23">
        <f t="shared" si="145"/>
        <v>19530</v>
      </c>
      <c r="D830" s="23">
        <f t="shared" si="145"/>
        <v>18960</v>
      </c>
      <c r="E830" s="23">
        <f t="shared" si="145"/>
        <v>19980</v>
      </c>
      <c r="G830" s="12"/>
      <c r="H830" s="28"/>
      <c r="I830" s="28"/>
    </row>
    <row r="831">
      <c r="A831" s="22" t="s">
        <v>95</v>
      </c>
      <c r="B831" s="24">
        <v>21.0</v>
      </c>
      <c r="C831" s="24">
        <v>7.0</v>
      </c>
      <c r="D831" s="24">
        <v>11.0</v>
      </c>
      <c r="E831" s="24">
        <v>9.0</v>
      </c>
      <c r="G831" s="12"/>
      <c r="H831" s="28"/>
      <c r="I831" s="28"/>
    </row>
    <row r="832">
      <c r="A832" s="22" t="s">
        <v>96</v>
      </c>
      <c r="B832" s="24">
        <v>4.0</v>
      </c>
      <c r="C832" s="24">
        <v>10.0</v>
      </c>
      <c r="D832" s="24">
        <v>10.0</v>
      </c>
      <c r="E832" s="24">
        <v>8.0</v>
      </c>
      <c r="G832" s="12"/>
      <c r="H832" s="28"/>
      <c r="I832" s="28"/>
    </row>
    <row r="833">
      <c r="A833" s="22" t="s">
        <v>111</v>
      </c>
      <c r="B833" s="24">
        <v>0.0</v>
      </c>
      <c r="C833" s="24">
        <v>0.0</v>
      </c>
      <c r="D833" s="24">
        <v>0.0</v>
      </c>
      <c r="E833" s="24">
        <v>0.0</v>
      </c>
      <c r="G833" s="12"/>
      <c r="H833" s="28"/>
      <c r="I833" s="28"/>
    </row>
    <row r="834">
      <c r="A834" s="22" t="s">
        <v>98</v>
      </c>
      <c r="B834" s="24">
        <v>2.0</v>
      </c>
      <c r="C834" s="24">
        <v>1.0</v>
      </c>
      <c r="D834" s="24" t="s">
        <v>229</v>
      </c>
      <c r="E834" s="24">
        <v>1.0</v>
      </c>
      <c r="G834" s="12"/>
      <c r="H834" s="28"/>
      <c r="I834" s="28"/>
    </row>
    <row r="835">
      <c r="A835" s="22" t="s">
        <v>112</v>
      </c>
      <c r="B835" s="26">
        <f t="shared" ref="B835:E835" si="146">round(((B830/B829)*100),2)</f>
        <v>92.89</v>
      </c>
      <c r="C835" s="26">
        <f t="shared" si="146"/>
        <v>92.41</v>
      </c>
      <c r="D835" s="26">
        <f t="shared" si="146"/>
        <v>90.52</v>
      </c>
      <c r="E835" s="26">
        <f t="shared" si="146"/>
        <v>93.94</v>
      </c>
      <c r="G835" s="12"/>
      <c r="H835" s="28"/>
      <c r="I835" s="28"/>
    </row>
    <row r="836">
      <c r="A836" s="22" t="s">
        <v>215</v>
      </c>
      <c r="B836" s="24" t="s">
        <v>306</v>
      </c>
      <c r="C836" s="24" t="s">
        <v>343</v>
      </c>
      <c r="D836" s="18"/>
      <c r="E836" s="18"/>
      <c r="G836" s="12"/>
      <c r="H836" s="28"/>
      <c r="I836" s="28"/>
    </row>
    <row r="837">
      <c r="A837" s="22" t="s">
        <v>100</v>
      </c>
      <c r="B837" s="24">
        <v>658.0</v>
      </c>
      <c r="C837" s="24">
        <v>651.0</v>
      </c>
      <c r="D837" s="24">
        <v>632.0</v>
      </c>
      <c r="E837" s="24">
        <v>666.0</v>
      </c>
      <c r="G837" s="12"/>
      <c r="H837" s="28"/>
      <c r="I837" s="28"/>
    </row>
    <row r="838">
      <c r="A838" s="25" t="s">
        <v>319</v>
      </c>
      <c r="B838" s="24">
        <v>2610.0</v>
      </c>
      <c r="C838" s="24"/>
      <c r="D838" s="24"/>
      <c r="E838" s="24"/>
      <c r="G838" s="12"/>
      <c r="H838" s="28"/>
      <c r="I838" s="28"/>
    </row>
    <row r="839">
      <c r="A839" s="22" t="s">
        <v>103</v>
      </c>
      <c r="B839" s="24" t="s">
        <v>344</v>
      </c>
      <c r="D839" s="24" t="s">
        <v>345</v>
      </c>
      <c r="G839" s="12"/>
      <c r="H839" s="28"/>
      <c r="I839" s="28"/>
    </row>
    <row r="840">
      <c r="A840" s="14"/>
      <c r="B840" s="12"/>
      <c r="C840" s="12"/>
      <c r="D840" s="12"/>
      <c r="E840" s="12"/>
      <c r="G840" s="12"/>
      <c r="H840" s="28"/>
      <c r="I840" s="28"/>
    </row>
    <row r="841">
      <c r="A841" s="14"/>
      <c r="B841" s="12"/>
      <c r="C841" s="12"/>
      <c r="D841" s="12"/>
      <c r="E841" s="12"/>
      <c r="G841" s="12"/>
      <c r="H841" s="28"/>
      <c r="I841" s="28"/>
    </row>
    <row r="842">
      <c r="A842" s="44" t="s">
        <v>50</v>
      </c>
      <c r="B842" s="20" t="s">
        <v>346</v>
      </c>
      <c r="G842" s="12"/>
      <c r="H842" s="28"/>
      <c r="I842" s="28"/>
    </row>
    <row r="843">
      <c r="B843" s="21" t="s">
        <v>4</v>
      </c>
      <c r="C843" s="21" t="s">
        <v>5</v>
      </c>
      <c r="D843" s="21" t="s">
        <v>6</v>
      </c>
      <c r="E843" s="21" t="s">
        <v>7</v>
      </c>
      <c r="G843" s="12"/>
      <c r="H843" s="28"/>
      <c r="I843" s="28"/>
    </row>
    <row r="844">
      <c r="A844" s="22" t="s">
        <v>91</v>
      </c>
      <c r="B844" s="24">
        <v>54.7</v>
      </c>
      <c r="C844" s="24">
        <v>53.5</v>
      </c>
      <c r="D844" s="24">
        <v>59.5</v>
      </c>
      <c r="E844" s="24">
        <v>57.3</v>
      </c>
      <c r="G844" s="12"/>
      <c r="H844" s="28"/>
      <c r="I844" s="28"/>
    </row>
    <row r="845">
      <c r="A845" s="22" t="s">
        <v>92</v>
      </c>
      <c r="B845" s="24">
        <v>3.0</v>
      </c>
      <c r="C845" s="24">
        <v>5.0</v>
      </c>
      <c r="D845" s="24">
        <v>6.0</v>
      </c>
      <c r="E845" s="24">
        <v>4.0</v>
      </c>
      <c r="G845" s="12"/>
      <c r="H845" s="28"/>
      <c r="I845" s="28"/>
    </row>
    <row r="846">
      <c r="A846" s="22" t="s">
        <v>93</v>
      </c>
      <c r="B846" s="24">
        <v>21249.0</v>
      </c>
      <c r="C846" s="24">
        <v>21130.0</v>
      </c>
      <c r="D846" s="24">
        <v>20940.0</v>
      </c>
      <c r="E846" s="24">
        <v>21264.0</v>
      </c>
      <c r="G846" s="12"/>
      <c r="H846" s="28"/>
      <c r="I846" s="28"/>
    </row>
    <row r="847">
      <c r="A847" s="22" t="s">
        <v>94</v>
      </c>
      <c r="B847" s="23">
        <f t="shared" ref="B847:E847" si="147">B854*30</f>
        <v>19710</v>
      </c>
      <c r="C847" s="23">
        <f t="shared" si="147"/>
        <v>18930</v>
      </c>
      <c r="D847" s="23">
        <f t="shared" si="147"/>
        <v>18540</v>
      </c>
      <c r="E847" s="23">
        <f t="shared" si="147"/>
        <v>19410</v>
      </c>
      <c r="G847" s="12"/>
      <c r="H847" s="28"/>
      <c r="I847" s="28"/>
    </row>
    <row r="848">
      <c r="A848" s="22" t="s">
        <v>95</v>
      </c>
      <c r="B848" s="24">
        <v>10.0</v>
      </c>
      <c r="C848" s="24">
        <v>8.0</v>
      </c>
      <c r="D848" s="24">
        <v>10.0</v>
      </c>
      <c r="E848" s="24">
        <v>14.0</v>
      </c>
      <c r="G848" s="12"/>
      <c r="H848" s="28"/>
      <c r="I848" s="28"/>
    </row>
    <row r="849">
      <c r="A849" s="22" t="s">
        <v>96</v>
      </c>
      <c r="B849" s="24">
        <v>5.0</v>
      </c>
      <c r="C849" s="24">
        <v>4.0</v>
      </c>
      <c r="D849" s="24">
        <v>2.0</v>
      </c>
      <c r="E849" s="24">
        <v>7.0</v>
      </c>
      <c r="G849" s="12"/>
      <c r="H849" s="28"/>
      <c r="I849" s="28"/>
    </row>
    <row r="850">
      <c r="A850" s="22" t="s">
        <v>111</v>
      </c>
      <c r="B850" s="24">
        <v>0.0</v>
      </c>
      <c r="C850" s="24">
        <v>0.0</v>
      </c>
      <c r="D850" s="24">
        <v>0.0</v>
      </c>
      <c r="E850" s="24">
        <v>0.0</v>
      </c>
      <c r="G850" s="12"/>
      <c r="H850" s="28"/>
      <c r="I850" s="28"/>
    </row>
    <row r="851">
      <c r="A851" s="22" t="s">
        <v>98</v>
      </c>
      <c r="B851" s="24">
        <v>1.0</v>
      </c>
      <c r="C851" s="24">
        <v>1.0</v>
      </c>
      <c r="D851" s="24">
        <v>1.0</v>
      </c>
      <c r="E851" s="24">
        <v>1.0</v>
      </c>
      <c r="G851" s="12"/>
      <c r="H851" s="28"/>
      <c r="I851" s="28"/>
    </row>
    <row r="852">
      <c r="A852" s="22" t="s">
        <v>112</v>
      </c>
      <c r="B852" s="26">
        <f t="shared" ref="B852:E852" si="148">round(((B847/B846)*100),2)</f>
        <v>92.76</v>
      </c>
      <c r="C852" s="26">
        <f t="shared" si="148"/>
        <v>89.59</v>
      </c>
      <c r="D852" s="26">
        <f t="shared" si="148"/>
        <v>88.54</v>
      </c>
      <c r="E852" s="26">
        <f t="shared" si="148"/>
        <v>91.28</v>
      </c>
      <c r="G852" s="12"/>
      <c r="H852" s="28"/>
      <c r="I852" s="28"/>
    </row>
    <row r="853">
      <c r="A853" s="22" t="s">
        <v>215</v>
      </c>
      <c r="B853" s="24" t="s">
        <v>306</v>
      </c>
      <c r="C853" s="24" t="s">
        <v>271</v>
      </c>
      <c r="D853" s="18"/>
      <c r="E853" s="18"/>
      <c r="G853" s="12"/>
      <c r="H853" s="28"/>
      <c r="I853" s="28"/>
    </row>
    <row r="854">
      <c r="A854" s="22" t="s">
        <v>100</v>
      </c>
      <c r="B854" s="24">
        <v>657.0</v>
      </c>
      <c r="C854" s="24">
        <v>631.0</v>
      </c>
      <c r="D854" s="24">
        <v>618.0</v>
      </c>
      <c r="E854" s="24">
        <v>647.0</v>
      </c>
      <c r="G854" s="12"/>
      <c r="H854" s="28"/>
      <c r="I854" s="28"/>
    </row>
    <row r="855">
      <c r="A855" s="25" t="s">
        <v>319</v>
      </c>
      <c r="B855" s="24">
        <v>2555.0</v>
      </c>
      <c r="C855" s="24"/>
      <c r="D855" s="24"/>
      <c r="E855" s="24"/>
      <c r="G855" s="12"/>
      <c r="H855" s="28"/>
      <c r="I855" s="28"/>
    </row>
    <row r="856">
      <c r="A856" s="22" t="s">
        <v>103</v>
      </c>
      <c r="B856" s="24"/>
      <c r="D856" s="24" t="s">
        <v>347</v>
      </c>
      <c r="G856" s="12"/>
      <c r="H856" s="28"/>
      <c r="I856" s="28"/>
    </row>
    <row r="857">
      <c r="A857" s="14"/>
      <c r="B857" s="12"/>
      <c r="C857" s="12"/>
      <c r="D857" s="12"/>
      <c r="E857" s="12"/>
      <c r="G857" s="12"/>
      <c r="H857" s="28"/>
      <c r="I857" s="28"/>
    </row>
    <row r="858">
      <c r="A858" s="14"/>
      <c r="B858" s="12"/>
      <c r="C858" s="12"/>
      <c r="D858" s="12"/>
      <c r="E858" s="12"/>
      <c r="G858" s="12"/>
      <c r="H858" s="28"/>
      <c r="I858" s="28"/>
    </row>
    <row r="859">
      <c r="A859" s="44" t="s">
        <v>50</v>
      </c>
      <c r="B859" s="20" t="s">
        <v>348</v>
      </c>
      <c r="G859" s="12"/>
      <c r="H859" s="28"/>
      <c r="I859" s="28"/>
    </row>
    <row r="860">
      <c r="B860" s="21" t="s">
        <v>4</v>
      </c>
      <c r="C860" s="21" t="s">
        <v>5</v>
      </c>
      <c r="D860" s="21" t="s">
        <v>6</v>
      </c>
      <c r="E860" s="21" t="s">
        <v>7</v>
      </c>
      <c r="G860" s="12"/>
      <c r="H860" s="28"/>
      <c r="I860" s="28"/>
    </row>
    <row r="861">
      <c r="A861" s="22" t="s">
        <v>91</v>
      </c>
      <c r="B861" s="24">
        <v>55.1</v>
      </c>
      <c r="C861" s="24">
        <v>53.6</v>
      </c>
      <c r="D861" s="24">
        <v>59.6</v>
      </c>
      <c r="E861" s="24">
        <v>57.4</v>
      </c>
      <c r="G861" s="12"/>
      <c r="H861" s="28"/>
      <c r="I861" s="28"/>
    </row>
    <row r="862">
      <c r="A862" s="22" t="s">
        <v>92</v>
      </c>
      <c r="B862" s="24">
        <v>5.0</v>
      </c>
      <c r="C862" s="24">
        <v>2.0</v>
      </c>
      <c r="D862" s="24">
        <v>3.0</v>
      </c>
      <c r="E862" s="24">
        <v>8.0</v>
      </c>
      <c r="G862" s="12"/>
      <c r="H862" s="28"/>
      <c r="I862" s="28"/>
    </row>
    <row r="863">
      <c r="A863" s="22" t="s">
        <v>93</v>
      </c>
      <c r="B863" s="24">
        <v>21244.0</v>
      </c>
      <c r="C863" s="24">
        <v>21128.0</v>
      </c>
      <c r="D863" s="24">
        <v>20937.0</v>
      </c>
      <c r="E863" s="24">
        <v>21256.0</v>
      </c>
      <c r="G863" s="12"/>
      <c r="H863" s="28"/>
      <c r="I863" s="28"/>
    </row>
    <row r="864">
      <c r="A864" s="22" t="s">
        <v>94</v>
      </c>
      <c r="B864" s="23">
        <f t="shared" ref="B864:E864" si="149">B871*30</f>
        <v>19410</v>
      </c>
      <c r="C864" s="23">
        <f t="shared" si="149"/>
        <v>19140</v>
      </c>
      <c r="D864" s="23">
        <f t="shared" si="149"/>
        <v>19350</v>
      </c>
      <c r="E864" s="23">
        <f t="shared" si="149"/>
        <v>19800</v>
      </c>
      <c r="G864" s="12"/>
      <c r="H864" s="28"/>
      <c r="I864" s="28"/>
    </row>
    <row r="865">
      <c r="A865" s="22" t="s">
        <v>95</v>
      </c>
      <c r="B865" s="24">
        <v>11.0</v>
      </c>
      <c r="C865" s="24">
        <v>12.0</v>
      </c>
      <c r="D865" s="24">
        <v>8.0</v>
      </c>
      <c r="E865" s="24">
        <v>13.0</v>
      </c>
      <c r="G865" s="12"/>
      <c r="H865" s="28"/>
      <c r="I865" s="28"/>
    </row>
    <row r="866">
      <c r="A866" s="22" t="s">
        <v>96</v>
      </c>
      <c r="B866" s="24">
        <v>6.0</v>
      </c>
      <c r="C866" s="24">
        <v>12.0</v>
      </c>
      <c r="D866" s="24">
        <v>6.0</v>
      </c>
      <c r="E866" s="24">
        <v>8.0</v>
      </c>
      <c r="G866" s="12"/>
      <c r="H866" s="28"/>
      <c r="I866" s="28"/>
    </row>
    <row r="867">
      <c r="A867" s="22" t="s">
        <v>111</v>
      </c>
      <c r="B867" s="24" t="s">
        <v>210</v>
      </c>
      <c r="C867" s="24" t="s">
        <v>210</v>
      </c>
      <c r="D867" s="24" t="s">
        <v>210</v>
      </c>
      <c r="E867" s="24" t="s">
        <v>210</v>
      </c>
      <c r="G867" s="12"/>
      <c r="H867" s="28"/>
      <c r="I867" s="28"/>
    </row>
    <row r="868">
      <c r="A868" s="22" t="s">
        <v>98</v>
      </c>
      <c r="B868" s="24">
        <v>1.0</v>
      </c>
      <c r="C868" s="24">
        <v>1.0</v>
      </c>
      <c r="D868" s="24" t="s">
        <v>229</v>
      </c>
      <c r="E868" s="24">
        <v>1.0</v>
      </c>
      <c r="G868" s="12"/>
      <c r="H868" s="28"/>
      <c r="I868" s="28"/>
    </row>
    <row r="869">
      <c r="A869" s="22" t="s">
        <v>112</v>
      </c>
      <c r="B869" s="26">
        <f t="shared" ref="B869:E869" si="150">round(((B864/B863)*100),2)</f>
        <v>91.37</v>
      </c>
      <c r="C869" s="26">
        <f t="shared" si="150"/>
        <v>90.59</v>
      </c>
      <c r="D869" s="26">
        <f t="shared" si="150"/>
        <v>92.42</v>
      </c>
      <c r="E869" s="26">
        <f t="shared" si="150"/>
        <v>93.15</v>
      </c>
      <c r="G869" s="12"/>
      <c r="H869" s="28"/>
      <c r="I869" s="28"/>
    </row>
    <row r="870">
      <c r="A870" s="22" t="s">
        <v>215</v>
      </c>
      <c r="B870" s="24" t="s">
        <v>349</v>
      </c>
      <c r="C870" s="24" t="s">
        <v>350</v>
      </c>
      <c r="D870" s="18"/>
      <c r="E870" s="18"/>
      <c r="G870" s="12"/>
      <c r="H870" s="28"/>
      <c r="I870" s="28"/>
    </row>
    <row r="871">
      <c r="A871" s="22" t="s">
        <v>100</v>
      </c>
      <c r="B871" s="24">
        <v>647.0</v>
      </c>
      <c r="C871" s="24">
        <v>638.0</v>
      </c>
      <c r="D871" s="24">
        <v>645.0</v>
      </c>
      <c r="E871" s="24">
        <v>660.0</v>
      </c>
      <c r="G871" s="12"/>
      <c r="H871" s="28"/>
      <c r="I871" s="28"/>
    </row>
    <row r="872">
      <c r="A872" s="25" t="s">
        <v>319</v>
      </c>
      <c r="B872" s="24">
        <v>2592.0</v>
      </c>
      <c r="C872" s="24"/>
      <c r="D872" s="24"/>
      <c r="E872" s="24"/>
      <c r="G872" s="12"/>
      <c r="H872" s="28"/>
      <c r="I872" s="28"/>
    </row>
    <row r="873">
      <c r="A873" s="22" t="s">
        <v>103</v>
      </c>
      <c r="B873" s="24" t="s">
        <v>351</v>
      </c>
      <c r="D873" s="24" t="s">
        <v>352</v>
      </c>
      <c r="G873" s="12"/>
      <c r="H873" s="28"/>
      <c r="I873" s="28"/>
    </row>
    <row r="874">
      <c r="A874" s="14"/>
      <c r="B874" s="11" t="s">
        <v>50</v>
      </c>
      <c r="C874" s="12"/>
      <c r="D874" s="12"/>
      <c r="E874" s="12"/>
      <c r="G874" s="12"/>
      <c r="H874" s="28"/>
      <c r="I874" s="28"/>
    </row>
    <row r="875">
      <c r="A875" s="14"/>
      <c r="B875" s="12"/>
      <c r="C875" s="12"/>
      <c r="D875" s="12"/>
      <c r="E875" s="12"/>
      <c r="G875" s="12"/>
      <c r="H875" s="28"/>
      <c r="I875" s="28"/>
    </row>
    <row r="876">
      <c r="A876" s="44" t="s">
        <v>50</v>
      </c>
      <c r="B876" s="20" t="s">
        <v>353</v>
      </c>
      <c r="G876" s="12"/>
      <c r="H876" s="28"/>
      <c r="I876" s="28"/>
    </row>
    <row r="877">
      <c r="B877" s="21" t="s">
        <v>4</v>
      </c>
      <c r="C877" s="21" t="s">
        <v>5</v>
      </c>
      <c r="D877" s="21" t="s">
        <v>6</v>
      </c>
      <c r="E877" s="21" t="s">
        <v>7</v>
      </c>
      <c r="G877" s="12"/>
      <c r="H877" s="34" t="s">
        <v>354</v>
      </c>
      <c r="I877" s="28"/>
    </row>
    <row r="878">
      <c r="A878" s="22" t="s">
        <v>91</v>
      </c>
      <c r="B878" s="24">
        <v>55.2</v>
      </c>
      <c r="C878" s="24">
        <v>53.7</v>
      </c>
      <c r="D878" s="24">
        <v>59.7</v>
      </c>
      <c r="E878" s="24">
        <v>57.5</v>
      </c>
      <c r="G878" s="12"/>
      <c r="H878" s="34" t="s">
        <v>355</v>
      </c>
      <c r="I878" s="28"/>
    </row>
    <row r="879">
      <c r="A879" s="22" t="s">
        <v>92</v>
      </c>
      <c r="B879" s="24">
        <v>2.0</v>
      </c>
      <c r="C879" s="24">
        <v>3.0</v>
      </c>
      <c r="D879" s="24">
        <v>6.0</v>
      </c>
      <c r="E879" s="24">
        <v>4.0</v>
      </c>
      <c r="G879" s="12"/>
      <c r="H879" s="28"/>
      <c r="I879" s="28"/>
    </row>
    <row r="880">
      <c r="A880" s="22" t="s">
        <v>93</v>
      </c>
      <c r="B880" s="24">
        <v>21242.0</v>
      </c>
      <c r="C880" s="24">
        <v>21125.0</v>
      </c>
      <c r="D880" s="24">
        <v>20931.0</v>
      </c>
      <c r="E880" s="24">
        <v>21252.0</v>
      </c>
      <c r="G880" s="12"/>
      <c r="H880" s="28"/>
      <c r="I880" s="28"/>
    </row>
    <row r="881">
      <c r="A881" s="22" t="s">
        <v>94</v>
      </c>
      <c r="B881" s="23">
        <f t="shared" ref="B881:E881" si="151">B888*30</f>
        <v>19560</v>
      </c>
      <c r="C881" s="23">
        <f t="shared" si="151"/>
        <v>19050</v>
      </c>
      <c r="D881" s="23">
        <f t="shared" si="151"/>
        <v>18210</v>
      </c>
      <c r="E881" s="23">
        <f t="shared" si="151"/>
        <v>19350</v>
      </c>
      <c r="G881" s="12"/>
      <c r="H881" s="28"/>
      <c r="I881" s="28"/>
    </row>
    <row r="882">
      <c r="A882" s="22" t="s">
        <v>95</v>
      </c>
      <c r="B882" s="24">
        <v>17.0</v>
      </c>
      <c r="C882" s="24">
        <v>11.0</v>
      </c>
      <c r="D882" s="24">
        <v>9.0</v>
      </c>
      <c r="E882" s="24">
        <v>17.0</v>
      </c>
      <c r="G882" s="12"/>
      <c r="H882" s="28"/>
      <c r="I882" s="28"/>
    </row>
    <row r="883">
      <c r="A883" s="22" t="s">
        <v>96</v>
      </c>
      <c r="B883" s="24">
        <v>4.0</v>
      </c>
      <c r="C883" s="24">
        <v>8.0</v>
      </c>
      <c r="D883" s="24">
        <v>6.0</v>
      </c>
      <c r="E883" s="24">
        <v>11.0</v>
      </c>
      <c r="G883" s="12"/>
      <c r="H883" s="28"/>
      <c r="I883" s="28"/>
    </row>
    <row r="884">
      <c r="A884" s="22" t="s">
        <v>111</v>
      </c>
      <c r="B884" s="24">
        <v>0.0</v>
      </c>
      <c r="C884" s="24">
        <v>0.0</v>
      </c>
      <c r="D884" s="24">
        <v>0.0</v>
      </c>
      <c r="E884" s="24">
        <v>0.0</v>
      </c>
      <c r="G884" s="12"/>
      <c r="H884" s="28"/>
      <c r="I884" s="28"/>
    </row>
    <row r="885">
      <c r="A885" s="22" t="s">
        <v>98</v>
      </c>
      <c r="B885" s="24">
        <v>1.0</v>
      </c>
      <c r="C885" s="24">
        <v>1.0</v>
      </c>
      <c r="D885" s="24">
        <v>1.0</v>
      </c>
      <c r="E885" s="24">
        <v>1.0</v>
      </c>
      <c r="G885" s="12"/>
      <c r="H885" s="28"/>
      <c r="I885" s="28"/>
    </row>
    <row r="886">
      <c r="A886" s="22" t="s">
        <v>112</v>
      </c>
      <c r="B886" s="26">
        <f t="shared" ref="B886:E886" si="152">round(((B881/B880)*100),2)</f>
        <v>92.08</v>
      </c>
      <c r="C886" s="26">
        <f t="shared" si="152"/>
        <v>90.18</v>
      </c>
      <c r="D886" s="26">
        <f t="shared" si="152"/>
        <v>87</v>
      </c>
      <c r="E886" s="26">
        <f t="shared" si="152"/>
        <v>91.05</v>
      </c>
      <c r="G886" s="12"/>
      <c r="H886" s="28"/>
      <c r="I886" s="28"/>
    </row>
    <row r="887">
      <c r="A887" s="22" t="s">
        <v>215</v>
      </c>
      <c r="B887" s="24" t="s">
        <v>304</v>
      </c>
      <c r="C887" s="24" t="s">
        <v>356</v>
      </c>
      <c r="D887" s="18"/>
      <c r="E887" s="18"/>
      <c r="G887" s="12"/>
      <c r="H887" s="28"/>
      <c r="I887" s="28"/>
    </row>
    <row r="888">
      <c r="A888" s="22" t="s">
        <v>100</v>
      </c>
      <c r="B888" s="24">
        <v>652.0</v>
      </c>
      <c r="C888" s="24">
        <v>635.0</v>
      </c>
      <c r="D888" s="24">
        <v>607.0</v>
      </c>
      <c r="E888" s="24">
        <v>645.0</v>
      </c>
      <c r="G888" s="12"/>
      <c r="H888" s="28"/>
      <c r="I888" s="28"/>
    </row>
    <row r="889">
      <c r="A889" s="25" t="s">
        <v>319</v>
      </c>
      <c r="B889" s="24">
        <v>2540.0</v>
      </c>
      <c r="C889" s="24"/>
      <c r="D889" s="24"/>
      <c r="E889" s="24"/>
      <c r="G889" s="12"/>
      <c r="H889" s="28"/>
      <c r="I889" s="28"/>
    </row>
    <row r="890">
      <c r="A890" s="22" t="s">
        <v>103</v>
      </c>
      <c r="B890" s="24" t="s">
        <v>357</v>
      </c>
      <c r="D890" s="24" t="s">
        <v>358</v>
      </c>
      <c r="G890" s="12"/>
      <c r="H890" s="28"/>
      <c r="I890" s="28"/>
    </row>
    <row r="891">
      <c r="A891" s="14"/>
      <c r="B891" s="12"/>
      <c r="C891" s="12"/>
      <c r="D891" s="12"/>
      <c r="E891" s="12"/>
      <c r="G891" s="12"/>
      <c r="H891" s="28"/>
      <c r="I891" s="28"/>
    </row>
    <row r="892">
      <c r="A892" s="14"/>
      <c r="B892" s="12"/>
      <c r="C892" s="12"/>
      <c r="D892" s="12"/>
      <c r="E892" s="12"/>
      <c r="G892" s="12"/>
      <c r="H892" s="28"/>
      <c r="I892" s="28"/>
    </row>
    <row r="893">
      <c r="A893" s="44" t="s">
        <v>50</v>
      </c>
      <c r="B893" s="20" t="s">
        <v>359</v>
      </c>
      <c r="G893" s="12"/>
      <c r="H893" s="28"/>
      <c r="I893" s="28"/>
    </row>
    <row r="894">
      <c r="B894" s="21" t="s">
        <v>4</v>
      </c>
      <c r="C894" s="21" t="s">
        <v>5</v>
      </c>
      <c r="D894" s="21" t="s">
        <v>6</v>
      </c>
      <c r="E894" s="21" t="s">
        <v>7</v>
      </c>
      <c r="G894" s="12"/>
      <c r="H894" s="28"/>
      <c r="I894" s="28"/>
    </row>
    <row r="895">
      <c r="A895" s="22" t="s">
        <v>91</v>
      </c>
      <c r="B895" s="24">
        <v>55.3</v>
      </c>
      <c r="C895" s="24">
        <v>54.1</v>
      </c>
      <c r="D895" s="24">
        <v>60.1</v>
      </c>
      <c r="E895" s="24">
        <v>57.6</v>
      </c>
      <c r="G895" s="12"/>
      <c r="H895" s="28"/>
      <c r="I895" s="28"/>
    </row>
    <row r="896">
      <c r="A896" s="22" t="s">
        <v>92</v>
      </c>
      <c r="B896" s="24">
        <v>2.0</v>
      </c>
      <c r="C896" s="24">
        <v>17.0</v>
      </c>
      <c r="D896" s="24">
        <v>5.0</v>
      </c>
      <c r="E896" s="24">
        <v>8.0</v>
      </c>
      <c r="G896" s="12"/>
      <c r="H896" s="28"/>
      <c r="I896" s="28"/>
    </row>
    <row r="897">
      <c r="A897" s="22" t="s">
        <v>93</v>
      </c>
      <c r="B897" s="24">
        <v>21240.0</v>
      </c>
      <c r="C897" s="24">
        <v>21108.0</v>
      </c>
      <c r="D897" s="24">
        <v>20926.0</v>
      </c>
      <c r="E897" s="24">
        <v>21244.0</v>
      </c>
      <c r="G897" s="12"/>
      <c r="H897" s="28"/>
      <c r="I897" s="28"/>
    </row>
    <row r="898">
      <c r="A898" s="22" t="s">
        <v>94</v>
      </c>
      <c r="B898" s="23">
        <f t="shared" ref="B898:E898" si="153">B905*30</f>
        <v>19500</v>
      </c>
      <c r="C898" s="23">
        <f t="shared" si="153"/>
        <v>19110</v>
      </c>
      <c r="D898" s="23">
        <f t="shared" si="153"/>
        <v>18540</v>
      </c>
      <c r="E898" s="23">
        <f t="shared" si="153"/>
        <v>19470</v>
      </c>
      <c r="G898" s="12"/>
      <c r="H898" s="28"/>
      <c r="I898" s="28"/>
    </row>
    <row r="899">
      <c r="A899" s="22" t="s">
        <v>95</v>
      </c>
      <c r="B899" s="24">
        <v>15.0</v>
      </c>
      <c r="C899" s="24">
        <v>6.0</v>
      </c>
      <c r="D899" s="24">
        <v>11.0</v>
      </c>
      <c r="E899" s="24">
        <v>18.0</v>
      </c>
      <c r="G899" s="12"/>
      <c r="H899" s="28"/>
      <c r="I899" s="28"/>
    </row>
    <row r="900">
      <c r="A900" s="22" t="s">
        <v>96</v>
      </c>
      <c r="B900" s="24">
        <v>6.0</v>
      </c>
      <c r="C900" s="24">
        <v>3.0</v>
      </c>
      <c r="D900" s="24">
        <v>4.0</v>
      </c>
      <c r="E900" s="24">
        <v>9.0</v>
      </c>
      <c r="G900" s="12"/>
      <c r="H900" s="28"/>
      <c r="I900" s="28"/>
    </row>
    <row r="901">
      <c r="A901" s="22" t="s">
        <v>111</v>
      </c>
      <c r="B901" s="24" t="s">
        <v>210</v>
      </c>
      <c r="C901" s="24" t="s">
        <v>210</v>
      </c>
      <c r="D901" s="24" t="s">
        <v>210</v>
      </c>
      <c r="E901" s="24" t="s">
        <v>210</v>
      </c>
      <c r="G901" s="12"/>
      <c r="H901" s="28"/>
      <c r="I901" s="28"/>
    </row>
    <row r="902">
      <c r="A902" s="22" t="s">
        <v>98</v>
      </c>
      <c r="B902" s="24">
        <v>1.0</v>
      </c>
      <c r="C902" s="24">
        <v>1.0</v>
      </c>
      <c r="D902" s="24">
        <v>1.0</v>
      </c>
      <c r="E902" s="24">
        <v>1.0</v>
      </c>
      <c r="G902" s="12"/>
      <c r="H902" s="28"/>
      <c r="I902" s="28"/>
    </row>
    <row r="903">
      <c r="A903" s="22" t="s">
        <v>112</v>
      </c>
      <c r="B903" s="26">
        <f t="shared" ref="B903:E903" si="154">round(((B898/B897)*100),2)</f>
        <v>91.81</v>
      </c>
      <c r="C903" s="26">
        <f t="shared" si="154"/>
        <v>90.53</v>
      </c>
      <c r="D903" s="26">
        <f t="shared" si="154"/>
        <v>88.6</v>
      </c>
      <c r="E903" s="26">
        <f t="shared" si="154"/>
        <v>91.65</v>
      </c>
      <c r="G903" s="12"/>
      <c r="H903" s="28"/>
      <c r="I903" s="28"/>
    </row>
    <row r="904">
      <c r="A904" s="22" t="s">
        <v>215</v>
      </c>
      <c r="B904" s="24" t="s">
        <v>360</v>
      </c>
      <c r="C904" s="24" t="s">
        <v>361</v>
      </c>
      <c r="D904" s="18"/>
      <c r="E904" s="18"/>
      <c r="G904" s="12"/>
      <c r="H904" s="28"/>
      <c r="I904" s="28"/>
    </row>
    <row r="905">
      <c r="A905" s="22" t="s">
        <v>100</v>
      </c>
      <c r="B905" s="24">
        <v>650.0</v>
      </c>
      <c r="C905" s="24">
        <v>637.0</v>
      </c>
      <c r="D905" s="24">
        <v>618.0</v>
      </c>
      <c r="E905" s="24">
        <v>649.0</v>
      </c>
      <c r="G905" s="12"/>
      <c r="H905" s="28"/>
      <c r="I905" s="28"/>
    </row>
    <row r="906">
      <c r="A906" s="25" t="s">
        <v>319</v>
      </c>
      <c r="B906" s="24">
        <v>2555.0</v>
      </c>
      <c r="C906" s="24"/>
      <c r="D906" s="24"/>
      <c r="E906" s="24"/>
      <c r="G906" s="12"/>
      <c r="H906" s="28"/>
      <c r="I906" s="28"/>
    </row>
    <row r="907">
      <c r="A907" s="22" t="s">
        <v>103</v>
      </c>
      <c r="B907" s="24" t="s">
        <v>362</v>
      </c>
      <c r="D907" s="24" t="s">
        <v>363</v>
      </c>
      <c r="G907" s="12"/>
      <c r="H907" s="28"/>
      <c r="I907" s="28"/>
    </row>
    <row r="908">
      <c r="A908" s="14"/>
      <c r="B908" s="12"/>
      <c r="C908" s="12"/>
      <c r="D908" s="12"/>
      <c r="E908" s="12"/>
      <c r="G908" s="12"/>
      <c r="H908" s="28"/>
      <c r="I908" s="28"/>
    </row>
    <row r="909">
      <c r="A909" s="14"/>
      <c r="B909" s="12"/>
      <c r="C909" s="12"/>
      <c r="D909" s="12"/>
      <c r="E909" s="12"/>
      <c r="G909" s="12"/>
      <c r="H909" s="28"/>
      <c r="I909" s="28"/>
    </row>
    <row r="910">
      <c r="A910" s="44" t="s">
        <v>50</v>
      </c>
      <c r="B910" s="20" t="s">
        <v>364</v>
      </c>
      <c r="G910" s="12"/>
      <c r="H910" s="28"/>
      <c r="I910" s="28"/>
    </row>
    <row r="911">
      <c r="B911" s="21" t="s">
        <v>4</v>
      </c>
      <c r="C911" s="21" t="s">
        <v>5</v>
      </c>
      <c r="D911" s="21" t="s">
        <v>6</v>
      </c>
      <c r="E911" s="21" t="s">
        <v>7</v>
      </c>
      <c r="G911" s="12"/>
      <c r="H911" s="28"/>
      <c r="I911" s="28"/>
    </row>
    <row r="912">
      <c r="A912" s="22" t="s">
        <v>91</v>
      </c>
      <c r="B912" s="24">
        <v>55.4</v>
      </c>
      <c r="C912" s="24">
        <v>54.2</v>
      </c>
      <c r="D912" s="24">
        <v>60.2</v>
      </c>
      <c r="E912" s="24">
        <v>57.7</v>
      </c>
      <c r="G912" s="12"/>
      <c r="H912" s="28"/>
      <c r="I912" s="28"/>
    </row>
    <row r="913">
      <c r="A913" s="22" t="s">
        <v>92</v>
      </c>
      <c r="B913" s="24">
        <v>2.0</v>
      </c>
      <c r="C913" s="24">
        <v>5.0</v>
      </c>
      <c r="D913" s="24">
        <v>9.0</v>
      </c>
      <c r="E913" s="24">
        <v>4.0</v>
      </c>
      <c r="G913" s="12"/>
      <c r="H913" s="28"/>
      <c r="I913" s="28"/>
    </row>
    <row r="914">
      <c r="A914" s="22" t="s">
        <v>93</v>
      </c>
      <c r="B914" s="24">
        <v>21238.0</v>
      </c>
      <c r="C914" s="24">
        <v>21103.0</v>
      </c>
      <c r="D914" s="24">
        <v>20917.0</v>
      </c>
      <c r="E914" s="24">
        <v>21240.0</v>
      </c>
      <c r="G914" s="12"/>
      <c r="H914" s="28"/>
      <c r="I914" s="28"/>
    </row>
    <row r="915">
      <c r="A915" s="22" t="s">
        <v>94</v>
      </c>
      <c r="B915" s="23">
        <f t="shared" ref="B915:E915" si="155">B922*30</f>
        <v>19230</v>
      </c>
      <c r="C915" s="23">
        <f t="shared" si="155"/>
        <v>18810</v>
      </c>
      <c r="D915" s="23">
        <f t="shared" si="155"/>
        <v>19080</v>
      </c>
      <c r="E915" s="23">
        <f t="shared" si="155"/>
        <v>19590</v>
      </c>
      <c r="G915" s="12"/>
      <c r="H915" s="28"/>
      <c r="I915" s="28"/>
    </row>
    <row r="916">
      <c r="A916" s="22" t="s">
        <v>95</v>
      </c>
      <c r="B916" s="24">
        <v>11.0</v>
      </c>
      <c r="C916" s="24">
        <v>8.0</v>
      </c>
      <c r="D916" s="24">
        <v>10.0</v>
      </c>
      <c r="E916" s="24">
        <v>10.0</v>
      </c>
      <c r="G916" s="12"/>
      <c r="H916" s="28"/>
      <c r="I916" s="28"/>
    </row>
    <row r="917">
      <c r="A917" s="22" t="s">
        <v>96</v>
      </c>
      <c r="B917" s="24">
        <v>3.0</v>
      </c>
      <c r="C917" s="24">
        <v>5.0</v>
      </c>
      <c r="D917" s="24">
        <v>5.0</v>
      </c>
      <c r="E917" s="24">
        <v>9.0</v>
      </c>
      <c r="G917" s="12"/>
      <c r="H917" s="28"/>
      <c r="I917" s="28"/>
    </row>
    <row r="918">
      <c r="A918" s="22" t="s">
        <v>111</v>
      </c>
      <c r="B918" s="24" t="s">
        <v>210</v>
      </c>
      <c r="C918" s="24" t="s">
        <v>210</v>
      </c>
      <c r="D918" s="24" t="s">
        <v>210</v>
      </c>
      <c r="E918" s="24" t="s">
        <v>210</v>
      </c>
      <c r="G918" s="12"/>
      <c r="H918" s="28"/>
      <c r="I918" s="28"/>
    </row>
    <row r="919">
      <c r="A919" s="22" t="s">
        <v>98</v>
      </c>
      <c r="B919" s="24">
        <v>1.0</v>
      </c>
      <c r="C919" s="24">
        <v>1.0</v>
      </c>
      <c r="D919" s="24" t="s">
        <v>221</v>
      </c>
      <c r="E919" s="24" t="s">
        <v>365</v>
      </c>
      <c r="G919" s="12"/>
      <c r="H919" s="28"/>
      <c r="I919" s="28"/>
    </row>
    <row r="920">
      <c r="A920" s="22" t="s">
        <v>112</v>
      </c>
      <c r="B920" s="26">
        <f t="shared" ref="B920:E920" si="156">round(((B915/B914)*100),2)</f>
        <v>90.55</v>
      </c>
      <c r="C920" s="26">
        <f t="shared" si="156"/>
        <v>89.13</v>
      </c>
      <c r="D920" s="26">
        <f t="shared" si="156"/>
        <v>91.22</v>
      </c>
      <c r="E920" s="26">
        <f t="shared" si="156"/>
        <v>92.23</v>
      </c>
      <c r="G920" s="12"/>
      <c r="H920" s="28"/>
      <c r="I920" s="28"/>
    </row>
    <row r="921">
      <c r="A921" s="22" t="s">
        <v>215</v>
      </c>
      <c r="B921" s="24" t="s">
        <v>360</v>
      </c>
      <c r="C921" s="24" t="s">
        <v>366</v>
      </c>
      <c r="D921" s="18"/>
      <c r="E921" s="18"/>
      <c r="G921" s="12"/>
      <c r="H921" s="28"/>
      <c r="I921" s="28"/>
    </row>
    <row r="922">
      <c r="A922" s="22" t="s">
        <v>100</v>
      </c>
      <c r="B922" s="24">
        <v>641.0</v>
      </c>
      <c r="C922" s="24">
        <v>627.0</v>
      </c>
      <c r="D922" s="24">
        <v>636.0</v>
      </c>
      <c r="E922" s="24">
        <v>653.0</v>
      </c>
      <c r="G922" s="12"/>
      <c r="H922" s="28"/>
      <c r="I922" s="28"/>
    </row>
    <row r="923">
      <c r="A923" s="25" t="s">
        <v>319</v>
      </c>
      <c r="B923" s="24">
        <v>2560.0</v>
      </c>
      <c r="C923" s="24"/>
      <c r="D923" s="24"/>
      <c r="E923" s="24"/>
      <c r="G923" s="12"/>
      <c r="H923" s="28"/>
      <c r="I923" s="28"/>
    </row>
    <row r="924">
      <c r="A924" s="22" t="s">
        <v>103</v>
      </c>
      <c r="B924" s="24"/>
      <c r="D924" s="24" t="s">
        <v>367</v>
      </c>
      <c r="G924" s="12"/>
      <c r="H924" s="28"/>
      <c r="I924" s="28"/>
    </row>
    <row r="925">
      <c r="A925" s="14"/>
      <c r="B925" s="12"/>
      <c r="C925" s="12"/>
      <c r="D925" s="12"/>
      <c r="E925" s="12"/>
      <c r="G925" s="12"/>
      <c r="H925" s="28"/>
      <c r="I925" s="28"/>
    </row>
    <row r="926">
      <c r="A926" s="14"/>
      <c r="B926" s="12"/>
      <c r="C926" s="12"/>
      <c r="D926" s="12"/>
      <c r="E926" s="12"/>
      <c r="G926" s="12"/>
      <c r="H926" s="28"/>
      <c r="I926" s="28"/>
    </row>
    <row r="927">
      <c r="A927" s="44" t="s">
        <v>50</v>
      </c>
      <c r="B927" s="20" t="s">
        <v>368</v>
      </c>
      <c r="G927" s="12"/>
      <c r="H927" s="28"/>
      <c r="I927" s="28"/>
    </row>
    <row r="928">
      <c r="B928" s="21" t="s">
        <v>4</v>
      </c>
      <c r="C928" s="21" t="s">
        <v>5</v>
      </c>
      <c r="D928" s="21" t="s">
        <v>6</v>
      </c>
      <c r="E928" s="21" t="s">
        <v>7</v>
      </c>
      <c r="G928" s="12"/>
      <c r="H928" s="28"/>
      <c r="I928" s="28"/>
    </row>
    <row r="929">
      <c r="A929" s="22" t="s">
        <v>91</v>
      </c>
      <c r="B929" s="24">
        <v>55.5</v>
      </c>
      <c r="C929" s="24">
        <v>54.3</v>
      </c>
      <c r="D929" s="24">
        <v>60.3</v>
      </c>
      <c r="E929" s="24">
        <v>58.1</v>
      </c>
      <c r="G929" s="12"/>
      <c r="H929" s="34" t="s">
        <v>369</v>
      </c>
      <c r="I929" s="28"/>
    </row>
    <row r="930">
      <c r="A930" s="22" t="s">
        <v>92</v>
      </c>
      <c r="B930" s="24">
        <v>0.0</v>
      </c>
      <c r="C930" s="24">
        <v>7.0</v>
      </c>
      <c r="D930" s="24">
        <v>4.0</v>
      </c>
      <c r="E930" s="24">
        <v>3.0</v>
      </c>
      <c r="G930" s="12"/>
      <c r="H930" s="28"/>
      <c r="I930" s="28"/>
    </row>
    <row r="931">
      <c r="A931" s="22" t="s">
        <v>93</v>
      </c>
      <c r="B931" s="24">
        <v>21238.0</v>
      </c>
      <c r="C931" s="24">
        <v>21096.0</v>
      </c>
      <c r="D931" s="24">
        <v>20913.0</v>
      </c>
      <c r="E931" s="24">
        <v>21237.0</v>
      </c>
      <c r="G931" s="12"/>
      <c r="H931" s="28"/>
      <c r="I931" s="28"/>
    </row>
    <row r="932">
      <c r="A932" s="22" t="s">
        <v>94</v>
      </c>
      <c r="B932" s="23">
        <f t="shared" ref="B932:E932" si="157">B939*30</f>
        <v>19200</v>
      </c>
      <c r="C932" s="23">
        <f t="shared" si="157"/>
        <v>18960</v>
      </c>
      <c r="D932" s="23">
        <f t="shared" si="157"/>
        <v>18570</v>
      </c>
      <c r="E932" s="23">
        <f t="shared" si="157"/>
        <v>19380</v>
      </c>
      <c r="G932" s="12"/>
      <c r="H932" s="28"/>
      <c r="I932" s="28"/>
    </row>
    <row r="933">
      <c r="A933" s="22" t="s">
        <v>95</v>
      </c>
      <c r="B933" s="24">
        <v>11.0</v>
      </c>
      <c r="C933" s="24">
        <v>17.0</v>
      </c>
      <c r="D933" s="24">
        <v>14.0</v>
      </c>
      <c r="E933" s="24">
        <v>20.0</v>
      </c>
      <c r="G933" s="12"/>
      <c r="H933" s="28"/>
      <c r="I933" s="28"/>
    </row>
    <row r="934">
      <c r="A934" s="22" t="s">
        <v>96</v>
      </c>
      <c r="B934" s="24">
        <v>10.0</v>
      </c>
      <c r="C934" s="24">
        <v>9.0</v>
      </c>
      <c r="D934" s="24">
        <v>6.0</v>
      </c>
      <c r="E934" s="24">
        <v>8.0</v>
      </c>
      <c r="G934" s="12"/>
      <c r="H934" s="28"/>
      <c r="I934" s="28"/>
    </row>
    <row r="935">
      <c r="A935" s="22" t="s">
        <v>111</v>
      </c>
      <c r="B935" s="24" t="s">
        <v>370</v>
      </c>
      <c r="C935" s="24" t="s">
        <v>370</v>
      </c>
      <c r="D935" s="24" t="s">
        <v>370</v>
      </c>
      <c r="E935" s="24" t="s">
        <v>370</v>
      </c>
      <c r="G935" s="12"/>
      <c r="H935" s="28"/>
      <c r="I935" s="28"/>
    </row>
    <row r="936">
      <c r="A936" s="22" t="s">
        <v>98</v>
      </c>
      <c r="B936" s="24">
        <v>1.0</v>
      </c>
      <c r="C936" s="24">
        <v>1.0</v>
      </c>
      <c r="D936" s="24" t="s">
        <v>286</v>
      </c>
      <c r="E936" s="24">
        <v>1.0</v>
      </c>
      <c r="G936" s="12"/>
      <c r="H936" s="28"/>
      <c r="I936" s="28"/>
    </row>
    <row r="937">
      <c r="A937" s="22" t="s">
        <v>112</v>
      </c>
      <c r="B937" s="26">
        <f t="shared" ref="B937:E937" si="158">round(((B932/B931)*100),2)</f>
        <v>90.4</v>
      </c>
      <c r="C937" s="26">
        <f t="shared" si="158"/>
        <v>89.87</v>
      </c>
      <c r="D937" s="26">
        <f t="shared" si="158"/>
        <v>88.8</v>
      </c>
      <c r="E937" s="26">
        <f t="shared" si="158"/>
        <v>91.26</v>
      </c>
      <c r="G937" s="12"/>
      <c r="H937" s="28"/>
      <c r="I937" s="28"/>
    </row>
    <row r="938">
      <c r="A938" s="22" t="s">
        <v>215</v>
      </c>
      <c r="B938" s="24" t="s">
        <v>371</v>
      </c>
      <c r="C938" s="24" t="s">
        <v>372</v>
      </c>
      <c r="D938" s="18"/>
      <c r="E938" s="18"/>
      <c r="G938" s="12"/>
      <c r="H938" s="28"/>
      <c r="I938" s="28"/>
    </row>
    <row r="939">
      <c r="A939" s="22" t="s">
        <v>100</v>
      </c>
      <c r="B939" s="24">
        <v>640.0</v>
      </c>
      <c r="C939" s="24">
        <v>632.0</v>
      </c>
      <c r="D939" s="24">
        <v>619.0</v>
      </c>
      <c r="E939" s="24">
        <v>646.0</v>
      </c>
      <c r="G939" s="12"/>
      <c r="H939" s="28"/>
      <c r="I939" s="28"/>
    </row>
    <row r="940">
      <c r="A940" s="25" t="s">
        <v>319</v>
      </c>
      <c r="B940" s="24">
        <v>2538.0</v>
      </c>
      <c r="C940" s="24"/>
      <c r="D940" s="24"/>
      <c r="E940" s="24"/>
      <c r="G940" s="12"/>
      <c r="H940" s="28"/>
      <c r="I940" s="28"/>
    </row>
    <row r="941">
      <c r="A941" s="22" t="s">
        <v>103</v>
      </c>
      <c r="B941" s="24" t="s">
        <v>373</v>
      </c>
      <c r="D941" s="24" t="s">
        <v>374</v>
      </c>
      <c r="G941" s="12"/>
      <c r="H941" s="28"/>
      <c r="I941" s="28"/>
    </row>
    <row r="942">
      <c r="A942" s="14"/>
      <c r="B942" s="12"/>
      <c r="C942" s="12"/>
      <c r="D942" s="12"/>
      <c r="E942" s="12"/>
      <c r="G942" s="12"/>
      <c r="H942" s="28"/>
      <c r="I942" s="28"/>
    </row>
    <row r="943">
      <c r="A943" s="14"/>
      <c r="B943" s="12"/>
      <c r="C943" s="12"/>
      <c r="D943" s="12"/>
      <c r="E943" s="12"/>
      <c r="G943" s="12"/>
      <c r="H943" s="28"/>
      <c r="I943" s="28"/>
    </row>
    <row r="944">
      <c r="A944" s="44" t="s">
        <v>50</v>
      </c>
      <c r="B944" s="20" t="s">
        <v>375</v>
      </c>
      <c r="G944" s="12"/>
      <c r="H944" s="28"/>
      <c r="I944" s="28"/>
    </row>
    <row r="945">
      <c r="B945" s="21" t="s">
        <v>4</v>
      </c>
      <c r="C945" s="21" t="s">
        <v>5</v>
      </c>
      <c r="D945" s="21" t="s">
        <v>6</v>
      </c>
      <c r="E945" s="21" t="s">
        <v>7</v>
      </c>
      <c r="G945" s="12"/>
      <c r="H945" s="28"/>
      <c r="I945" s="28"/>
    </row>
    <row r="946">
      <c r="A946" s="22" t="s">
        <v>91</v>
      </c>
      <c r="B946" s="24">
        <v>55.6</v>
      </c>
      <c r="C946" s="24">
        <v>54.4</v>
      </c>
      <c r="D946" s="24">
        <v>60.4</v>
      </c>
      <c r="E946" s="24">
        <v>58.2</v>
      </c>
      <c r="G946" s="12"/>
      <c r="H946" s="28"/>
      <c r="I946" s="28"/>
    </row>
    <row r="947">
      <c r="A947" s="22" t="s">
        <v>92</v>
      </c>
      <c r="B947" s="24">
        <v>4.0</v>
      </c>
      <c r="C947" s="24">
        <v>5.0</v>
      </c>
      <c r="D947" s="24">
        <v>3.0</v>
      </c>
      <c r="E947" s="24">
        <v>8.0</v>
      </c>
      <c r="G947" s="12"/>
      <c r="H947" s="28"/>
      <c r="I947" s="28"/>
    </row>
    <row r="948">
      <c r="A948" s="22" t="s">
        <v>93</v>
      </c>
      <c r="B948" s="24">
        <v>21234.0</v>
      </c>
      <c r="C948" s="24">
        <v>21091.0</v>
      </c>
      <c r="D948" s="24">
        <v>20910.0</v>
      </c>
      <c r="E948" s="24">
        <v>21229.0</v>
      </c>
      <c r="G948" s="12"/>
      <c r="H948" s="28"/>
      <c r="I948" s="28"/>
    </row>
    <row r="949">
      <c r="A949" s="22" t="s">
        <v>94</v>
      </c>
      <c r="B949" s="23">
        <f t="shared" ref="B949:E949" si="159">B956*30</f>
        <v>19290</v>
      </c>
      <c r="C949" s="23">
        <f t="shared" si="159"/>
        <v>18960</v>
      </c>
      <c r="D949" s="23">
        <f t="shared" si="159"/>
        <v>18720</v>
      </c>
      <c r="E949" s="23">
        <f t="shared" si="159"/>
        <v>19290</v>
      </c>
      <c r="G949" s="12"/>
      <c r="H949" s="28"/>
      <c r="I949" s="28"/>
    </row>
    <row r="950">
      <c r="A950" s="22" t="s">
        <v>95</v>
      </c>
      <c r="B950" s="24">
        <v>0.0</v>
      </c>
      <c r="C950" s="24">
        <v>8.0</v>
      </c>
      <c r="D950" s="24">
        <v>11.0</v>
      </c>
      <c r="E950" s="24">
        <v>16.0</v>
      </c>
      <c r="G950" s="12"/>
      <c r="H950" s="28"/>
      <c r="I950" s="28"/>
    </row>
    <row r="951">
      <c r="A951" s="22" t="s">
        <v>96</v>
      </c>
      <c r="B951" s="24">
        <v>4.0</v>
      </c>
      <c r="C951" s="24">
        <v>0.0</v>
      </c>
      <c r="D951" s="24">
        <v>8.0</v>
      </c>
      <c r="E951" s="24">
        <v>8.0</v>
      </c>
      <c r="G951" s="12"/>
      <c r="H951" s="28"/>
      <c r="I951" s="28"/>
    </row>
    <row r="952">
      <c r="A952" s="22" t="s">
        <v>111</v>
      </c>
      <c r="B952" s="24">
        <v>0.0</v>
      </c>
      <c r="C952" s="24">
        <v>0.0</v>
      </c>
      <c r="D952" s="24">
        <v>0.0</v>
      </c>
      <c r="E952" s="24">
        <v>0.0</v>
      </c>
      <c r="G952" s="12"/>
      <c r="H952" s="28"/>
      <c r="I952" s="28"/>
    </row>
    <row r="953">
      <c r="A953" s="22" t="s">
        <v>98</v>
      </c>
      <c r="B953" s="24">
        <v>1.0</v>
      </c>
      <c r="C953" s="24">
        <v>1.0</v>
      </c>
      <c r="D953" s="24" t="s">
        <v>376</v>
      </c>
      <c r="E953" s="24">
        <v>1.0</v>
      </c>
      <c r="G953" s="12"/>
      <c r="H953" s="28"/>
      <c r="I953" s="28"/>
    </row>
    <row r="954">
      <c r="A954" s="22" t="s">
        <v>112</v>
      </c>
      <c r="B954" s="26">
        <f t="shared" ref="B954:E954" si="160">round(((B949/B948)*100),2)</f>
        <v>90.84</v>
      </c>
      <c r="C954" s="26">
        <f t="shared" si="160"/>
        <v>89.9</v>
      </c>
      <c r="D954" s="26">
        <f t="shared" si="160"/>
        <v>89.53</v>
      </c>
      <c r="E954" s="26">
        <f t="shared" si="160"/>
        <v>90.87</v>
      </c>
      <c r="G954" s="12"/>
      <c r="H954" s="28"/>
      <c r="I954" s="28"/>
    </row>
    <row r="955">
      <c r="A955" s="22" t="s">
        <v>215</v>
      </c>
      <c r="B955" s="24" t="s">
        <v>377</v>
      </c>
      <c r="C955" s="24" t="s">
        <v>378</v>
      </c>
      <c r="D955" s="18"/>
      <c r="E955" s="18"/>
      <c r="G955" s="12"/>
      <c r="H955" s="28"/>
      <c r="I955" s="28"/>
    </row>
    <row r="956">
      <c r="A956" s="22" t="s">
        <v>100</v>
      </c>
      <c r="B956" s="24">
        <v>643.0</v>
      </c>
      <c r="C956" s="24">
        <v>632.0</v>
      </c>
      <c r="D956" s="24">
        <v>624.0</v>
      </c>
      <c r="E956" s="24">
        <v>643.0</v>
      </c>
      <c r="G956" s="12"/>
      <c r="H956" s="28"/>
      <c r="I956" s="28"/>
    </row>
    <row r="957">
      <c r="A957" s="25" t="s">
        <v>319</v>
      </c>
      <c r="B957" s="24">
        <v>2543.0</v>
      </c>
      <c r="C957" s="24"/>
      <c r="D957" s="24"/>
      <c r="E957" s="24"/>
      <c r="G957" s="12"/>
      <c r="H957" s="28"/>
      <c r="I957" s="28"/>
    </row>
    <row r="958">
      <c r="A958" s="22" t="s">
        <v>103</v>
      </c>
      <c r="B958" s="24" t="s">
        <v>379</v>
      </c>
      <c r="D958" s="24" t="s">
        <v>380</v>
      </c>
      <c r="G958" s="12"/>
      <c r="H958" s="28"/>
      <c r="I958" s="28"/>
    </row>
    <row r="959">
      <c r="A959" s="14"/>
      <c r="B959" s="12"/>
      <c r="C959" s="12"/>
      <c r="D959" s="12"/>
      <c r="E959" s="12"/>
      <c r="G959" s="12"/>
      <c r="H959" s="28"/>
      <c r="I959" s="28"/>
    </row>
    <row r="960">
      <c r="A960" s="14"/>
      <c r="B960" s="12"/>
      <c r="C960" s="12"/>
      <c r="D960" s="12"/>
      <c r="E960" s="12"/>
      <c r="G960" s="12"/>
      <c r="H960" s="28"/>
      <c r="I960" s="28"/>
    </row>
    <row r="961">
      <c r="A961" s="44" t="s">
        <v>50</v>
      </c>
      <c r="B961" s="20" t="s">
        <v>381</v>
      </c>
      <c r="G961" s="12"/>
      <c r="H961" s="28"/>
      <c r="I961" s="28"/>
    </row>
    <row r="962">
      <c r="B962" s="21" t="s">
        <v>4</v>
      </c>
      <c r="C962" s="21" t="s">
        <v>5</v>
      </c>
      <c r="D962" s="21" t="s">
        <v>6</v>
      </c>
      <c r="E962" s="21" t="s">
        <v>7</v>
      </c>
      <c r="G962" s="12"/>
      <c r="H962" s="28"/>
      <c r="I962" s="28"/>
    </row>
    <row r="963">
      <c r="A963" s="22" t="s">
        <v>91</v>
      </c>
      <c r="B963" s="24">
        <v>55.7</v>
      </c>
      <c r="C963" s="24">
        <v>54.5</v>
      </c>
      <c r="D963" s="24">
        <v>60.5</v>
      </c>
      <c r="E963" s="24">
        <v>58.3</v>
      </c>
      <c r="G963" s="12"/>
      <c r="H963" s="28"/>
      <c r="I963" s="28"/>
    </row>
    <row r="964">
      <c r="A964" s="22" t="s">
        <v>92</v>
      </c>
      <c r="B964" s="24">
        <v>4.0</v>
      </c>
      <c r="C964" s="24">
        <v>6.0</v>
      </c>
      <c r="D964" s="24">
        <v>6.0</v>
      </c>
      <c r="E964" s="24">
        <v>11.0</v>
      </c>
      <c r="G964" s="12"/>
      <c r="H964" s="28"/>
      <c r="I964" s="28"/>
    </row>
    <row r="965">
      <c r="A965" s="22" t="s">
        <v>93</v>
      </c>
      <c r="B965" s="24">
        <v>21230.0</v>
      </c>
      <c r="C965" s="24">
        <v>21085.0</v>
      </c>
      <c r="D965" s="24">
        <v>20904.0</v>
      </c>
      <c r="E965" s="24">
        <v>21218.0</v>
      </c>
      <c r="G965" s="12"/>
      <c r="H965" s="28"/>
      <c r="I965" s="28"/>
    </row>
    <row r="966">
      <c r="A966" s="22" t="s">
        <v>94</v>
      </c>
      <c r="B966" s="23">
        <f t="shared" ref="B966:E966" si="161">B973*30</f>
        <v>19380</v>
      </c>
      <c r="C966" s="23">
        <f t="shared" si="161"/>
        <v>18360</v>
      </c>
      <c r="D966" s="23">
        <f t="shared" si="161"/>
        <v>18540</v>
      </c>
      <c r="E966" s="23">
        <f t="shared" si="161"/>
        <v>19260</v>
      </c>
      <c r="G966" s="12"/>
      <c r="H966" s="28"/>
      <c r="I966" s="28"/>
    </row>
    <row r="967">
      <c r="A967" s="22" t="s">
        <v>95</v>
      </c>
      <c r="B967" s="24">
        <v>19.0</v>
      </c>
      <c r="C967" s="24">
        <v>12.0</v>
      </c>
      <c r="D967" s="24">
        <v>14.0</v>
      </c>
      <c r="E967" s="24">
        <v>11.0</v>
      </c>
      <c r="G967" s="12"/>
      <c r="H967" s="28"/>
      <c r="I967" s="28"/>
    </row>
    <row r="968">
      <c r="A968" s="22" t="s">
        <v>96</v>
      </c>
      <c r="B968" s="24">
        <v>7.0</v>
      </c>
      <c r="C968" s="24">
        <v>3.0</v>
      </c>
      <c r="D968" s="24">
        <v>11.0</v>
      </c>
      <c r="E968" s="24">
        <v>4.0</v>
      </c>
      <c r="G968" s="12"/>
      <c r="H968" s="28"/>
      <c r="I968" s="28"/>
    </row>
    <row r="969">
      <c r="A969" s="22" t="s">
        <v>111</v>
      </c>
      <c r="B969" s="24">
        <v>0.0</v>
      </c>
      <c r="C969" s="24">
        <v>0.0</v>
      </c>
      <c r="D969" s="24">
        <v>0.0</v>
      </c>
      <c r="E969" s="24">
        <v>0.0</v>
      </c>
      <c r="G969" s="12"/>
      <c r="H969" s="28"/>
      <c r="I969" s="28"/>
    </row>
    <row r="970">
      <c r="A970" s="22" t="s">
        <v>98</v>
      </c>
      <c r="B970" s="24">
        <v>1.0</v>
      </c>
      <c r="C970" s="24" t="s">
        <v>135</v>
      </c>
      <c r="D970" s="24" t="s">
        <v>341</v>
      </c>
      <c r="E970" s="24">
        <v>1.0</v>
      </c>
      <c r="G970" s="12"/>
      <c r="H970" s="28"/>
      <c r="I970" s="28"/>
    </row>
    <row r="971">
      <c r="A971" s="22" t="s">
        <v>112</v>
      </c>
      <c r="B971" s="26">
        <f t="shared" ref="B971:E971" si="162">round(((B966/B965)*100),2)</f>
        <v>91.29</v>
      </c>
      <c r="C971" s="26">
        <f t="shared" si="162"/>
        <v>87.08</v>
      </c>
      <c r="D971" s="26">
        <f t="shared" si="162"/>
        <v>88.69</v>
      </c>
      <c r="E971" s="26">
        <f t="shared" si="162"/>
        <v>90.77</v>
      </c>
      <c r="G971" s="12"/>
      <c r="H971" s="28"/>
      <c r="I971" s="28"/>
    </row>
    <row r="972">
      <c r="A972" s="22" t="s">
        <v>215</v>
      </c>
      <c r="B972" s="24" t="s">
        <v>377</v>
      </c>
      <c r="C972" s="24" t="s">
        <v>366</v>
      </c>
      <c r="D972" s="18"/>
      <c r="E972" s="18"/>
      <c r="G972" s="12"/>
      <c r="H972" s="28"/>
      <c r="I972" s="28"/>
    </row>
    <row r="973">
      <c r="A973" s="22" t="s">
        <v>100</v>
      </c>
      <c r="B973" s="24">
        <v>646.0</v>
      </c>
      <c r="C973" s="24">
        <v>612.0</v>
      </c>
      <c r="D973" s="24">
        <v>618.0</v>
      </c>
      <c r="E973" s="24">
        <v>642.0</v>
      </c>
      <c r="G973" s="12"/>
      <c r="H973" s="28"/>
      <c r="I973" s="28"/>
    </row>
    <row r="974">
      <c r="A974" s="25" t="s">
        <v>319</v>
      </c>
      <c r="B974" s="24">
        <v>2521.0</v>
      </c>
      <c r="C974" s="24"/>
      <c r="D974" s="24"/>
      <c r="E974" s="24"/>
      <c r="G974" s="12"/>
      <c r="H974" s="28"/>
      <c r="I974" s="28"/>
    </row>
    <row r="975">
      <c r="A975" s="22" t="s">
        <v>103</v>
      </c>
      <c r="B975" s="24" t="s">
        <v>382</v>
      </c>
      <c r="D975" s="24" t="s">
        <v>383</v>
      </c>
      <c r="G975" s="12"/>
      <c r="H975" s="28"/>
      <c r="I975" s="28"/>
    </row>
    <row r="976">
      <c r="A976" s="14"/>
      <c r="B976" s="12"/>
      <c r="C976" s="12"/>
      <c r="D976" s="12"/>
      <c r="E976" s="12"/>
      <c r="G976" s="12"/>
      <c r="H976" s="28"/>
      <c r="I976" s="28"/>
    </row>
    <row r="977">
      <c r="A977" s="14"/>
      <c r="B977" s="12"/>
      <c r="C977" s="12"/>
      <c r="D977" s="12"/>
      <c r="E977" s="12"/>
      <c r="G977" s="12"/>
      <c r="H977" s="28"/>
      <c r="I977" s="28"/>
    </row>
    <row r="978">
      <c r="A978" s="44" t="s">
        <v>50</v>
      </c>
      <c r="B978" s="20" t="s">
        <v>384</v>
      </c>
      <c r="G978" s="12"/>
      <c r="H978" s="28"/>
      <c r="I978" s="28"/>
    </row>
    <row r="979">
      <c r="B979" s="21" t="s">
        <v>4</v>
      </c>
      <c r="C979" s="21" t="s">
        <v>5</v>
      </c>
      <c r="D979" s="21" t="s">
        <v>6</v>
      </c>
      <c r="E979" s="21" t="s">
        <v>7</v>
      </c>
      <c r="G979" s="12"/>
      <c r="H979" s="28"/>
      <c r="I979" s="28"/>
    </row>
    <row r="980">
      <c r="A980" s="22" t="s">
        <v>91</v>
      </c>
      <c r="B980" s="24">
        <v>56.1</v>
      </c>
      <c r="C980" s="24">
        <v>54.6</v>
      </c>
      <c r="D980" s="24">
        <v>60.6</v>
      </c>
      <c r="E980" s="24">
        <v>58.4</v>
      </c>
      <c r="G980" s="12"/>
      <c r="H980" s="28"/>
      <c r="I980" s="28"/>
    </row>
    <row r="981">
      <c r="A981" s="22" t="s">
        <v>92</v>
      </c>
      <c r="B981" s="24">
        <v>1.0</v>
      </c>
      <c r="C981" s="24">
        <v>5.0</v>
      </c>
      <c r="D981" s="24">
        <v>6.0</v>
      </c>
      <c r="E981" s="24">
        <v>4.0</v>
      </c>
      <c r="G981" s="11" t="s">
        <v>385</v>
      </c>
      <c r="H981" s="28"/>
      <c r="I981" s="28"/>
    </row>
    <row r="982">
      <c r="A982" s="22" t="s">
        <v>93</v>
      </c>
      <c r="B982" s="24">
        <v>21229.0</v>
      </c>
      <c r="C982" s="24">
        <v>21080.0</v>
      </c>
      <c r="D982" s="24">
        <v>20898.0</v>
      </c>
      <c r="E982" s="24">
        <v>21214.0</v>
      </c>
      <c r="G982" s="12"/>
      <c r="H982" s="28"/>
      <c r="I982" s="28"/>
    </row>
    <row r="983">
      <c r="A983" s="22" t="s">
        <v>94</v>
      </c>
      <c r="B983" s="23">
        <f t="shared" ref="B983:E983" si="163">B990*30</f>
        <v>19440</v>
      </c>
      <c r="C983" s="23">
        <f t="shared" si="163"/>
        <v>18630</v>
      </c>
      <c r="D983" s="23">
        <f t="shared" si="163"/>
        <v>18210</v>
      </c>
      <c r="E983" s="23">
        <f t="shared" si="163"/>
        <v>19500</v>
      </c>
      <c r="G983" s="12"/>
      <c r="H983" s="28"/>
      <c r="I983" s="28"/>
    </row>
    <row r="984">
      <c r="A984" s="22" t="s">
        <v>95</v>
      </c>
      <c r="B984" s="24">
        <v>11.0</v>
      </c>
      <c r="C984" s="24">
        <v>12.0</v>
      </c>
      <c r="D984" s="24">
        <v>12.0</v>
      </c>
      <c r="E984" s="24">
        <v>28.0</v>
      </c>
      <c r="G984" s="12"/>
      <c r="H984" s="28"/>
      <c r="I984" s="28"/>
    </row>
    <row r="985">
      <c r="A985" s="22" t="s">
        <v>96</v>
      </c>
      <c r="B985" s="24">
        <v>10.0</v>
      </c>
      <c r="C985" s="24">
        <v>4.0</v>
      </c>
      <c r="D985" s="24">
        <v>8.0</v>
      </c>
      <c r="E985" s="24">
        <v>4.0</v>
      </c>
      <c r="G985" s="12"/>
      <c r="H985" s="28"/>
      <c r="I985" s="28"/>
    </row>
    <row r="986">
      <c r="A986" s="22" t="s">
        <v>111</v>
      </c>
      <c r="B986" s="24" t="s">
        <v>210</v>
      </c>
      <c r="C986" s="24" t="s">
        <v>210</v>
      </c>
      <c r="D986" s="24" t="s">
        <v>210</v>
      </c>
      <c r="E986" s="24" t="s">
        <v>210</v>
      </c>
      <c r="G986" s="12"/>
      <c r="H986" s="28"/>
      <c r="I986" s="28"/>
    </row>
    <row r="987">
      <c r="A987" s="22" t="s">
        <v>98</v>
      </c>
      <c r="B987" s="24">
        <v>1.0</v>
      </c>
      <c r="C987" s="24">
        <v>1.0</v>
      </c>
      <c r="D987" s="24" t="s">
        <v>281</v>
      </c>
      <c r="E987" s="24" t="s">
        <v>386</v>
      </c>
      <c r="G987" s="12"/>
      <c r="H987" s="28"/>
      <c r="I987" s="28"/>
    </row>
    <row r="988">
      <c r="A988" s="22" t="s">
        <v>112</v>
      </c>
      <c r="B988" s="26">
        <f t="shared" ref="B988:E988" si="164">round(((B983/B982)*100),2)</f>
        <v>91.57</v>
      </c>
      <c r="C988" s="26">
        <f t="shared" si="164"/>
        <v>88.38</v>
      </c>
      <c r="D988" s="26">
        <f t="shared" si="164"/>
        <v>87.14</v>
      </c>
      <c r="E988" s="26">
        <f t="shared" si="164"/>
        <v>91.92</v>
      </c>
      <c r="G988" s="12"/>
      <c r="H988" s="28"/>
      <c r="I988" s="28"/>
    </row>
    <row r="989">
      <c r="A989" s="22" t="s">
        <v>215</v>
      </c>
      <c r="B989" s="24" t="s">
        <v>387</v>
      </c>
      <c r="C989" s="24" t="s">
        <v>388</v>
      </c>
      <c r="D989" s="18"/>
      <c r="E989" s="18"/>
      <c r="G989" s="12"/>
      <c r="H989" s="28"/>
      <c r="I989" s="28"/>
    </row>
    <row r="990">
      <c r="A990" s="22" t="s">
        <v>100</v>
      </c>
      <c r="B990" s="24">
        <v>648.0</v>
      </c>
      <c r="C990" s="24">
        <v>621.0</v>
      </c>
      <c r="D990" s="24">
        <v>607.0</v>
      </c>
      <c r="E990" s="24">
        <v>650.0</v>
      </c>
      <c r="G990" s="12"/>
      <c r="H990" s="28"/>
      <c r="I990" s="28"/>
    </row>
    <row r="991">
      <c r="A991" s="25" t="s">
        <v>319</v>
      </c>
      <c r="B991" s="24">
        <v>2528.0</v>
      </c>
      <c r="C991" s="24"/>
      <c r="D991" s="24"/>
      <c r="E991" s="24"/>
      <c r="G991" s="12"/>
      <c r="H991" s="28"/>
      <c r="I991" s="28"/>
    </row>
    <row r="992">
      <c r="A992" s="22" t="s">
        <v>103</v>
      </c>
      <c r="B992" s="24"/>
      <c r="D992" s="24" t="s">
        <v>389</v>
      </c>
      <c r="G992" s="12"/>
      <c r="H992" s="28"/>
      <c r="I992" s="28"/>
    </row>
    <row r="993">
      <c r="A993" s="14"/>
      <c r="B993" s="12"/>
      <c r="C993" s="12"/>
      <c r="D993" s="12"/>
      <c r="E993" s="12"/>
      <c r="G993" s="12"/>
      <c r="H993" s="28"/>
      <c r="I993" s="28"/>
    </row>
    <row r="994">
      <c r="A994" s="14"/>
      <c r="B994" s="12"/>
      <c r="C994" s="12"/>
      <c r="D994" s="12"/>
      <c r="E994" s="12"/>
      <c r="G994" s="12"/>
      <c r="H994" s="28"/>
      <c r="I994" s="28"/>
    </row>
    <row r="995">
      <c r="A995" s="44" t="s">
        <v>50</v>
      </c>
      <c r="B995" s="20" t="s">
        <v>390</v>
      </c>
      <c r="G995" s="12"/>
      <c r="H995" s="28"/>
      <c r="I995" s="28"/>
    </row>
    <row r="996">
      <c r="B996" s="21" t="s">
        <v>4</v>
      </c>
      <c r="C996" s="21" t="s">
        <v>5</v>
      </c>
      <c r="D996" s="21" t="s">
        <v>6</v>
      </c>
      <c r="E996" s="21" t="s">
        <v>7</v>
      </c>
      <c r="G996" s="12"/>
      <c r="H996" s="28"/>
      <c r="I996" s="28"/>
    </row>
    <row r="997">
      <c r="A997" s="22" t="s">
        <v>91</v>
      </c>
      <c r="B997" s="24">
        <v>56.2</v>
      </c>
      <c r="C997" s="24">
        <v>54.7</v>
      </c>
      <c r="D997" s="24">
        <v>60.7</v>
      </c>
      <c r="E997" s="24">
        <v>58.5</v>
      </c>
      <c r="G997" s="12"/>
      <c r="H997" s="28"/>
      <c r="I997" s="28"/>
    </row>
    <row r="998">
      <c r="A998" s="22" t="s">
        <v>92</v>
      </c>
      <c r="B998" s="24">
        <v>2.0</v>
      </c>
      <c r="C998" s="24">
        <v>5.0</v>
      </c>
      <c r="D998" s="24">
        <v>5.0</v>
      </c>
      <c r="E998" s="24">
        <v>3.0</v>
      </c>
      <c r="G998" s="11" t="s">
        <v>391</v>
      </c>
      <c r="H998" s="28"/>
      <c r="I998" s="28"/>
    </row>
    <row r="999">
      <c r="A999" s="22" t="s">
        <v>93</v>
      </c>
      <c r="B999" s="24">
        <v>21227.0</v>
      </c>
      <c r="C999" s="24">
        <v>21075.0</v>
      </c>
      <c r="D999" s="24">
        <v>20893.0</v>
      </c>
      <c r="E999" s="24">
        <v>21211.0</v>
      </c>
      <c r="G999" s="11" t="s">
        <v>392</v>
      </c>
      <c r="H999" s="28"/>
      <c r="I999" s="28"/>
    </row>
    <row r="1000">
      <c r="A1000" s="22" t="s">
        <v>94</v>
      </c>
      <c r="B1000" s="23">
        <f t="shared" ref="B1000:E1000" si="165">B1007*30</f>
        <v>19470</v>
      </c>
      <c r="C1000" s="23">
        <f t="shared" si="165"/>
        <v>18390</v>
      </c>
      <c r="D1000" s="23">
        <f t="shared" si="165"/>
        <v>18840</v>
      </c>
      <c r="E1000" s="23">
        <f t="shared" si="165"/>
        <v>18930</v>
      </c>
      <c r="G1000" s="11" t="s">
        <v>50</v>
      </c>
      <c r="H1000" s="28"/>
      <c r="I1000" s="28"/>
    </row>
    <row r="1001">
      <c r="A1001" s="22" t="s">
        <v>95</v>
      </c>
      <c r="B1001" s="24">
        <v>18.0</v>
      </c>
      <c r="C1001" s="24">
        <v>7.0</v>
      </c>
      <c r="D1001" s="24">
        <v>8.0</v>
      </c>
      <c r="E1001" s="24">
        <v>10.0</v>
      </c>
      <c r="G1001" s="12"/>
      <c r="H1001" s="28"/>
      <c r="I1001" s="28"/>
    </row>
    <row r="1002">
      <c r="A1002" s="22" t="s">
        <v>96</v>
      </c>
      <c r="B1002" s="24">
        <v>8.0</v>
      </c>
      <c r="C1002" s="24">
        <v>5.0</v>
      </c>
      <c r="D1002" s="24">
        <v>3.0</v>
      </c>
      <c r="E1002" s="24">
        <v>4.0</v>
      </c>
      <c r="G1002" s="12"/>
      <c r="H1002" s="28"/>
      <c r="I1002" s="28"/>
    </row>
    <row r="1003">
      <c r="A1003" s="22" t="s">
        <v>111</v>
      </c>
      <c r="B1003" s="24">
        <v>0.0</v>
      </c>
      <c r="C1003" s="24">
        <v>0.0</v>
      </c>
      <c r="D1003" s="24">
        <v>0.0</v>
      </c>
      <c r="E1003" s="24">
        <v>0.0</v>
      </c>
      <c r="G1003" s="12"/>
      <c r="H1003" s="28"/>
      <c r="I1003" s="28"/>
    </row>
    <row r="1004">
      <c r="A1004" s="22" t="s">
        <v>98</v>
      </c>
      <c r="B1004" s="24">
        <v>1.0</v>
      </c>
      <c r="C1004" s="24">
        <v>1.0</v>
      </c>
      <c r="D1004" s="24">
        <v>1.0</v>
      </c>
      <c r="E1004" s="24">
        <v>1.0</v>
      </c>
      <c r="F1004" s="8"/>
      <c r="G1004" s="12"/>
      <c r="H1004" s="28"/>
      <c r="I1004" s="28"/>
    </row>
    <row r="1005">
      <c r="A1005" s="22" t="s">
        <v>112</v>
      </c>
      <c r="B1005" s="26">
        <f t="shared" ref="B1005:E1005" si="166">round(((B1000/B999)*100),2)</f>
        <v>91.72</v>
      </c>
      <c r="C1005" s="26">
        <f t="shared" si="166"/>
        <v>87.26</v>
      </c>
      <c r="D1005" s="26">
        <f t="shared" si="166"/>
        <v>90.17</v>
      </c>
      <c r="E1005" s="26">
        <f t="shared" si="166"/>
        <v>89.25</v>
      </c>
      <c r="F1005" s="8"/>
      <c r="G1005" s="12"/>
      <c r="H1005" s="28"/>
      <c r="I1005" s="28"/>
    </row>
    <row r="1006">
      <c r="A1006" s="22" t="s">
        <v>215</v>
      </c>
      <c r="B1006" s="24" t="s">
        <v>393</v>
      </c>
      <c r="C1006" s="24" t="s">
        <v>394</v>
      </c>
      <c r="D1006" s="18"/>
      <c r="E1006" s="18"/>
      <c r="F1006" s="8"/>
      <c r="G1006" s="12"/>
      <c r="H1006" s="28"/>
      <c r="I1006" s="28"/>
    </row>
    <row r="1007">
      <c r="A1007" s="22" t="s">
        <v>100</v>
      </c>
      <c r="B1007" s="24">
        <v>649.0</v>
      </c>
      <c r="C1007" s="24">
        <v>613.0</v>
      </c>
      <c r="D1007" s="24">
        <v>628.0</v>
      </c>
      <c r="E1007" s="24">
        <v>631.0</v>
      </c>
      <c r="F1007" s="8"/>
      <c r="G1007" s="12"/>
      <c r="H1007" s="28"/>
      <c r="I1007" s="28"/>
    </row>
    <row r="1008">
      <c r="A1008" s="25" t="s">
        <v>319</v>
      </c>
      <c r="B1008" s="24">
        <v>2522.0</v>
      </c>
      <c r="C1008" s="24"/>
      <c r="D1008" s="24"/>
      <c r="E1008" s="24"/>
      <c r="F1008" s="8"/>
      <c r="G1008" s="12"/>
      <c r="H1008" s="28"/>
      <c r="I1008" s="28"/>
    </row>
    <row r="1009">
      <c r="A1009" s="22" t="s">
        <v>103</v>
      </c>
      <c r="B1009" s="24" t="s">
        <v>395</v>
      </c>
      <c r="D1009" s="24" t="s">
        <v>396</v>
      </c>
      <c r="F1009" s="8"/>
      <c r="G1009" s="12"/>
      <c r="H1009" s="28"/>
      <c r="I1009" s="28"/>
    </row>
    <row r="1010">
      <c r="A1010" s="22"/>
      <c r="B1010" s="24"/>
      <c r="C1010" s="24"/>
      <c r="D1010" s="24"/>
      <c r="E1010" s="24"/>
      <c r="F1010" s="8"/>
      <c r="G1010" s="12"/>
      <c r="H1010" s="28"/>
      <c r="I1010" s="28"/>
    </row>
    <row r="1011">
      <c r="A1011" s="22"/>
      <c r="B1011" s="24"/>
      <c r="C1011" s="24"/>
      <c r="D1011" s="24"/>
      <c r="E1011" s="24"/>
      <c r="F1011" s="8"/>
      <c r="G1011" s="12"/>
      <c r="H1011" s="28"/>
      <c r="I1011" s="28"/>
    </row>
    <row r="1012">
      <c r="A1012" s="44" t="s">
        <v>50</v>
      </c>
      <c r="B1012" s="20" t="s">
        <v>397</v>
      </c>
      <c r="F1012" s="8"/>
      <c r="G1012" s="12"/>
      <c r="H1012" s="28"/>
      <c r="I1012" s="28"/>
    </row>
    <row r="1013">
      <c r="B1013" s="21" t="s">
        <v>4</v>
      </c>
      <c r="C1013" s="21" t="s">
        <v>5</v>
      </c>
      <c r="D1013" s="21" t="s">
        <v>6</v>
      </c>
      <c r="E1013" s="21" t="s">
        <v>7</v>
      </c>
      <c r="F1013" s="8"/>
      <c r="G1013" s="12"/>
      <c r="H1013" s="28"/>
      <c r="I1013" s="28"/>
    </row>
    <row r="1014">
      <c r="A1014" s="22" t="s">
        <v>91</v>
      </c>
      <c r="B1014" s="24">
        <v>56.3</v>
      </c>
      <c r="C1014" s="24">
        <v>55.1</v>
      </c>
      <c r="D1014" s="24">
        <v>61.1</v>
      </c>
      <c r="E1014" s="24">
        <v>58.6</v>
      </c>
      <c r="F1014" s="8"/>
      <c r="G1014" s="11" t="s">
        <v>398</v>
      </c>
      <c r="H1014" s="28"/>
      <c r="I1014" s="28"/>
    </row>
    <row r="1015">
      <c r="A1015" s="22" t="s">
        <v>92</v>
      </c>
      <c r="B1015" s="24">
        <v>3.0</v>
      </c>
      <c r="C1015" s="24">
        <v>1.0</v>
      </c>
      <c r="D1015" s="24">
        <v>2.0</v>
      </c>
      <c r="E1015" s="24">
        <v>7.0</v>
      </c>
      <c r="F1015" s="8"/>
      <c r="G1015" s="11" t="s">
        <v>334</v>
      </c>
      <c r="H1015" s="28"/>
      <c r="I1015" s="28"/>
    </row>
    <row r="1016">
      <c r="A1016" s="22" t="s">
        <v>93</v>
      </c>
      <c r="B1016" s="24">
        <v>21224.0</v>
      </c>
      <c r="C1016" s="24">
        <v>21074.0</v>
      </c>
      <c r="D1016" s="24">
        <v>20891.0</v>
      </c>
      <c r="E1016" s="24">
        <v>21204.0</v>
      </c>
      <c r="F1016" s="8"/>
      <c r="G1016" s="12"/>
      <c r="H1016" s="28"/>
      <c r="I1016" s="28"/>
    </row>
    <row r="1017">
      <c r="A1017" s="22" t="s">
        <v>94</v>
      </c>
      <c r="B1017" s="23">
        <f t="shared" ref="B1017:E1017" si="167">B1024*30</f>
        <v>19470</v>
      </c>
      <c r="C1017" s="23">
        <f t="shared" si="167"/>
        <v>18510</v>
      </c>
      <c r="D1017" s="23">
        <f t="shared" si="167"/>
        <v>18120</v>
      </c>
      <c r="E1017" s="23">
        <f t="shared" si="167"/>
        <v>19350</v>
      </c>
      <c r="F1017" s="8"/>
      <c r="G1017" s="12"/>
      <c r="H1017" s="28"/>
      <c r="I1017" s="28"/>
    </row>
    <row r="1018">
      <c r="A1018" s="22" t="s">
        <v>95</v>
      </c>
      <c r="B1018" s="24">
        <v>13.0</v>
      </c>
      <c r="C1018" s="24">
        <v>8.0</v>
      </c>
      <c r="D1018" s="24">
        <v>28.0</v>
      </c>
      <c r="E1018" s="24">
        <v>7.0</v>
      </c>
      <c r="F1018" s="8"/>
      <c r="G1018" s="12"/>
      <c r="H1018" s="28"/>
      <c r="I1018" s="28"/>
    </row>
    <row r="1019">
      <c r="A1019" s="22" t="s">
        <v>96</v>
      </c>
      <c r="B1019" s="24">
        <v>6.0</v>
      </c>
      <c r="C1019" s="24">
        <v>6.0</v>
      </c>
      <c r="D1019" s="24">
        <v>4.0</v>
      </c>
      <c r="E1019" s="24">
        <v>4.0</v>
      </c>
      <c r="F1019" s="8"/>
      <c r="G1019" s="12"/>
      <c r="H1019" s="28"/>
      <c r="I1019" s="28"/>
    </row>
    <row r="1020">
      <c r="A1020" s="22" t="s">
        <v>111</v>
      </c>
      <c r="B1020" s="24">
        <v>0.0</v>
      </c>
      <c r="C1020" s="24">
        <v>0.0</v>
      </c>
      <c r="D1020" s="24">
        <v>0.0</v>
      </c>
      <c r="E1020" s="24">
        <v>0.0</v>
      </c>
      <c r="F1020" s="8"/>
      <c r="G1020" s="12"/>
      <c r="H1020" s="28"/>
      <c r="I1020" s="28"/>
    </row>
    <row r="1021">
      <c r="A1021" s="22" t="s">
        <v>98</v>
      </c>
      <c r="B1021" s="24">
        <v>1.0</v>
      </c>
      <c r="C1021" s="24">
        <v>1.0</v>
      </c>
      <c r="D1021" s="24" t="s">
        <v>399</v>
      </c>
      <c r="E1021" s="24">
        <v>18.0</v>
      </c>
      <c r="F1021" s="8"/>
      <c r="G1021" s="12"/>
      <c r="H1021" s="28"/>
      <c r="I1021" s="28"/>
    </row>
    <row r="1022">
      <c r="A1022" s="22" t="s">
        <v>112</v>
      </c>
      <c r="B1022" s="26">
        <f t="shared" ref="B1022:E1022" si="168">round(((B1017/B1016)*100),2)</f>
        <v>91.74</v>
      </c>
      <c r="C1022" s="26">
        <f t="shared" si="168"/>
        <v>87.83</v>
      </c>
      <c r="D1022" s="26">
        <f t="shared" si="168"/>
        <v>86.74</v>
      </c>
      <c r="E1022" s="26">
        <f t="shared" si="168"/>
        <v>91.26</v>
      </c>
      <c r="F1022" s="8"/>
      <c r="G1022" s="12"/>
      <c r="H1022" s="28"/>
      <c r="I1022" s="28"/>
    </row>
    <row r="1023">
      <c r="A1023" s="22" t="s">
        <v>215</v>
      </c>
      <c r="B1023" s="24" t="s">
        <v>393</v>
      </c>
      <c r="C1023" s="24" t="s">
        <v>400</v>
      </c>
      <c r="D1023" s="18"/>
      <c r="E1023" s="18"/>
      <c r="F1023" s="8"/>
      <c r="G1023" s="12"/>
      <c r="H1023" s="28"/>
      <c r="I1023" s="28"/>
    </row>
    <row r="1024">
      <c r="A1024" s="22" t="s">
        <v>100</v>
      </c>
      <c r="B1024" s="24">
        <v>649.0</v>
      </c>
      <c r="C1024" s="24">
        <v>617.0</v>
      </c>
      <c r="D1024" s="24">
        <v>604.0</v>
      </c>
      <c r="E1024" s="24">
        <v>645.0</v>
      </c>
      <c r="F1024" s="8"/>
      <c r="G1024" s="12"/>
      <c r="H1024" s="28"/>
      <c r="I1024" s="28"/>
    </row>
    <row r="1025">
      <c r="A1025" s="25" t="s">
        <v>319</v>
      </c>
      <c r="B1025" s="24">
        <v>2517.0</v>
      </c>
      <c r="C1025" s="24"/>
      <c r="D1025" s="24"/>
      <c r="E1025" s="24"/>
      <c r="F1025" s="8"/>
      <c r="G1025" s="12"/>
      <c r="H1025" s="28"/>
      <c r="I1025" s="28"/>
    </row>
    <row r="1026">
      <c r="A1026" s="22" t="s">
        <v>103</v>
      </c>
      <c r="B1026" s="24" t="s">
        <v>401</v>
      </c>
      <c r="D1026" s="24" t="s">
        <v>402</v>
      </c>
      <c r="F1026" s="8"/>
      <c r="G1026" s="12"/>
      <c r="H1026" s="28"/>
      <c r="I1026" s="28"/>
    </row>
    <row r="1027">
      <c r="A1027" s="22"/>
      <c r="B1027" s="24"/>
      <c r="C1027" s="24"/>
      <c r="D1027" s="24"/>
      <c r="E1027" s="24"/>
      <c r="F1027" s="8"/>
      <c r="G1027" s="12"/>
      <c r="H1027" s="28"/>
      <c r="I1027" s="28"/>
    </row>
    <row r="1028">
      <c r="A1028" s="22"/>
      <c r="B1028" s="24"/>
      <c r="C1028" s="24"/>
      <c r="D1028" s="24"/>
      <c r="E1028" s="24"/>
      <c r="F1028" s="8"/>
      <c r="G1028" s="12"/>
      <c r="H1028" s="28"/>
      <c r="I1028" s="28"/>
    </row>
    <row r="1029">
      <c r="A1029" s="44" t="s">
        <v>50</v>
      </c>
      <c r="B1029" s="20" t="s">
        <v>403</v>
      </c>
      <c r="F1029" s="8"/>
      <c r="G1029" s="12"/>
      <c r="H1029" s="28"/>
      <c r="I1029" s="28"/>
    </row>
    <row r="1030">
      <c r="B1030" s="21" t="s">
        <v>4</v>
      </c>
      <c r="C1030" s="21" t="s">
        <v>5</v>
      </c>
      <c r="D1030" s="21" t="s">
        <v>6</v>
      </c>
      <c r="E1030" s="21" t="s">
        <v>7</v>
      </c>
      <c r="F1030" s="8"/>
      <c r="G1030" s="12"/>
      <c r="H1030" s="28"/>
      <c r="I1030" s="28"/>
    </row>
    <row r="1031">
      <c r="A1031" s="22" t="s">
        <v>91</v>
      </c>
      <c r="B1031" s="24">
        <v>56.4</v>
      </c>
      <c r="C1031" s="24">
        <v>55.2</v>
      </c>
      <c r="D1031" s="24">
        <v>61.2</v>
      </c>
      <c r="E1031" s="24">
        <v>58.7</v>
      </c>
      <c r="F1031" s="8"/>
      <c r="G1031" s="11" t="s">
        <v>404</v>
      </c>
      <c r="H1031" s="28"/>
      <c r="I1031" s="28"/>
    </row>
    <row r="1032">
      <c r="A1032" s="22" t="s">
        <v>92</v>
      </c>
      <c r="B1032" s="24">
        <v>3.0</v>
      </c>
      <c r="C1032" s="24">
        <v>6.0</v>
      </c>
      <c r="D1032" s="24">
        <v>1.0</v>
      </c>
      <c r="E1032" s="24">
        <v>8.0</v>
      </c>
      <c r="F1032" s="8"/>
      <c r="G1032" s="12"/>
      <c r="H1032" s="28"/>
      <c r="I1032" s="28"/>
    </row>
    <row r="1033">
      <c r="A1033" s="22" t="s">
        <v>93</v>
      </c>
      <c r="B1033" s="24">
        <v>21221.0</v>
      </c>
      <c r="C1033" s="24">
        <v>21068.0</v>
      </c>
      <c r="D1033" s="24">
        <v>20890.0</v>
      </c>
      <c r="E1033" s="24">
        <v>21196.0</v>
      </c>
      <c r="F1033" s="8"/>
      <c r="G1033" s="12"/>
      <c r="H1033" s="28"/>
      <c r="I1033" s="28"/>
    </row>
    <row r="1034">
      <c r="A1034" s="22" t="s">
        <v>94</v>
      </c>
      <c r="B1034" s="23">
        <f t="shared" ref="B1034:E1034" si="169">B1041*30</f>
        <v>19350</v>
      </c>
      <c r="C1034" s="23">
        <f t="shared" si="169"/>
        <v>18570</v>
      </c>
      <c r="D1034" s="23">
        <f t="shared" si="169"/>
        <v>18330</v>
      </c>
      <c r="E1034" s="23">
        <f t="shared" si="169"/>
        <v>19290</v>
      </c>
      <c r="F1034" s="8"/>
      <c r="G1034" s="12"/>
      <c r="H1034" s="28"/>
      <c r="I1034" s="28"/>
    </row>
    <row r="1035">
      <c r="A1035" s="22" t="s">
        <v>95</v>
      </c>
      <c r="B1035" s="24">
        <v>7.0</v>
      </c>
      <c r="C1035" s="24">
        <v>20.0</v>
      </c>
      <c r="D1035" s="24">
        <v>18.0</v>
      </c>
      <c r="E1035" s="24">
        <v>8.0</v>
      </c>
      <c r="F1035" s="8"/>
      <c r="G1035" s="12"/>
      <c r="H1035" s="28"/>
      <c r="I1035" s="28"/>
    </row>
    <row r="1036">
      <c r="A1036" s="22" t="s">
        <v>96</v>
      </c>
      <c r="B1036" s="24">
        <v>4.0</v>
      </c>
      <c r="C1036" s="24">
        <v>7.0</v>
      </c>
      <c r="D1036" s="24">
        <v>8.0</v>
      </c>
      <c r="E1036" s="24">
        <v>3.0</v>
      </c>
      <c r="F1036" s="8"/>
      <c r="G1036" s="12"/>
      <c r="H1036" s="28"/>
      <c r="I1036" s="28"/>
    </row>
    <row r="1037">
      <c r="A1037" s="22" t="s">
        <v>111</v>
      </c>
      <c r="B1037" s="24">
        <v>0.0</v>
      </c>
      <c r="C1037" s="24">
        <v>0.0</v>
      </c>
      <c r="D1037" s="24">
        <v>0.0</v>
      </c>
      <c r="E1037" s="24">
        <v>0.0</v>
      </c>
      <c r="F1037" s="8"/>
      <c r="G1037" s="12"/>
      <c r="H1037" s="28"/>
      <c r="I1037" s="28"/>
    </row>
    <row r="1038">
      <c r="A1038" s="22" t="s">
        <v>98</v>
      </c>
      <c r="B1038" s="24">
        <v>1.0</v>
      </c>
      <c r="C1038" s="24">
        <v>1.0</v>
      </c>
      <c r="D1038" s="24">
        <v>1.0</v>
      </c>
      <c r="E1038" s="24">
        <v>1.0</v>
      </c>
      <c r="F1038" s="8"/>
      <c r="G1038" s="12"/>
      <c r="H1038" s="28"/>
      <c r="I1038" s="28"/>
    </row>
    <row r="1039">
      <c r="A1039" s="22" t="s">
        <v>112</v>
      </c>
      <c r="B1039" s="26">
        <f t="shared" ref="B1039:E1039" si="170">round(((B1034/B1033)*100),2)</f>
        <v>91.18</v>
      </c>
      <c r="C1039" s="26">
        <f t="shared" si="170"/>
        <v>88.14</v>
      </c>
      <c r="D1039" s="26">
        <f t="shared" si="170"/>
        <v>87.75</v>
      </c>
      <c r="E1039" s="26">
        <f t="shared" si="170"/>
        <v>91.01</v>
      </c>
      <c r="F1039" s="8"/>
      <c r="G1039" s="12"/>
      <c r="H1039" s="28"/>
      <c r="I1039" s="28"/>
    </row>
    <row r="1040">
      <c r="A1040" s="22" t="s">
        <v>215</v>
      </c>
      <c r="B1040" s="24" t="s">
        <v>387</v>
      </c>
      <c r="C1040" s="24" t="s">
        <v>405</v>
      </c>
      <c r="D1040" s="18"/>
      <c r="E1040" s="18"/>
      <c r="F1040" s="8"/>
      <c r="G1040" s="12"/>
      <c r="H1040" s="28"/>
      <c r="I1040" s="28"/>
    </row>
    <row r="1041">
      <c r="A1041" s="22" t="s">
        <v>100</v>
      </c>
      <c r="B1041" s="24">
        <v>645.0</v>
      </c>
      <c r="C1041" s="24">
        <v>619.0</v>
      </c>
      <c r="D1041" s="24">
        <v>611.0</v>
      </c>
      <c r="E1041" s="24">
        <v>643.0</v>
      </c>
      <c r="F1041" s="8"/>
      <c r="G1041" s="12"/>
      <c r="H1041" s="28"/>
      <c r="I1041" s="28"/>
    </row>
    <row r="1042">
      <c r="A1042" s="25" t="s">
        <v>319</v>
      </c>
      <c r="B1042" s="24">
        <v>2518.0</v>
      </c>
      <c r="C1042" s="24"/>
      <c r="D1042" s="24"/>
      <c r="E1042" s="24"/>
      <c r="F1042" s="8"/>
      <c r="G1042" s="12"/>
      <c r="H1042" s="28"/>
      <c r="I1042" s="28"/>
    </row>
    <row r="1043">
      <c r="A1043" s="22" t="s">
        <v>103</v>
      </c>
      <c r="B1043" s="24" t="s">
        <v>406</v>
      </c>
      <c r="D1043" s="24" t="s">
        <v>407</v>
      </c>
      <c r="F1043" s="8"/>
      <c r="G1043" s="12"/>
      <c r="H1043" s="28"/>
      <c r="I1043" s="28"/>
    </row>
    <row r="1044">
      <c r="A1044" s="22"/>
      <c r="B1044" s="24"/>
      <c r="C1044" s="24"/>
      <c r="D1044" s="24"/>
      <c r="E1044" s="24"/>
      <c r="F1044" s="8"/>
      <c r="G1044" s="12"/>
      <c r="H1044" s="28"/>
      <c r="I1044" s="28"/>
    </row>
    <row r="1045">
      <c r="A1045" s="22"/>
      <c r="B1045" s="24"/>
      <c r="C1045" s="24"/>
      <c r="D1045" s="24"/>
      <c r="E1045" s="24"/>
      <c r="F1045" s="8"/>
      <c r="G1045" s="12"/>
      <c r="H1045" s="28"/>
      <c r="I1045" s="28"/>
    </row>
    <row r="1046">
      <c r="A1046" s="44" t="s">
        <v>50</v>
      </c>
      <c r="B1046" s="20" t="s">
        <v>408</v>
      </c>
      <c r="F1046" s="8"/>
      <c r="G1046" s="12"/>
      <c r="H1046" s="28"/>
      <c r="I1046" s="28"/>
    </row>
    <row r="1047">
      <c r="B1047" s="21" t="s">
        <v>4</v>
      </c>
      <c r="C1047" s="21" t="s">
        <v>5</v>
      </c>
      <c r="D1047" s="21" t="s">
        <v>6</v>
      </c>
      <c r="E1047" s="21" t="s">
        <v>7</v>
      </c>
      <c r="F1047" s="8"/>
      <c r="G1047" s="11" t="s">
        <v>409</v>
      </c>
      <c r="H1047" s="28"/>
      <c r="I1047" s="28"/>
    </row>
    <row r="1048">
      <c r="A1048" s="22" t="s">
        <v>91</v>
      </c>
      <c r="B1048" s="24">
        <v>56.5</v>
      </c>
      <c r="C1048" s="24">
        <v>55.3</v>
      </c>
      <c r="D1048" s="24">
        <v>61.3</v>
      </c>
      <c r="E1048" s="24">
        <v>59.1</v>
      </c>
      <c r="F1048" s="8"/>
      <c r="G1048" s="12"/>
      <c r="H1048" s="28"/>
      <c r="I1048" s="28"/>
    </row>
    <row r="1049">
      <c r="A1049" s="22" t="s">
        <v>92</v>
      </c>
      <c r="B1049" s="24">
        <v>5.0</v>
      </c>
      <c r="C1049" s="24">
        <v>4.0</v>
      </c>
      <c r="D1049" s="24">
        <v>4.0</v>
      </c>
      <c r="E1049" s="24">
        <v>9.0</v>
      </c>
      <c r="F1049" s="8"/>
      <c r="G1049" s="12"/>
      <c r="H1049" s="28"/>
      <c r="I1049" s="28"/>
    </row>
    <row r="1050">
      <c r="A1050" s="22" t="s">
        <v>93</v>
      </c>
      <c r="B1050" s="24">
        <v>21216.0</v>
      </c>
      <c r="C1050" s="24">
        <v>21064.0</v>
      </c>
      <c r="D1050" s="24">
        <v>20886.0</v>
      </c>
      <c r="E1050" s="24">
        <v>21187.0</v>
      </c>
      <c r="F1050" s="8"/>
      <c r="G1050" s="12"/>
      <c r="H1050" s="28"/>
      <c r="I1050" s="28"/>
    </row>
    <row r="1051">
      <c r="A1051" s="22" t="s">
        <v>94</v>
      </c>
      <c r="B1051" s="23">
        <f t="shared" ref="B1051:E1051" si="171">B1058*30</f>
        <v>19260</v>
      </c>
      <c r="C1051" s="23">
        <f t="shared" si="171"/>
        <v>18750</v>
      </c>
      <c r="D1051" s="23">
        <f t="shared" si="171"/>
        <v>18300</v>
      </c>
      <c r="E1051" s="23">
        <f t="shared" si="171"/>
        <v>19170</v>
      </c>
      <c r="F1051" s="8"/>
      <c r="G1051" s="12"/>
      <c r="H1051" s="28"/>
      <c r="I1051" s="28"/>
    </row>
    <row r="1052">
      <c r="A1052" s="22" t="s">
        <v>95</v>
      </c>
      <c r="B1052" s="24">
        <v>15.0</v>
      </c>
      <c r="C1052" s="24">
        <v>14.0</v>
      </c>
      <c r="D1052" s="24">
        <v>26.0</v>
      </c>
      <c r="E1052" s="24">
        <v>12.0</v>
      </c>
      <c r="F1052" s="8"/>
      <c r="G1052" s="12"/>
      <c r="H1052" s="28"/>
      <c r="I1052" s="28"/>
    </row>
    <row r="1053">
      <c r="A1053" s="22" t="s">
        <v>96</v>
      </c>
      <c r="B1053" s="24">
        <v>10.0</v>
      </c>
      <c r="C1053" s="24">
        <v>4.0</v>
      </c>
      <c r="D1053" s="24">
        <v>8.0</v>
      </c>
      <c r="E1053" s="24">
        <v>6.0</v>
      </c>
      <c r="F1053" s="8"/>
      <c r="G1053" s="12"/>
      <c r="H1053" s="28"/>
      <c r="I1053" s="28"/>
    </row>
    <row r="1054">
      <c r="A1054" s="22" t="s">
        <v>111</v>
      </c>
      <c r="B1054" s="24" t="s">
        <v>210</v>
      </c>
      <c r="C1054" s="24" t="s">
        <v>210</v>
      </c>
      <c r="D1054" s="24" t="s">
        <v>210</v>
      </c>
      <c r="E1054" s="24" t="s">
        <v>410</v>
      </c>
      <c r="F1054" s="8"/>
      <c r="G1054" s="12"/>
      <c r="H1054" s="28"/>
      <c r="I1054" s="28"/>
    </row>
    <row r="1055">
      <c r="A1055" s="22" t="s">
        <v>98</v>
      </c>
      <c r="B1055" s="24">
        <v>1.0</v>
      </c>
      <c r="C1055" s="24">
        <v>1.0</v>
      </c>
      <c r="D1055" s="24">
        <v>1.0</v>
      </c>
      <c r="E1055" s="24">
        <v>1.0</v>
      </c>
      <c r="F1055" s="8"/>
      <c r="G1055" s="12"/>
      <c r="H1055" s="28"/>
      <c r="I1055" s="28"/>
    </row>
    <row r="1056">
      <c r="A1056" s="22" t="s">
        <v>112</v>
      </c>
      <c r="B1056" s="26">
        <f t="shared" ref="B1056:E1056" si="172">round(((B1051/B1050)*100),2)</f>
        <v>90.78</v>
      </c>
      <c r="C1056" s="26">
        <f t="shared" si="172"/>
        <v>89.01</v>
      </c>
      <c r="D1056" s="26">
        <f t="shared" si="172"/>
        <v>87.62</v>
      </c>
      <c r="E1056" s="26">
        <f t="shared" si="172"/>
        <v>90.48</v>
      </c>
      <c r="F1056" s="8"/>
      <c r="G1056" s="12"/>
      <c r="H1056" s="28"/>
      <c r="I1056" s="28"/>
    </row>
    <row r="1057">
      <c r="A1057" s="22" t="s">
        <v>215</v>
      </c>
      <c r="B1057" s="24" t="s">
        <v>411</v>
      </c>
      <c r="C1057" s="24" t="s">
        <v>405</v>
      </c>
      <c r="D1057" s="18"/>
      <c r="E1057" s="18"/>
      <c r="F1057" s="8"/>
      <c r="G1057" s="12"/>
      <c r="H1057" s="28"/>
      <c r="I1057" s="28"/>
    </row>
    <row r="1058">
      <c r="A1058" s="22" t="s">
        <v>100</v>
      </c>
      <c r="B1058" s="24">
        <v>642.0</v>
      </c>
      <c r="C1058" s="24">
        <v>625.0</v>
      </c>
      <c r="D1058" s="24">
        <v>610.0</v>
      </c>
      <c r="E1058" s="24">
        <v>639.0</v>
      </c>
      <c r="F1058" s="8"/>
      <c r="G1058" s="12"/>
      <c r="H1058" s="28"/>
      <c r="I1058" s="28"/>
    </row>
    <row r="1059">
      <c r="A1059" s="25" t="s">
        <v>319</v>
      </c>
      <c r="B1059" s="24">
        <v>2517.0</v>
      </c>
      <c r="C1059" s="24"/>
      <c r="D1059" s="24"/>
      <c r="E1059" s="24"/>
      <c r="F1059" s="8"/>
      <c r="G1059" s="12"/>
      <c r="H1059" s="28"/>
      <c r="I1059" s="28"/>
    </row>
    <row r="1060">
      <c r="A1060" s="22" t="s">
        <v>103</v>
      </c>
      <c r="B1060" s="24" t="s">
        <v>412</v>
      </c>
      <c r="D1060" s="24" t="s">
        <v>413</v>
      </c>
      <c r="F1060" s="8"/>
      <c r="G1060" s="12"/>
      <c r="H1060" s="28"/>
      <c r="I1060" s="28"/>
    </row>
    <row r="1061">
      <c r="A1061" s="22"/>
      <c r="B1061" s="24"/>
      <c r="C1061" s="24"/>
      <c r="D1061" s="24"/>
      <c r="E1061" s="24"/>
      <c r="F1061" s="8"/>
      <c r="G1061" s="12"/>
      <c r="H1061" s="28"/>
      <c r="I1061" s="28"/>
    </row>
    <row r="1062">
      <c r="A1062" s="22"/>
      <c r="B1062" s="24"/>
      <c r="C1062" s="24"/>
      <c r="D1062" s="24" t="s">
        <v>312</v>
      </c>
      <c r="E1062" s="24"/>
      <c r="F1062" s="8"/>
      <c r="G1062" s="12"/>
      <c r="H1062" s="28"/>
      <c r="I1062" s="28"/>
    </row>
    <row r="1063">
      <c r="A1063" s="44" t="s">
        <v>50</v>
      </c>
      <c r="B1063" s="20" t="s">
        <v>414</v>
      </c>
      <c r="F1063" s="8"/>
      <c r="G1063" s="12"/>
      <c r="H1063" s="28"/>
      <c r="I1063" s="28"/>
    </row>
    <row r="1064">
      <c r="B1064" s="21" t="s">
        <v>4</v>
      </c>
      <c r="C1064" s="21" t="s">
        <v>5</v>
      </c>
      <c r="D1064" s="21" t="s">
        <v>6</v>
      </c>
      <c r="E1064" s="21" t="s">
        <v>7</v>
      </c>
      <c r="F1064" s="8"/>
      <c r="G1064" s="12"/>
      <c r="H1064" s="28"/>
      <c r="I1064" s="28"/>
    </row>
    <row r="1065">
      <c r="A1065" s="22" t="s">
        <v>91</v>
      </c>
      <c r="B1065" s="24">
        <v>56.6</v>
      </c>
      <c r="C1065" s="24">
        <v>55.4</v>
      </c>
      <c r="D1065" s="24">
        <v>61.4</v>
      </c>
      <c r="E1065" s="24">
        <v>59.2</v>
      </c>
      <c r="F1065" s="8"/>
      <c r="G1065" s="12"/>
      <c r="H1065" s="28"/>
      <c r="I1065" s="28"/>
    </row>
    <row r="1066">
      <c r="A1066" s="22" t="s">
        <v>92</v>
      </c>
      <c r="B1066" s="24">
        <v>5.0</v>
      </c>
      <c r="C1066" s="24">
        <v>6.0</v>
      </c>
      <c r="D1066" s="24">
        <v>5.0</v>
      </c>
      <c r="E1066" s="24">
        <v>8.0</v>
      </c>
      <c r="F1066" s="8"/>
      <c r="G1066" s="12"/>
      <c r="H1066" s="28"/>
      <c r="I1066" s="28"/>
    </row>
    <row r="1067">
      <c r="A1067" s="22" t="s">
        <v>93</v>
      </c>
      <c r="B1067" s="24">
        <v>21211.0</v>
      </c>
      <c r="C1067" s="24">
        <v>21058.0</v>
      </c>
      <c r="D1067" s="24">
        <v>20881.0</v>
      </c>
      <c r="E1067" s="24">
        <v>21179.0</v>
      </c>
      <c r="F1067" s="8"/>
      <c r="G1067" s="12"/>
      <c r="H1067" s="28"/>
      <c r="I1067" s="28"/>
    </row>
    <row r="1068">
      <c r="A1068" s="22" t="s">
        <v>94</v>
      </c>
      <c r="B1068" s="23">
        <f t="shared" ref="B1068:E1068" si="173">B1075*30</f>
        <v>19230</v>
      </c>
      <c r="C1068" s="23">
        <f t="shared" si="173"/>
        <v>18420</v>
      </c>
      <c r="D1068" s="23">
        <f t="shared" si="173"/>
        <v>17880</v>
      </c>
      <c r="E1068" s="23">
        <f t="shared" si="173"/>
        <v>18990</v>
      </c>
      <c r="F1068" s="8"/>
      <c r="G1068" s="12"/>
      <c r="H1068" s="28"/>
      <c r="I1068" s="28"/>
    </row>
    <row r="1069">
      <c r="A1069" s="22" t="s">
        <v>95</v>
      </c>
      <c r="B1069" s="24">
        <v>11.0</v>
      </c>
      <c r="C1069" s="24">
        <v>12.0</v>
      </c>
      <c r="D1069" s="24">
        <v>24.0</v>
      </c>
      <c r="E1069" s="24">
        <v>12.0</v>
      </c>
      <c r="F1069" s="8"/>
      <c r="G1069" s="12"/>
      <c r="H1069" s="28"/>
      <c r="I1069" s="28"/>
    </row>
    <row r="1070">
      <c r="A1070" s="22" t="s">
        <v>96</v>
      </c>
      <c r="B1070" s="24">
        <v>7.0</v>
      </c>
      <c r="C1070" s="24">
        <v>3.0</v>
      </c>
      <c r="D1070" s="24">
        <v>6.0</v>
      </c>
      <c r="E1070" s="24">
        <v>5.0</v>
      </c>
      <c r="F1070" s="8"/>
      <c r="G1070" s="12"/>
      <c r="H1070" s="28"/>
      <c r="I1070" s="28"/>
    </row>
    <row r="1071">
      <c r="A1071" s="22" t="s">
        <v>111</v>
      </c>
      <c r="B1071" s="24">
        <v>0.0</v>
      </c>
      <c r="C1071" s="24">
        <v>0.0</v>
      </c>
      <c r="D1071" s="24">
        <v>0.0</v>
      </c>
      <c r="E1071" s="24">
        <v>0.0</v>
      </c>
      <c r="F1071" s="8"/>
      <c r="G1071" s="12"/>
      <c r="H1071" s="28"/>
      <c r="I1071" s="28"/>
    </row>
    <row r="1072">
      <c r="A1072" s="22" t="s">
        <v>98</v>
      </c>
      <c r="B1072" s="24">
        <v>1.0</v>
      </c>
      <c r="C1072" s="24">
        <v>1.0</v>
      </c>
      <c r="D1072" s="24">
        <v>1.0</v>
      </c>
      <c r="E1072" s="24">
        <v>1.0</v>
      </c>
      <c r="F1072" s="8"/>
      <c r="G1072" s="12"/>
      <c r="H1072" s="28"/>
      <c r="I1072" s="28"/>
    </row>
    <row r="1073">
      <c r="A1073" s="22" t="s">
        <v>112</v>
      </c>
      <c r="B1073" s="26">
        <f t="shared" ref="B1073:E1073" si="174">round(((B1068/B1067)*100),2)</f>
        <v>90.66</v>
      </c>
      <c r="C1073" s="26">
        <f t="shared" si="174"/>
        <v>87.47</v>
      </c>
      <c r="D1073" s="26">
        <f t="shared" si="174"/>
        <v>85.63</v>
      </c>
      <c r="E1073" s="26">
        <f t="shared" si="174"/>
        <v>89.66</v>
      </c>
      <c r="F1073" s="8"/>
      <c r="G1073" s="12"/>
      <c r="H1073" s="28"/>
      <c r="I1073" s="28"/>
    </row>
    <row r="1074">
      <c r="A1074" s="22" t="s">
        <v>215</v>
      </c>
      <c r="B1074" s="24" t="s">
        <v>415</v>
      </c>
      <c r="C1074" s="24" t="s">
        <v>416</v>
      </c>
      <c r="D1074" s="18"/>
      <c r="E1074" s="18"/>
      <c r="F1074" s="8"/>
      <c r="G1074" s="12"/>
      <c r="H1074" s="28"/>
      <c r="I1074" s="28"/>
    </row>
    <row r="1075">
      <c r="A1075" s="22" t="s">
        <v>100</v>
      </c>
      <c r="B1075" s="24">
        <v>641.0</v>
      </c>
      <c r="C1075" s="24">
        <v>614.0</v>
      </c>
      <c r="D1075" s="24">
        <v>596.0</v>
      </c>
      <c r="E1075" s="24">
        <v>633.0</v>
      </c>
      <c r="F1075" s="8"/>
      <c r="G1075" s="12"/>
      <c r="H1075" s="28"/>
      <c r="I1075" s="28"/>
    </row>
    <row r="1076">
      <c r="A1076" s="25" t="s">
        <v>319</v>
      </c>
      <c r="B1076" s="24">
        <v>2484.0</v>
      </c>
      <c r="C1076" s="24"/>
      <c r="D1076" s="24"/>
      <c r="E1076" s="24"/>
      <c r="F1076" s="8"/>
      <c r="G1076" s="12"/>
      <c r="H1076" s="28"/>
      <c r="I1076" s="28"/>
    </row>
    <row r="1077">
      <c r="A1077" s="22" t="s">
        <v>103</v>
      </c>
      <c r="B1077" s="24" t="s">
        <v>417</v>
      </c>
      <c r="D1077" s="24" t="s">
        <v>418</v>
      </c>
      <c r="F1077" s="8"/>
      <c r="G1077" s="12"/>
      <c r="H1077" s="28"/>
      <c r="I1077" s="28"/>
    </row>
    <row r="1078">
      <c r="A1078" s="22"/>
      <c r="B1078" s="24"/>
      <c r="C1078" s="24"/>
      <c r="D1078" s="24"/>
      <c r="E1078" s="24"/>
      <c r="F1078" s="8"/>
      <c r="G1078" s="12"/>
      <c r="H1078" s="28"/>
      <c r="I1078" s="28"/>
    </row>
    <row r="1079">
      <c r="A1079" s="22"/>
      <c r="B1079" s="24"/>
      <c r="C1079" s="24"/>
      <c r="D1079" s="24"/>
      <c r="E1079" s="24"/>
      <c r="F1079" s="8"/>
      <c r="G1079" s="12"/>
      <c r="H1079" s="28"/>
      <c r="I1079" s="28"/>
    </row>
    <row r="1080">
      <c r="A1080" s="44" t="s">
        <v>50</v>
      </c>
      <c r="B1080" s="20" t="s">
        <v>419</v>
      </c>
      <c r="F1080" s="8"/>
      <c r="G1080" s="12"/>
      <c r="H1080" s="28"/>
      <c r="I1080" s="28"/>
    </row>
    <row r="1081">
      <c r="B1081" s="21" t="s">
        <v>4</v>
      </c>
      <c r="C1081" s="21" t="s">
        <v>5</v>
      </c>
      <c r="D1081" s="21" t="s">
        <v>6</v>
      </c>
      <c r="E1081" s="21" t="s">
        <v>7</v>
      </c>
      <c r="F1081" s="8"/>
      <c r="G1081" s="11" t="s">
        <v>420</v>
      </c>
      <c r="H1081" s="28"/>
      <c r="I1081" s="28"/>
    </row>
    <row r="1082">
      <c r="A1082" s="22" t="s">
        <v>91</v>
      </c>
      <c r="B1082" s="24">
        <v>56.7</v>
      </c>
      <c r="C1082" s="24">
        <v>55.5</v>
      </c>
      <c r="D1082" s="24">
        <v>61.5</v>
      </c>
      <c r="E1082" s="24">
        <v>59.3</v>
      </c>
      <c r="F1082" s="8"/>
      <c r="G1082" s="11" t="s">
        <v>421</v>
      </c>
      <c r="H1082" s="28"/>
      <c r="I1082" s="28"/>
    </row>
    <row r="1083">
      <c r="A1083" s="22" t="s">
        <v>92</v>
      </c>
      <c r="B1083" s="24">
        <v>1.0</v>
      </c>
      <c r="C1083" s="24">
        <v>2.0</v>
      </c>
      <c r="D1083" s="24">
        <v>7.0</v>
      </c>
      <c r="E1083" s="24">
        <v>3.0</v>
      </c>
      <c r="F1083" s="8"/>
      <c r="G1083" s="12"/>
      <c r="H1083" s="28"/>
      <c r="I1083" s="28"/>
    </row>
    <row r="1084">
      <c r="A1084" s="22" t="s">
        <v>93</v>
      </c>
      <c r="B1084" s="24">
        <v>21210.0</v>
      </c>
      <c r="C1084" s="24">
        <v>21056.0</v>
      </c>
      <c r="D1084" s="24">
        <v>20874.0</v>
      </c>
      <c r="E1084" s="24">
        <v>21176.0</v>
      </c>
      <c r="F1084" s="8"/>
      <c r="G1084" s="12"/>
      <c r="H1084" s="28"/>
      <c r="I1084" s="28"/>
    </row>
    <row r="1085">
      <c r="A1085" s="22" t="s">
        <v>94</v>
      </c>
      <c r="B1085" s="23">
        <f t="shared" ref="B1085:E1085" si="175">B1092*30</f>
        <v>19140</v>
      </c>
      <c r="C1085" s="23">
        <f t="shared" si="175"/>
        <v>18870</v>
      </c>
      <c r="D1085" s="23">
        <f t="shared" si="175"/>
        <v>18210</v>
      </c>
      <c r="E1085" s="23">
        <f t="shared" si="175"/>
        <v>19260</v>
      </c>
      <c r="F1085" s="8"/>
      <c r="G1085" s="12"/>
      <c r="H1085" s="28"/>
      <c r="I1085" s="28"/>
    </row>
    <row r="1086">
      <c r="A1086" s="22" t="s">
        <v>95</v>
      </c>
      <c r="B1086" s="24">
        <v>11.0</v>
      </c>
      <c r="C1086" s="24">
        <v>22.0</v>
      </c>
      <c r="D1086" s="24">
        <v>29.0</v>
      </c>
      <c r="E1086" s="24">
        <v>18.0</v>
      </c>
      <c r="F1086" s="8"/>
      <c r="G1086" s="12"/>
      <c r="H1086" s="28"/>
      <c r="I1086" s="28"/>
    </row>
    <row r="1087">
      <c r="A1087" s="22" t="s">
        <v>96</v>
      </c>
      <c r="B1087" s="24">
        <v>8.0</v>
      </c>
      <c r="C1087" s="24">
        <v>12.0</v>
      </c>
      <c r="D1087" s="24">
        <v>10.0</v>
      </c>
      <c r="E1087" s="24">
        <v>3.0</v>
      </c>
      <c r="F1087" s="8"/>
      <c r="G1087" s="12"/>
      <c r="H1087" s="28"/>
      <c r="I1087" s="28"/>
    </row>
    <row r="1088">
      <c r="A1088" s="22" t="s">
        <v>111</v>
      </c>
      <c r="B1088" s="24">
        <v>0.0</v>
      </c>
      <c r="C1088" s="24">
        <v>0.0</v>
      </c>
      <c r="D1088" s="24">
        <v>0.0</v>
      </c>
      <c r="E1088" s="24">
        <v>0.0</v>
      </c>
      <c r="F1088" s="8"/>
      <c r="G1088" s="12"/>
      <c r="H1088" s="28"/>
      <c r="I1088" s="28"/>
    </row>
    <row r="1089">
      <c r="A1089" s="22" t="s">
        <v>98</v>
      </c>
      <c r="B1089" s="24">
        <v>1.0</v>
      </c>
      <c r="C1089" s="24">
        <v>1.0</v>
      </c>
      <c r="D1089" s="24">
        <v>1.0</v>
      </c>
      <c r="E1089" s="24">
        <v>2.0</v>
      </c>
      <c r="F1089" s="8"/>
      <c r="G1089" s="12"/>
      <c r="H1089" s="28"/>
      <c r="I1089" s="28"/>
    </row>
    <row r="1090">
      <c r="A1090" s="22" t="s">
        <v>112</v>
      </c>
      <c r="B1090" s="26">
        <f t="shared" ref="B1090:E1090" si="176">round(((B1085/B1084)*100),2)</f>
        <v>90.24</v>
      </c>
      <c r="C1090" s="26">
        <f t="shared" si="176"/>
        <v>89.62</v>
      </c>
      <c r="D1090" s="26">
        <f t="shared" si="176"/>
        <v>87.24</v>
      </c>
      <c r="E1090" s="26">
        <f t="shared" si="176"/>
        <v>90.95</v>
      </c>
      <c r="F1090" s="8"/>
      <c r="G1090" s="12"/>
      <c r="H1090" s="28"/>
      <c r="I1090" s="28"/>
    </row>
    <row r="1091">
      <c r="A1091" s="22" t="s">
        <v>215</v>
      </c>
      <c r="B1091" s="24" t="s">
        <v>411</v>
      </c>
      <c r="C1091" s="24" t="s">
        <v>422</v>
      </c>
      <c r="D1091" s="18"/>
      <c r="E1091" s="18"/>
      <c r="F1091" s="8"/>
      <c r="G1091" s="12"/>
      <c r="H1091" s="28"/>
      <c r="I1091" s="28"/>
    </row>
    <row r="1092">
      <c r="A1092" s="22" t="s">
        <v>100</v>
      </c>
      <c r="B1092" s="24">
        <v>638.0</v>
      </c>
      <c r="C1092" s="24">
        <v>629.0</v>
      </c>
      <c r="D1092" s="24">
        <v>607.0</v>
      </c>
      <c r="E1092" s="24">
        <v>642.0</v>
      </c>
      <c r="F1092" s="8"/>
      <c r="G1092" s="12"/>
      <c r="H1092" s="28"/>
      <c r="I1092" s="28"/>
    </row>
    <row r="1093">
      <c r="A1093" s="25" t="s">
        <v>319</v>
      </c>
      <c r="B1093" s="24">
        <v>2518.0</v>
      </c>
      <c r="C1093" s="24"/>
      <c r="D1093" s="24"/>
      <c r="E1093" s="24"/>
      <c r="F1093" s="8"/>
      <c r="G1093" s="12"/>
      <c r="H1093" s="28"/>
      <c r="I1093" s="28"/>
    </row>
    <row r="1094">
      <c r="A1094" s="22" t="s">
        <v>103</v>
      </c>
      <c r="B1094" s="24" t="s">
        <v>423</v>
      </c>
      <c r="D1094" s="24">
        <v>445.0</v>
      </c>
      <c r="F1094" s="8"/>
      <c r="G1094" s="12"/>
      <c r="H1094" s="28"/>
      <c r="I1094" s="28"/>
    </row>
    <row r="1095">
      <c r="A1095" s="22"/>
      <c r="B1095" s="24"/>
      <c r="C1095" s="24"/>
      <c r="D1095" s="24"/>
      <c r="E1095" s="24"/>
      <c r="F1095" s="8"/>
      <c r="G1095" s="12"/>
      <c r="H1095" s="28"/>
      <c r="I1095" s="28"/>
    </row>
    <row r="1096">
      <c r="A1096" s="22"/>
      <c r="B1096" s="24"/>
      <c r="C1096" s="24"/>
      <c r="D1096" s="24"/>
      <c r="E1096" s="24"/>
      <c r="F1096" s="8"/>
      <c r="G1096" s="12"/>
      <c r="H1096" s="28"/>
      <c r="I1096" s="28"/>
    </row>
    <row r="1097">
      <c r="A1097" s="44" t="s">
        <v>50</v>
      </c>
      <c r="B1097" s="20" t="s">
        <v>424</v>
      </c>
      <c r="F1097" s="8"/>
      <c r="G1097" s="12"/>
      <c r="H1097" s="28"/>
      <c r="I1097" s="28"/>
    </row>
    <row r="1098">
      <c r="B1098" s="21" t="s">
        <v>4</v>
      </c>
      <c r="C1098" s="21" t="s">
        <v>5</v>
      </c>
      <c r="D1098" s="21" t="s">
        <v>6</v>
      </c>
      <c r="E1098" s="21" t="s">
        <v>7</v>
      </c>
      <c r="F1098" s="8"/>
      <c r="G1098" s="12"/>
      <c r="H1098" s="28"/>
      <c r="I1098" s="28"/>
    </row>
    <row r="1099">
      <c r="A1099" s="22" t="s">
        <v>91</v>
      </c>
      <c r="B1099" s="24">
        <v>57.1</v>
      </c>
      <c r="C1099" s="24">
        <v>55.6</v>
      </c>
      <c r="D1099" s="24">
        <v>61.6</v>
      </c>
      <c r="E1099" s="24">
        <v>59.4</v>
      </c>
      <c r="F1099" s="8"/>
      <c r="G1099" s="11" t="s">
        <v>425</v>
      </c>
      <c r="H1099" s="28"/>
      <c r="I1099" s="28"/>
    </row>
    <row r="1100">
      <c r="A1100" s="22" t="s">
        <v>92</v>
      </c>
      <c r="B1100" s="24">
        <v>6.0</v>
      </c>
      <c r="C1100" s="24">
        <v>9.0</v>
      </c>
      <c r="D1100" s="24">
        <v>3.0</v>
      </c>
      <c r="E1100" s="24">
        <v>7.0</v>
      </c>
      <c r="F1100" s="8"/>
      <c r="G1100" s="12"/>
      <c r="H1100" s="28"/>
      <c r="I1100" s="28"/>
    </row>
    <row r="1101">
      <c r="A1101" s="22" t="s">
        <v>93</v>
      </c>
      <c r="B1101" s="24">
        <v>21204.0</v>
      </c>
      <c r="C1101" s="24">
        <v>21047.0</v>
      </c>
      <c r="D1101" s="24">
        <v>20871.0</v>
      </c>
      <c r="E1101" s="24">
        <v>21169.0</v>
      </c>
      <c r="F1101" s="8"/>
      <c r="G1101" s="12"/>
      <c r="H1101" s="28"/>
      <c r="I1101" s="28"/>
    </row>
    <row r="1102">
      <c r="A1102" s="22" t="s">
        <v>94</v>
      </c>
      <c r="B1102" s="23">
        <f t="shared" ref="B1102:E1102" si="177">B1109*30</f>
        <v>19380</v>
      </c>
      <c r="C1102" s="23">
        <f t="shared" si="177"/>
        <v>19110</v>
      </c>
      <c r="D1102" s="23">
        <f t="shared" si="177"/>
        <v>18060</v>
      </c>
      <c r="E1102" s="23">
        <f t="shared" si="177"/>
        <v>19110</v>
      </c>
      <c r="F1102" s="8"/>
      <c r="G1102" s="12"/>
      <c r="H1102" s="28"/>
      <c r="I1102" s="28"/>
    </row>
    <row r="1103">
      <c r="A1103" s="22" t="s">
        <v>95</v>
      </c>
      <c r="B1103" s="24">
        <v>13.0</v>
      </c>
      <c r="C1103" s="24">
        <v>24.0</v>
      </c>
      <c r="D1103" s="24">
        <v>18.0</v>
      </c>
      <c r="E1103" s="24">
        <v>10.0</v>
      </c>
      <c r="F1103" s="8"/>
      <c r="G1103" s="12"/>
      <c r="H1103" s="28"/>
      <c r="I1103" s="28"/>
    </row>
    <row r="1104">
      <c r="A1104" s="22" t="s">
        <v>96</v>
      </c>
      <c r="B1104" s="24">
        <v>7.0</v>
      </c>
      <c r="C1104" s="24">
        <v>6.0</v>
      </c>
      <c r="D1104" s="24">
        <v>7.0</v>
      </c>
      <c r="E1104" s="24">
        <v>6.0</v>
      </c>
      <c r="F1104" s="8"/>
      <c r="G1104" s="12"/>
      <c r="H1104" s="28"/>
      <c r="I1104" s="28"/>
    </row>
    <row r="1105">
      <c r="A1105" s="22" t="s">
        <v>111</v>
      </c>
      <c r="B1105" s="24" t="s">
        <v>210</v>
      </c>
      <c r="C1105" s="24" t="s">
        <v>210</v>
      </c>
      <c r="D1105" s="24" t="s">
        <v>210</v>
      </c>
      <c r="E1105" s="24" t="s">
        <v>210</v>
      </c>
      <c r="F1105" s="8"/>
      <c r="G1105" s="12"/>
      <c r="H1105" s="28"/>
      <c r="I1105" s="28"/>
    </row>
    <row r="1106">
      <c r="A1106" s="22" t="s">
        <v>98</v>
      </c>
      <c r="B1106" s="24">
        <v>1.0</v>
      </c>
      <c r="C1106" s="24">
        <v>1.0</v>
      </c>
      <c r="D1106" s="24" t="s">
        <v>337</v>
      </c>
      <c r="E1106" s="24">
        <v>1.0</v>
      </c>
      <c r="F1106" s="8"/>
      <c r="G1106" s="12"/>
      <c r="H1106" s="28"/>
      <c r="I1106" s="28"/>
    </row>
    <row r="1107">
      <c r="A1107" s="22" t="s">
        <v>112</v>
      </c>
      <c r="B1107" s="26">
        <f t="shared" ref="B1107:E1107" si="178">round(((B1102/B1101)*100),2)</f>
        <v>91.4</v>
      </c>
      <c r="C1107" s="26">
        <f t="shared" si="178"/>
        <v>90.8</v>
      </c>
      <c r="D1107" s="26">
        <f t="shared" si="178"/>
        <v>86.53</v>
      </c>
      <c r="E1107" s="26">
        <f t="shared" si="178"/>
        <v>90.27</v>
      </c>
      <c r="F1107" s="8"/>
      <c r="G1107" s="12"/>
      <c r="H1107" s="28"/>
      <c r="I1107" s="28"/>
    </row>
    <row r="1108">
      <c r="A1108" s="22" t="s">
        <v>215</v>
      </c>
      <c r="B1108" s="24" t="s">
        <v>426</v>
      </c>
      <c r="C1108" s="24" t="s">
        <v>427</v>
      </c>
      <c r="D1108" s="18"/>
      <c r="E1108" s="18"/>
      <c r="F1108" s="8"/>
      <c r="G1108" s="12"/>
      <c r="H1108" s="28"/>
      <c r="I1108" s="28"/>
    </row>
    <row r="1109">
      <c r="A1109" s="22" t="s">
        <v>100</v>
      </c>
      <c r="B1109" s="24">
        <v>646.0</v>
      </c>
      <c r="C1109" s="24">
        <v>637.0</v>
      </c>
      <c r="D1109" s="24">
        <v>602.0</v>
      </c>
      <c r="E1109" s="24">
        <v>637.0</v>
      </c>
      <c r="F1109" s="8"/>
      <c r="G1109" s="12"/>
      <c r="H1109" s="28"/>
      <c r="I1109" s="28"/>
    </row>
    <row r="1110">
      <c r="A1110" s="25" t="s">
        <v>319</v>
      </c>
      <c r="B1110" s="24">
        <v>2523.0</v>
      </c>
      <c r="C1110" s="24"/>
      <c r="D1110" s="24"/>
      <c r="E1110" s="24"/>
      <c r="F1110" s="8"/>
      <c r="G1110" s="12"/>
      <c r="H1110" s="28"/>
      <c r="I1110" s="28"/>
    </row>
    <row r="1111">
      <c r="A1111" s="22" t="s">
        <v>103</v>
      </c>
      <c r="B1111" s="24" t="s">
        <v>428</v>
      </c>
      <c r="D1111" s="24">
        <v>233.0</v>
      </c>
      <c r="F1111" s="8"/>
      <c r="G1111" s="12"/>
      <c r="H1111" s="28"/>
      <c r="I1111" s="28"/>
    </row>
    <row r="1112">
      <c r="A1112" s="22"/>
      <c r="B1112" s="24"/>
      <c r="C1112" s="24"/>
      <c r="D1112" s="24"/>
      <c r="E1112" s="24"/>
      <c r="F1112" s="8"/>
      <c r="G1112" s="12"/>
      <c r="H1112" s="28"/>
      <c r="I1112" s="28"/>
    </row>
    <row r="1113">
      <c r="A1113" s="22"/>
      <c r="B1113" s="24"/>
      <c r="C1113" s="24"/>
      <c r="D1113" s="24"/>
      <c r="E1113" s="24"/>
      <c r="F1113" s="8"/>
      <c r="G1113" s="12"/>
      <c r="H1113" s="28"/>
      <c r="I1113" s="28"/>
    </row>
    <row r="1114">
      <c r="A1114" s="44" t="s">
        <v>50</v>
      </c>
      <c r="B1114" s="20" t="s">
        <v>429</v>
      </c>
      <c r="F1114" s="8"/>
      <c r="G1114" s="12"/>
      <c r="H1114" s="28"/>
      <c r="I1114" s="28"/>
    </row>
    <row r="1115">
      <c r="B1115" s="21" t="s">
        <v>4</v>
      </c>
      <c r="C1115" s="21" t="s">
        <v>5</v>
      </c>
      <c r="D1115" s="21" t="s">
        <v>6</v>
      </c>
      <c r="E1115" s="21" t="s">
        <v>7</v>
      </c>
      <c r="F1115" s="8"/>
      <c r="G1115" s="12"/>
      <c r="H1115" s="28"/>
      <c r="I1115" s="28"/>
    </row>
    <row r="1116">
      <c r="A1116" s="22" t="s">
        <v>91</v>
      </c>
      <c r="B1116" s="24">
        <v>57.2</v>
      </c>
      <c r="C1116" s="24">
        <v>55.7</v>
      </c>
      <c r="D1116" s="24">
        <v>61.7</v>
      </c>
      <c r="E1116" s="24">
        <v>59.5</v>
      </c>
      <c r="F1116" s="8"/>
      <c r="G1116" s="12"/>
      <c r="H1116" s="28"/>
      <c r="I1116" s="28"/>
    </row>
    <row r="1117">
      <c r="A1117" s="22" t="s">
        <v>92</v>
      </c>
      <c r="B1117" s="24">
        <v>3.0</v>
      </c>
      <c r="C1117" s="24">
        <v>6.0</v>
      </c>
      <c r="D1117" s="24">
        <v>1.0</v>
      </c>
      <c r="E1117" s="24">
        <v>6.0</v>
      </c>
      <c r="F1117" s="8"/>
      <c r="G1117" s="11" t="s">
        <v>385</v>
      </c>
      <c r="H1117" s="28"/>
      <c r="I1117" s="28"/>
    </row>
    <row r="1118">
      <c r="A1118" s="22" t="s">
        <v>93</v>
      </c>
      <c r="B1118" s="24">
        <v>21201.0</v>
      </c>
      <c r="C1118" s="24">
        <v>21041.0</v>
      </c>
      <c r="D1118" s="24">
        <v>20870.0</v>
      </c>
      <c r="E1118" s="24">
        <v>21163.0</v>
      </c>
      <c r="F1118" s="8"/>
      <c r="G1118" s="12"/>
      <c r="H1118" s="28"/>
      <c r="I1118" s="28"/>
    </row>
    <row r="1119">
      <c r="A1119" s="22" t="s">
        <v>94</v>
      </c>
      <c r="B1119" s="23">
        <f t="shared" ref="B1119:E1119" si="179">B1126*30</f>
        <v>19380</v>
      </c>
      <c r="C1119" s="23">
        <f t="shared" si="179"/>
        <v>18780</v>
      </c>
      <c r="D1119" s="23">
        <f t="shared" si="179"/>
        <v>18270</v>
      </c>
      <c r="E1119" s="23">
        <f t="shared" si="179"/>
        <v>18690</v>
      </c>
      <c r="F1119" s="8"/>
      <c r="G1119" s="12"/>
      <c r="H1119" s="28"/>
      <c r="I1119" s="28"/>
    </row>
    <row r="1120">
      <c r="A1120" s="22" t="s">
        <v>95</v>
      </c>
      <c r="B1120" s="24">
        <v>8.0</v>
      </c>
      <c r="C1120" s="24">
        <v>16.0</v>
      </c>
      <c r="D1120" s="24">
        <v>18.0</v>
      </c>
      <c r="E1120" s="24">
        <v>15.0</v>
      </c>
      <c r="F1120" s="8"/>
      <c r="G1120" s="12"/>
      <c r="H1120" s="28"/>
      <c r="I1120" s="28"/>
    </row>
    <row r="1121">
      <c r="A1121" s="22" t="s">
        <v>96</v>
      </c>
      <c r="B1121" s="24">
        <v>6.0</v>
      </c>
      <c r="C1121" s="24">
        <v>4.0</v>
      </c>
      <c r="D1121" s="24">
        <v>9.0</v>
      </c>
      <c r="E1121" s="24">
        <v>8.0</v>
      </c>
      <c r="F1121" s="8"/>
      <c r="G1121" s="12"/>
      <c r="H1121" s="28"/>
      <c r="I1121" s="28"/>
    </row>
    <row r="1122">
      <c r="A1122" s="22" t="s">
        <v>111</v>
      </c>
      <c r="B1122" s="24">
        <v>0.0</v>
      </c>
      <c r="C1122" s="24">
        <v>0.0</v>
      </c>
      <c r="D1122" s="24">
        <v>0.0</v>
      </c>
      <c r="E1122" s="24">
        <v>0.0</v>
      </c>
      <c r="F1122" s="8"/>
      <c r="G1122" s="12"/>
      <c r="H1122" s="28"/>
      <c r="I1122" s="28"/>
    </row>
    <row r="1123">
      <c r="A1123" s="22" t="s">
        <v>98</v>
      </c>
      <c r="B1123" s="24">
        <v>1.0</v>
      </c>
      <c r="C1123" s="24">
        <v>1.0</v>
      </c>
      <c r="D1123" s="24" t="s">
        <v>430</v>
      </c>
      <c r="E1123" s="24">
        <v>1.0</v>
      </c>
      <c r="F1123" s="8"/>
      <c r="G1123" s="12"/>
      <c r="H1123" s="28"/>
      <c r="I1123" s="28"/>
    </row>
    <row r="1124">
      <c r="A1124" s="22" t="s">
        <v>112</v>
      </c>
      <c r="B1124" s="26">
        <f t="shared" ref="B1124:E1124" si="180">round(((B1119/B1118)*100),2)</f>
        <v>91.41</v>
      </c>
      <c r="C1124" s="26">
        <f t="shared" si="180"/>
        <v>89.25</v>
      </c>
      <c r="D1124" s="26">
        <f t="shared" si="180"/>
        <v>87.54</v>
      </c>
      <c r="E1124" s="26">
        <f t="shared" si="180"/>
        <v>88.31</v>
      </c>
      <c r="F1124" s="8"/>
      <c r="G1124" s="12"/>
      <c r="H1124" s="28"/>
      <c r="I1124" s="28"/>
    </row>
    <row r="1125">
      <c r="A1125" s="22" t="s">
        <v>215</v>
      </c>
      <c r="B1125" s="24" t="s">
        <v>411</v>
      </c>
      <c r="C1125" s="24">
        <v>42.0</v>
      </c>
      <c r="D1125" s="18"/>
      <c r="E1125" s="18"/>
      <c r="F1125" s="8"/>
      <c r="G1125" s="12"/>
      <c r="H1125" s="28"/>
      <c r="I1125" s="28"/>
    </row>
    <row r="1126">
      <c r="A1126" s="22" t="s">
        <v>100</v>
      </c>
      <c r="B1126" s="24">
        <v>646.0</v>
      </c>
      <c r="C1126" s="24">
        <v>626.0</v>
      </c>
      <c r="D1126" s="24">
        <v>609.0</v>
      </c>
      <c r="E1126" s="24">
        <v>623.0</v>
      </c>
      <c r="F1126" s="8"/>
      <c r="G1126" s="12"/>
      <c r="H1126" s="28"/>
      <c r="I1126" s="28"/>
    </row>
    <row r="1127">
      <c r="A1127" s="25" t="s">
        <v>319</v>
      </c>
      <c r="B1127" s="24">
        <v>2505.0</v>
      </c>
      <c r="C1127" s="24"/>
      <c r="D1127" s="24"/>
      <c r="E1127" s="24"/>
      <c r="F1127" s="8"/>
      <c r="G1127" s="12"/>
      <c r="H1127" s="28"/>
      <c r="I1127" s="28"/>
    </row>
    <row r="1128">
      <c r="A1128" s="22" t="s">
        <v>103</v>
      </c>
      <c r="B1128" s="24" t="s">
        <v>431</v>
      </c>
      <c r="D1128" s="24">
        <v>232.0</v>
      </c>
      <c r="F1128" s="8"/>
      <c r="G1128" s="12"/>
      <c r="H1128" s="28"/>
      <c r="I1128" s="28"/>
    </row>
    <row r="1129">
      <c r="A1129" s="22"/>
      <c r="B1129" s="24"/>
      <c r="C1129" s="24"/>
      <c r="D1129" s="24"/>
      <c r="E1129" s="24"/>
      <c r="F1129" s="8"/>
      <c r="G1129" s="12"/>
      <c r="H1129" s="28"/>
      <c r="I1129" s="28"/>
    </row>
    <row r="1130">
      <c r="A1130" s="22"/>
      <c r="B1130" s="24"/>
      <c r="C1130" s="24"/>
      <c r="D1130" s="24"/>
      <c r="E1130" s="24"/>
      <c r="F1130" s="8"/>
      <c r="G1130" s="12"/>
      <c r="H1130" s="28"/>
      <c r="I1130" s="28"/>
    </row>
    <row r="1131">
      <c r="A1131" s="44" t="s">
        <v>50</v>
      </c>
      <c r="B1131" s="20" t="s">
        <v>432</v>
      </c>
      <c r="F1131" s="8"/>
      <c r="G1131" s="12"/>
      <c r="H1131" s="28"/>
      <c r="I1131" s="28"/>
    </row>
    <row r="1132">
      <c r="B1132" s="21" t="s">
        <v>4</v>
      </c>
      <c r="C1132" s="21" t="s">
        <v>5</v>
      </c>
      <c r="D1132" s="21" t="s">
        <v>6</v>
      </c>
      <c r="E1132" s="21" t="s">
        <v>7</v>
      </c>
      <c r="F1132" s="8"/>
      <c r="G1132" s="12"/>
      <c r="H1132" s="28"/>
      <c r="I1132" s="28"/>
    </row>
    <row r="1133">
      <c r="A1133" s="22" t="s">
        <v>91</v>
      </c>
      <c r="B1133" s="24">
        <v>57.3</v>
      </c>
      <c r="C1133" s="24">
        <v>56.1</v>
      </c>
      <c r="D1133" s="24">
        <v>62.1</v>
      </c>
      <c r="E1133" s="24">
        <v>59.6</v>
      </c>
      <c r="F1133" s="8"/>
      <c r="G1133" s="12"/>
      <c r="H1133" s="28"/>
      <c r="I1133" s="28"/>
    </row>
    <row r="1134">
      <c r="A1134" s="22" t="s">
        <v>92</v>
      </c>
      <c r="B1134" s="24">
        <v>1.0</v>
      </c>
      <c r="C1134" s="24">
        <v>4.0</v>
      </c>
      <c r="D1134" s="24">
        <v>3.0</v>
      </c>
      <c r="E1134" s="24">
        <v>7.0</v>
      </c>
      <c r="F1134" s="8"/>
      <c r="G1134" s="12"/>
      <c r="H1134" s="28"/>
      <c r="I1134" s="28"/>
    </row>
    <row r="1135">
      <c r="A1135" s="22" t="s">
        <v>93</v>
      </c>
      <c r="B1135" s="24">
        <v>21200.0</v>
      </c>
      <c r="C1135" s="24">
        <v>21037.0</v>
      </c>
      <c r="D1135" s="24">
        <v>20867.0</v>
      </c>
      <c r="E1135" s="24">
        <v>21156.0</v>
      </c>
      <c r="F1135" s="8"/>
      <c r="G1135" s="12"/>
      <c r="H1135" s="28"/>
      <c r="I1135" s="28"/>
    </row>
    <row r="1136">
      <c r="A1136" s="22" t="s">
        <v>94</v>
      </c>
      <c r="B1136" s="23">
        <f t="shared" ref="B1136:E1136" si="181">B1143*30</f>
        <v>19050</v>
      </c>
      <c r="C1136" s="23">
        <f t="shared" si="181"/>
        <v>19020</v>
      </c>
      <c r="D1136" s="23">
        <f t="shared" si="181"/>
        <v>18510</v>
      </c>
      <c r="E1136" s="23">
        <f t="shared" si="181"/>
        <v>19170</v>
      </c>
      <c r="F1136" s="8"/>
      <c r="G1136" s="12"/>
      <c r="H1136" s="28"/>
      <c r="I1136" s="28"/>
    </row>
    <row r="1137">
      <c r="A1137" s="22" t="s">
        <v>95</v>
      </c>
      <c r="B1137" s="24">
        <v>15.0</v>
      </c>
      <c r="C1137" s="24">
        <v>20.0</v>
      </c>
      <c r="D1137" s="24">
        <v>11.0</v>
      </c>
      <c r="E1137" s="24">
        <v>8.0</v>
      </c>
      <c r="F1137" s="8"/>
      <c r="G1137" s="12"/>
      <c r="H1137" s="28"/>
      <c r="I1137" s="28"/>
    </row>
    <row r="1138">
      <c r="A1138" s="22" t="s">
        <v>96</v>
      </c>
      <c r="B1138" s="24">
        <v>3.0</v>
      </c>
      <c r="C1138" s="24">
        <v>6.0</v>
      </c>
      <c r="D1138" s="24">
        <v>4.0</v>
      </c>
      <c r="E1138" s="24">
        <v>8.0</v>
      </c>
      <c r="F1138" s="8"/>
      <c r="G1138" s="12"/>
      <c r="H1138" s="28"/>
      <c r="I1138" s="28"/>
    </row>
    <row r="1139">
      <c r="A1139" s="22" t="s">
        <v>111</v>
      </c>
      <c r="B1139" s="24" t="s">
        <v>370</v>
      </c>
      <c r="C1139" s="24" t="s">
        <v>370</v>
      </c>
      <c r="D1139" s="24" t="s">
        <v>370</v>
      </c>
      <c r="E1139" s="24" t="s">
        <v>370</v>
      </c>
      <c r="F1139" s="8"/>
      <c r="G1139" s="12"/>
      <c r="H1139" s="28"/>
      <c r="I1139" s="28"/>
    </row>
    <row r="1140">
      <c r="A1140" s="22" t="s">
        <v>98</v>
      </c>
      <c r="B1140" s="24">
        <v>1.0</v>
      </c>
      <c r="C1140" s="24">
        <v>1.0</v>
      </c>
      <c r="D1140" s="24">
        <v>1.0</v>
      </c>
      <c r="E1140" s="24">
        <v>1.0</v>
      </c>
      <c r="F1140" s="8"/>
      <c r="G1140" s="12"/>
      <c r="H1140" s="28"/>
      <c r="I1140" s="28"/>
    </row>
    <row r="1141">
      <c r="A1141" s="22" t="s">
        <v>112</v>
      </c>
      <c r="B1141" s="26">
        <f t="shared" ref="B1141:E1141" si="182">round(((B1136/B1135)*100),2)</f>
        <v>89.86</v>
      </c>
      <c r="C1141" s="26">
        <f t="shared" si="182"/>
        <v>90.41</v>
      </c>
      <c r="D1141" s="26">
        <f t="shared" si="182"/>
        <v>88.7</v>
      </c>
      <c r="E1141" s="26">
        <f t="shared" si="182"/>
        <v>90.61</v>
      </c>
      <c r="F1141" s="8"/>
      <c r="G1141" s="12"/>
      <c r="H1141" s="28"/>
      <c r="I1141" s="28"/>
    </row>
    <row r="1142">
      <c r="A1142" s="22" t="s">
        <v>215</v>
      </c>
      <c r="B1142" s="24" t="s">
        <v>426</v>
      </c>
      <c r="C1142" s="24" t="s">
        <v>237</v>
      </c>
      <c r="D1142" s="18"/>
      <c r="E1142" s="18"/>
      <c r="F1142" s="8"/>
      <c r="G1142" s="12"/>
      <c r="H1142" s="28"/>
      <c r="I1142" s="28"/>
    </row>
    <row r="1143">
      <c r="A1143" s="22" t="s">
        <v>100</v>
      </c>
      <c r="B1143" s="24">
        <v>635.0</v>
      </c>
      <c r="C1143" s="24">
        <v>634.0</v>
      </c>
      <c r="D1143" s="24">
        <v>617.0</v>
      </c>
      <c r="E1143" s="24">
        <v>639.0</v>
      </c>
      <c r="F1143" s="8"/>
      <c r="G1143" s="12"/>
      <c r="H1143" s="28"/>
      <c r="I1143" s="28"/>
    </row>
    <row r="1144">
      <c r="A1144" s="25" t="s">
        <v>319</v>
      </c>
      <c r="B1144" s="24">
        <v>2526.0</v>
      </c>
      <c r="C1144" s="24"/>
      <c r="D1144" s="24"/>
      <c r="E1144" s="24"/>
      <c r="F1144" s="8"/>
      <c r="G1144" s="12"/>
      <c r="H1144" s="28"/>
      <c r="I1144" s="28"/>
    </row>
    <row r="1145">
      <c r="A1145" s="22" t="s">
        <v>103</v>
      </c>
      <c r="B1145" s="24" t="s">
        <v>433</v>
      </c>
      <c r="D1145" s="24" t="s">
        <v>434</v>
      </c>
      <c r="F1145" s="8"/>
      <c r="G1145" s="12"/>
      <c r="H1145" s="28"/>
      <c r="I1145" s="28"/>
    </row>
    <row r="1146">
      <c r="A1146" s="22"/>
      <c r="B1146" s="24"/>
      <c r="C1146" s="24"/>
      <c r="D1146" s="24"/>
      <c r="E1146" s="24"/>
      <c r="F1146" s="8"/>
      <c r="G1146" s="12"/>
      <c r="H1146" s="28"/>
      <c r="I1146" s="28"/>
    </row>
    <row r="1147">
      <c r="A1147" s="22"/>
      <c r="B1147" s="24"/>
      <c r="C1147" s="24"/>
      <c r="D1147" s="24"/>
      <c r="E1147" s="24"/>
      <c r="F1147" s="8"/>
      <c r="G1147" s="12"/>
      <c r="H1147" s="28"/>
      <c r="I1147" s="28"/>
    </row>
    <row r="1148">
      <c r="A1148" s="44" t="s">
        <v>50</v>
      </c>
      <c r="B1148" s="20" t="s">
        <v>435</v>
      </c>
      <c r="F1148" s="8"/>
      <c r="G1148" s="12"/>
      <c r="H1148" s="28"/>
      <c r="I1148" s="28"/>
    </row>
    <row r="1149">
      <c r="B1149" s="21" t="s">
        <v>4</v>
      </c>
      <c r="C1149" s="21" t="s">
        <v>5</v>
      </c>
      <c r="D1149" s="21" t="s">
        <v>6</v>
      </c>
      <c r="E1149" s="21" t="s">
        <v>7</v>
      </c>
      <c r="F1149" s="8"/>
      <c r="G1149" s="11" t="s">
        <v>404</v>
      </c>
      <c r="H1149" s="28"/>
      <c r="I1149" s="28"/>
    </row>
    <row r="1150">
      <c r="A1150" s="22" t="s">
        <v>91</v>
      </c>
      <c r="B1150" s="24">
        <v>57.4</v>
      </c>
      <c r="C1150" s="24">
        <v>56.2</v>
      </c>
      <c r="D1150" s="24">
        <v>62.2</v>
      </c>
      <c r="E1150" s="24">
        <v>59.7</v>
      </c>
      <c r="F1150" s="8"/>
      <c r="G1150" s="11" t="s">
        <v>436</v>
      </c>
      <c r="H1150" s="28"/>
      <c r="I1150" s="28"/>
    </row>
    <row r="1151">
      <c r="A1151" s="22" t="s">
        <v>92</v>
      </c>
      <c r="B1151" s="24">
        <v>12.0</v>
      </c>
      <c r="C1151" s="24">
        <v>4.0</v>
      </c>
      <c r="D1151" s="24">
        <v>3.0</v>
      </c>
      <c r="E1151" s="24">
        <v>6.0</v>
      </c>
      <c r="F1151" s="8"/>
      <c r="G1151" s="11" t="s">
        <v>398</v>
      </c>
      <c r="H1151" s="28"/>
      <c r="I1151" s="28"/>
    </row>
    <row r="1152">
      <c r="A1152" s="22" t="s">
        <v>93</v>
      </c>
      <c r="B1152" s="24">
        <v>21188.0</v>
      </c>
      <c r="C1152" s="24">
        <v>21033.0</v>
      </c>
      <c r="D1152" s="24">
        <v>20864.0</v>
      </c>
      <c r="E1152" s="24">
        <v>21150.0</v>
      </c>
      <c r="F1152" s="8"/>
      <c r="G1152" s="12"/>
      <c r="H1152" s="28"/>
      <c r="I1152" s="28"/>
    </row>
    <row r="1153">
      <c r="A1153" s="22" t="s">
        <v>94</v>
      </c>
      <c r="B1153" s="23">
        <f t="shared" ref="B1153:E1153" si="183">B1160*30</f>
        <v>19410</v>
      </c>
      <c r="C1153" s="23">
        <f t="shared" si="183"/>
        <v>18930</v>
      </c>
      <c r="D1153" s="23">
        <f t="shared" si="183"/>
        <v>18540</v>
      </c>
      <c r="E1153" s="23">
        <f t="shared" si="183"/>
        <v>19050</v>
      </c>
      <c r="F1153" s="8"/>
      <c r="G1153" s="12"/>
      <c r="H1153" s="28"/>
      <c r="I1153" s="28"/>
    </row>
    <row r="1154">
      <c r="A1154" s="22" t="s">
        <v>95</v>
      </c>
      <c r="B1154" s="24">
        <v>11.0</v>
      </c>
      <c r="C1154" s="24">
        <v>10.0</v>
      </c>
      <c r="D1154" s="24">
        <v>24.0</v>
      </c>
      <c r="E1154" s="24">
        <v>15.0</v>
      </c>
      <c r="F1154" s="8"/>
      <c r="G1154" s="12"/>
      <c r="H1154" s="28"/>
      <c r="I1154" s="28"/>
    </row>
    <row r="1155">
      <c r="A1155" s="22" t="s">
        <v>96</v>
      </c>
      <c r="B1155" s="24">
        <v>6.0</v>
      </c>
      <c r="C1155" s="24">
        <v>6.0</v>
      </c>
      <c r="D1155" s="24">
        <v>5.0</v>
      </c>
      <c r="E1155" s="24">
        <v>5.0</v>
      </c>
      <c r="F1155" s="8"/>
      <c r="G1155" s="12"/>
      <c r="H1155" s="34"/>
      <c r="I1155" s="28"/>
    </row>
    <row r="1156">
      <c r="A1156" s="22" t="s">
        <v>111</v>
      </c>
      <c r="B1156" s="24">
        <v>0.0</v>
      </c>
      <c r="C1156" s="24">
        <v>0.0</v>
      </c>
      <c r="D1156" s="24">
        <v>0.0</v>
      </c>
      <c r="E1156" s="24">
        <v>0.0</v>
      </c>
      <c r="F1156" s="8"/>
      <c r="G1156" s="12"/>
      <c r="H1156" s="28"/>
      <c r="I1156" s="28"/>
    </row>
    <row r="1157">
      <c r="A1157" s="22" t="s">
        <v>98</v>
      </c>
      <c r="B1157" s="24">
        <v>1.0</v>
      </c>
      <c r="C1157" s="24">
        <v>1.0</v>
      </c>
      <c r="D1157" s="24">
        <v>1.0</v>
      </c>
      <c r="E1157" s="24">
        <v>1.0</v>
      </c>
      <c r="F1157" s="8"/>
      <c r="G1157" s="12"/>
      <c r="H1157" s="28"/>
      <c r="I1157" s="28"/>
    </row>
    <row r="1158">
      <c r="A1158" s="22" t="s">
        <v>112</v>
      </c>
      <c r="B1158" s="26">
        <f t="shared" ref="B1158:E1158" si="184">round(((B1153/B1152)*100),2)</f>
        <v>91.61</v>
      </c>
      <c r="C1158" s="26">
        <f t="shared" si="184"/>
        <v>90</v>
      </c>
      <c r="D1158" s="26">
        <f t="shared" si="184"/>
        <v>88.86</v>
      </c>
      <c r="E1158" s="26">
        <f t="shared" si="184"/>
        <v>90.07</v>
      </c>
      <c r="F1158" s="8"/>
      <c r="G1158" s="12"/>
      <c r="H1158" s="28"/>
      <c r="I1158" s="28"/>
    </row>
    <row r="1159">
      <c r="A1159" s="22" t="s">
        <v>215</v>
      </c>
      <c r="B1159" s="24" t="s">
        <v>426</v>
      </c>
      <c r="C1159" s="24" t="s">
        <v>437</v>
      </c>
      <c r="D1159" s="18"/>
      <c r="E1159" s="18"/>
      <c r="F1159" s="8"/>
      <c r="G1159" s="12"/>
      <c r="H1159" s="28"/>
      <c r="I1159" s="28"/>
    </row>
    <row r="1160">
      <c r="A1160" s="22" t="s">
        <v>100</v>
      </c>
      <c r="B1160" s="24">
        <v>647.0</v>
      </c>
      <c r="C1160" s="24">
        <v>631.0</v>
      </c>
      <c r="D1160" s="24">
        <v>618.0</v>
      </c>
      <c r="E1160" s="24">
        <v>635.0</v>
      </c>
      <c r="F1160" s="8"/>
      <c r="G1160" s="12"/>
      <c r="H1160" s="28"/>
      <c r="I1160" s="28"/>
    </row>
    <row r="1161">
      <c r="A1161" s="25" t="s">
        <v>319</v>
      </c>
      <c r="B1161" s="24">
        <v>2532.0</v>
      </c>
      <c r="C1161" s="24"/>
      <c r="D1161" s="24"/>
      <c r="E1161" s="24"/>
      <c r="F1161" s="8"/>
      <c r="G1161" s="12"/>
      <c r="H1161" s="28"/>
      <c r="I1161" s="28"/>
    </row>
    <row r="1162">
      <c r="A1162" s="22" t="s">
        <v>103</v>
      </c>
      <c r="B1162" s="24" t="s">
        <v>438</v>
      </c>
      <c r="D1162" s="24" t="s">
        <v>439</v>
      </c>
      <c r="F1162" s="8"/>
      <c r="G1162" s="12"/>
      <c r="H1162" s="28"/>
      <c r="I1162" s="28"/>
    </row>
    <row r="1163">
      <c r="A1163" s="22"/>
      <c r="B1163" s="24"/>
      <c r="C1163" s="24"/>
      <c r="D1163" s="24"/>
      <c r="E1163" s="24"/>
      <c r="F1163" s="8"/>
      <c r="G1163" s="12"/>
      <c r="H1163" s="28"/>
      <c r="I1163" s="28"/>
    </row>
    <row r="1164">
      <c r="A1164" s="22"/>
      <c r="B1164" s="24"/>
      <c r="C1164" s="24"/>
      <c r="D1164" s="24"/>
      <c r="E1164" s="24"/>
      <c r="F1164" s="8"/>
      <c r="G1164" s="12"/>
      <c r="H1164" s="28"/>
      <c r="I1164" s="28"/>
    </row>
    <row r="1165">
      <c r="A1165" s="44" t="s">
        <v>50</v>
      </c>
      <c r="B1165" s="29">
        <v>45666.0</v>
      </c>
      <c r="F1165" s="8"/>
      <c r="G1165" s="12"/>
      <c r="H1165" s="28"/>
      <c r="I1165" s="28"/>
    </row>
    <row r="1166">
      <c r="B1166" s="21" t="s">
        <v>4</v>
      </c>
      <c r="C1166" s="21" t="s">
        <v>5</v>
      </c>
      <c r="D1166" s="21" t="s">
        <v>6</v>
      </c>
      <c r="E1166" s="21" t="s">
        <v>7</v>
      </c>
      <c r="F1166" s="8"/>
      <c r="G1166" s="12"/>
      <c r="H1166" s="28"/>
      <c r="I1166" s="28"/>
    </row>
    <row r="1167">
      <c r="A1167" s="22" t="s">
        <v>91</v>
      </c>
      <c r="B1167" s="24">
        <v>57.5</v>
      </c>
      <c r="C1167" s="24">
        <v>56.3</v>
      </c>
      <c r="D1167" s="24">
        <v>62.3</v>
      </c>
      <c r="E1167" s="24">
        <v>60.1</v>
      </c>
      <c r="F1167" s="8"/>
      <c r="G1167" s="12"/>
      <c r="H1167" s="28"/>
      <c r="I1167" s="28"/>
    </row>
    <row r="1168">
      <c r="A1168" s="22" t="s">
        <v>92</v>
      </c>
      <c r="B1168" s="24">
        <v>0.0</v>
      </c>
      <c r="C1168" s="24">
        <v>5.0</v>
      </c>
      <c r="D1168" s="24">
        <v>4.0</v>
      </c>
      <c r="E1168" s="24">
        <v>3.0</v>
      </c>
      <c r="F1168" s="8"/>
      <c r="G1168" s="12"/>
      <c r="H1168" s="28"/>
      <c r="I1168" s="28"/>
    </row>
    <row r="1169">
      <c r="A1169" s="22" t="s">
        <v>93</v>
      </c>
      <c r="B1169" s="24">
        <v>21188.0</v>
      </c>
      <c r="C1169" s="24">
        <v>21028.0</v>
      </c>
      <c r="D1169" s="24">
        <v>20860.0</v>
      </c>
      <c r="E1169" s="24">
        <v>21147.0</v>
      </c>
      <c r="F1169" s="8"/>
      <c r="G1169" s="12"/>
      <c r="H1169" s="28"/>
      <c r="I1169" s="28"/>
    </row>
    <row r="1170">
      <c r="A1170" s="22" t="s">
        <v>94</v>
      </c>
      <c r="B1170" s="23">
        <f t="shared" ref="B1170:E1170" si="185">B1177*30</f>
        <v>19410</v>
      </c>
      <c r="C1170" s="23">
        <f t="shared" si="185"/>
        <v>18930</v>
      </c>
      <c r="D1170" s="23">
        <f t="shared" si="185"/>
        <v>18540</v>
      </c>
      <c r="E1170" s="23">
        <f t="shared" si="185"/>
        <v>18960</v>
      </c>
      <c r="F1170" s="8"/>
      <c r="G1170" s="12"/>
      <c r="H1170" s="28"/>
      <c r="I1170" s="28"/>
    </row>
    <row r="1171">
      <c r="A1171" s="22" t="s">
        <v>95</v>
      </c>
      <c r="B1171" s="24">
        <v>15.0</v>
      </c>
      <c r="C1171" s="24">
        <v>10.0</v>
      </c>
      <c r="D1171" s="24">
        <v>12.0</v>
      </c>
      <c r="E1171" s="24">
        <v>15.0</v>
      </c>
      <c r="F1171" s="8"/>
      <c r="G1171" s="12"/>
      <c r="H1171" s="28"/>
      <c r="I1171" s="28"/>
    </row>
    <row r="1172">
      <c r="A1172" s="22" t="s">
        <v>96</v>
      </c>
      <c r="B1172" s="24">
        <v>6.0</v>
      </c>
      <c r="C1172" s="24">
        <v>3.0</v>
      </c>
      <c r="D1172" s="24">
        <v>5.0</v>
      </c>
      <c r="E1172" s="24">
        <v>4.0</v>
      </c>
      <c r="F1172" s="8"/>
      <c r="G1172" s="12"/>
      <c r="H1172" s="28"/>
      <c r="I1172" s="28"/>
    </row>
    <row r="1173">
      <c r="A1173" s="22" t="s">
        <v>111</v>
      </c>
      <c r="B1173" s="24" t="s">
        <v>210</v>
      </c>
      <c r="C1173" s="24" t="s">
        <v>210</v>
      </c>
      <c r="D1173" s="24" t="s">
        <v>210</v>
      </c>
      <c r="E1173" s="24" t="s">
        <v>210</v>
      </c>
      <c r="F1173" s="8"/>
      <c r="G1173" s="12"/>
      <c r="H1173" s="28"/>
      <c r="I1173" s="28"/>
    </row>
    <row r="1174">
      <c r="A1174" s="22" t="s">
        <v>98</v>
      </c>
      <c r="B1174" s="24">
        <v>1.0</v>
      </c>
      <c r="C1174" s="24">
        <v>1.0</v>
      </c>
      <c r="D1174" s="24">
        <v>1.0</v>
      </c>
      <c r="E1174" s="24">
        <v>1.0</v>
      </c>
      <c r="F1174" s="8"/>
      <c r="G1174" s="12"/>
      <c r="H1174" s="28"/>
      <c r="I1174" s="28"/>
    </row>
    <row r="1175">
      <c r="A1175" s="22" t="s">
        <v>112</v>
      </c>
      <c r="B1175" s="26">
        <f t="shared" ref="B1175:E1175" si="186">round(((B1170/B1169)*100),2)</f>
        <v>91.61</v>
      </c>
      <c r="C1175" s="26">
        <f t="shared" si="186"/>
        <v>90.02</v>
      </c>
      <c r="D1175" s="26">
        <f t="shared" si="186"/>
        <v>88.88</v>
      </c>
      <c r="E1175" s="26">
        <f t="shared" si="186"/>
        <v>89.66</v>
      </c>
      <c r="F1175" s="8"/>
      <c r="G1175" s="12"/>
      <c r="H1175" s="28"/>
      <c r="I1175" s="28"/>
    </row>
    <row r="1176">
      <c r="A1176" s="22" t="s">
        <v>215</v>
      </c>
      <c r="B1176" s="24" t="s">
        <v>411</v>
      </c>
      <c r="C1176" s="24" t="s">
        <v>440</v>
      </c>
      <c r="D1176" s="18"/>
      <c r="E1176" s="18"/>
      <c r="F1176" s="8"/>
      <c r="G1176" s="12"/>
      <c r="H1176" s="28"/>
      <c r="I1176" s="28"/>
    </row>
    <row r="1177">
      <c r="A1177" s="22" t="s">
        <v>100</v>
      </c>
      <c r="B1177" s="24">
        <v>647.0</v>
      </c>
      <c r="C1177" s="24">
        <v>631.0</v>
      </c>
      <c r="D1177" s="24">
        <v>618.0</v>
      </c>
      <c r="E1177" s="24">
        <v>632.0</v>
      </c>
      <c r="F1177" s="8"/>
      <c r="G1177" s="12"/>
      <c r="H1177" s="28"/>
      <c r="I1177" s="28"/>
    </row>
    <row r="1178">
      <c r="A1178" s="25" t="s">
        <v>319</v>
      </c>
      <c r="B1178" s="24">
        <v>2529.0</v>
      </c>
      <c r="C1178" s="24"/>
      <c r="D1178" s="24"/>
      <c r="E1178" s="24"/>
      <c r="F1178" s="8"/>
      <c r="G1178" s="12"/>
      <c r="H1178" s="28"/>
      <c r="I1178" s="28"/>
    </row>
    <row r="1179">
      <c r="A1179" s="22" t="s">
        <v>103</v>
      </c>
      <c r="B1179" s="24" t="s">
        <v>441</v>
      </c>
      <c r="D1179" s="24" t="s">
        <v>442</v>
      </c>
      <c r="F1179" s="8"/>
      <c r="G1179" s="12"/>
      <c r="H1179" s="28"/>
      <c r="I1179" s="28"/>
    </row>
    <row r="1180">
      <c r="A1180" s="22"/>
      <c r="B1180" s="24"/>
      <c r="C1180" s="24"/>
      <c r="D1180" s="24"/>
      <c r="E1180" s="24"/>
      <c r="F1180" s="8"/>
      <c r="G1180" s="12"/>
      <c r="H1180" s="28"/>
      <c r="I1180" s="28"/>
    </row>
    <row r="1181">
      <c r="A1181" s="22"/>
      <c r="B1181" s="24"/>
      <c r="C1181" s="24"/>
      <c r="D1181" s="24"/>
      <c r="E1181" s="24"/>
      <c r="F1181" s="8"/>
      <c r="G1181" s="12"/>
      <c r="H1181" s="28"/>
      <c r="I1181" s="28"/>
    </row>
    <row r="1182">
      <c r="A1182" s="44" t="s">
        <v>50</v>
      </c>
      <c r="B1182" s="29">
        <v>45817.0</v>
      </c>
      <c r="F1182" s="8"/>
      <c r="G1182" s="12"/>
      <c r="H1182" s="28"/>
      <c r="I1182" s="28"/>
    </row>
    <row r="1183">
      <c r="B1183" s="21" t="s">
        <v>4</v>
      </c>
      <c r="C1183" s="21" t="s">
        <v>5</v>
      </c>
      <c r="D1183" s="21" t="s">
        <v>6</v>
      </c>
      <c r="E1183" s="21" t="s">
        <v>7</v>
      </c>
      <c r="F1183" s="8"/>
      <c r="G1183" s="12"/>
      <c r="H1183" s="28"/>
      <c r="I1183" s="28"/>
    </row>
    <row r="1184">
      <c r="A1184" s="22" t="s">
        <v>91</v>
      </c>
      <c r="B1184" s="24">
        <v>58.3</v>
      </c>
      <c r="C1184" s="24">
        <v>57.1</v>
      </c>
      <c r="D1184" s="24">
        <v>63.1</v>
      </c>
      <c r="E1184" s="24">
        <v>60.6</v>
      </c>
      <c r="F1184" s="8"/>
      <c r="G1184" s="12"/>
      <c r="H1184" s="28"/>
      <c r="I1184" s="28"/>
    </row>
    <row r="1185">
      <c r="A1185" s="22" t="s">
        <v>92</v>
      </c>
      <c r="B1185" s="24">
        <v>4.0</v>
      </c>
      <c r="C1185" s="24">
        <v>9.0</v>
      </c>
      <c r="D1185" s="24">
        <v>3.0</v>
      </c>
      <c r="E1185" s="24">
        <v>4.0</v>
      </c>
      <c r="F1185" s="8"/>
      <c r="G1185" s="12"/>
      <c r="H1185" s="28"/>
      <c r="I1185" s="28"/>
    </row>
    <row r="1186">
      <c r="A1186" s="22" t="s">
        <v>93</v>
      </c>
      <c r="B1186" s="24">
        <v>21184.0</v>
      </c>
      <c r="C1186" s="24">
        <v>21021.0</v>
      </c>
      <c r="D1186" s="24">
        <v>20857.0</v>
      </c>
      <c r="E1186" s="24">
        <v>21134.0</v>
      </c>
      <c r="F1186" s="8"/>
      <c r="G1186" s="12"/>
      <c r="H1186" s="28"/>
      <c r="I1186" s="28"/>
    </row>
    <row r="1187">
      <c r="A1187" s="22" t="s">
        <v>94</v>
      </c>
      <c r="B1187" s="23">
        <f t="shared" ref="B1187:E1187" si="187">B1194*30</f>
        <v>19410</v>
      </c>
      <c r="C1187" s="23">
        <f t="shared" si="187"/>
        <v>19020</v>
      </c>
      <c r="D1187" s="23">
        <f t="shared" si="187"/>
        <v>18600</v>
      </c>
      <c r="E1187" s="23">
        <f t="shared" si="187"/>
        <v>18600</v>
      </c>
      <c r="F1187" s="8"/>
      <c r="G1187" s="12"/>
      <c r="H1187" s="28"/>
      <c r="I1187" s="28"/>
    </row>
    <row r="1188">
      <c r="A1188" s="22" t="s">
        <v>95</v>
      </c>
      <c r="B1188" s="24">
        <v>20.0</v>
      </c>
      <c r="C1188" s="24">
        <v>25.0</v>
      </c>
      <c r="D1188" s="24">
        <v>14.0</v>
      </c>
      <c r="E1188" s="24">
        <v>9.0</v>
      </c>
      <c r="F1188" s="8"/>
      <c r="G1188" s="12"/>
      <c r="H1188" s="28"/>
      <c r="I1188" s="28"/>
    </row>
    <row r="1189">
      <c r="A1189" s="22" t="s">
        <v>96</v>
      </c>
      <c r="B1189" s="24">
        <v>10.0</v>
      </c>
      <c r="C1189" s="24">
        <v>12.0</v>
      </c>
      <c r="D1189" s="24">
        <v>4.0</v>
      </c>
      <c r="E1189" s="24">
        <v>3.0</v>
      </c>
      <c r="F1189" s="8"/>
      <c r="G1189" s="12"/>
      <c r="H1189" s="28"/>
      <c r="I1189" s="28"/>
    </row>
    <row r="1190">
      <c r="A1190" s="22" t="s">
        <v>111</v>
      </c>
      <c r="B1190" s="24">
        <v>55.0</v>
      </c>
      <c r="C1190" s="24">
        <v>55.0</v>
      </c>
      <c r="D1190" s="24">
        <v>55.0</v>
      </c>
      <c r="E1190" s="24">
        <v>55.0</v>
      </c>
      <c r="F1190" s="8"/>
      <c r="G1190" s="12"/>
      <c r="H1190" s="28"/>
      <c r="I1190" s="28"/>
    </row>
    <row r="1191">
      <c r="A1191" s="22" t="s">
        <v>98</v>
      </c>
      <c r="B1191" s="24">
        <v>2.0</v>
      </c>
      <c r="C1191" s="24">
        <v>1.0</v>
      </c>
      <c r="D1191" s="24">
        <v>1.0</v>
      </c>
      <c r="E1191" s="24" t="s">
        <v>443</v>
      </c>
      <c r="F1191" s="8"/>
      <c r="G1191" s="12"/>
      <c r="H1191" s="28"/>
      <c r="I1191" s="28"/>
    </row>
    <row r="1192">
      <c r="A1192" s="22" t="s">
        <v>112</v>
      </c>
      <c r="B1192" s="26">
        <f t="shared" ref="B1192:E1192" si="188">round(((B1187/B1186)*100),2)</f>
        <v>91.63</v>
      </c>
      <c r="C1192" s="26">
        <f t="shared" si="188"/>
        <v>90.48</v>
      </c>
      <c r="D1192" s="26">
        <f t="shared" si="188"/>
        <v>89.18</v>
      </c>
      <c r="E1192" s="26">
        <f t="shared" si="188"/>
        <v>88.01</v>
      </c>
      <c r="F1192" s="8"/>
      <c r="G1192" s="12"/>
      <c r="H1192" s="28"/>
      <c r="I1192" s="28"/>
    </row>
    <row r="1193">
      <c r="A1193" s="25" t="s">
        <v>444</v>
      </c>
      <c r="B1193" s="24" t="s">
        <v>445</v>
      </c>
      <c r="C1193" s="24" t="s">
        <v>446</v>
      </c>
      <c r="D1193" s="32" t="s">
        <v>447</v>
      </c>
      <c r="E1193" s="32" t="s">
        <v>448</v>
      </c>
      <c r="F1193" s="8"/>
      <c r="G1193" s="12"/>
      <c r="H1193" s="28"/>
      <c r="I1193" s="28"/>
    </row>
    <row r="1194">
      <c r="A1194" s="22" t="s">
        <v>100</v>
      </c>
      <c r="B1194" s="24">
        <v>647.0</v>
      </c>
      <c r="C1194" s="24">
        <v>634.0</v>
      </c>
      <c r="D1194" s="24">
        <v>620.0</v>
      </c>
      <c r="E1194" s="24">
        <v>620.0</v>
      </c>
      <c r="F1194" s="8"/>
      <c r="G1194" s="12"/>
      <c r="H1194" s="28"/>
      <c r="I1194" s="28"/>
    </row>
    <row r="1195">
      <c r="A1195" s="25" t="s">
        <v>449</v>
      </c>
      <c r="B1195" s="24">
        <v>2522.0</v>
      </c>
      <c r="C1195" s="24"/>
      <c r="D1195" s="24"/>
      <c r="E1195" s="24"/>
      <c r="F1195" s="8"/>
      <c r="G1195" s="12"/>
      <c r="H1195" s="28"/>
      <c r="I1195" s="28"/>
    </row>
    <row r="1196">
      <c r="A1196" s="22" t="s">
        <v>103</v>
      </c>
      <c r="B1196" s="24" t="s">
        <v>450</v>
      </c>
      <c r="D1196" s="24" t="s">
        <v>451</v>
      </c>
      <c r="F1196" s="8"/>
      <c r="G1196" s="12"/>
      <c r="H1196" s="28"/>
      <c r="I1196" s="28"/>
    </row>
    <row r="1197">
      <c r="A1197" s="22"/>
      <c r="B1197" s="24"/>
      <c r="C1197" s="24"/>
      <c r="D1197" s="24"/>
      <c r="E1197" s="24"/>
      <c r="F1197" s="8"/>
      <c r="G1197" s="12"/>
      <c r="H1197" s="28"/>
      <c r="I1197" s="28"/>
    </row>
    <row r="1198">
      <c r="A1198" s="22"/>
      <c r="B1198" s="24"/>
      <c r="C1198" s="24"/>
      <c r="D1198" s="24"/>
      <c r="E1198" s="24"/>
      <c r="F1198" s="8"/>
      <c r="G1198" s="12"/>
      <c r="H1198" s="28"/>
      <c r="I1198" s="28"/>
    </row>
    <row r="1199">
      <c r="A1199" s="44" t="s">
        <v>50</v>
      </c>
      <c r="B1199" s="29">
        <v>45847.0</v>
      </c>
      <c r="F1199" s="8"/>
      <c r="G1199" s="12"/>
      <c r="H1199" s="28"/>
      <c r="I1199" s="28"/>
    </row>
    <row r="1200">
      <c r="B1200" s="21" t="s">
        <v>4</v>
      </c>
      <c r="C1200" s="21" t="s">
        <v>5</v>
      </c>
      <c r="D1200" s="21" t="s">
        <v>6</v>
      </c>
      <c r="E1200" s="21" t="s">
        <v>7</v>
      </c>
      <c r="F1200" s="8"/>
      <c r="G1200" s="12"/>
      <c r="H1200" s="28"/>
      <c r="I1200" s="28"/>
    </row>
    <row r="1201">
      <c r="A1201" s="22" t="s">
        <v>91</v>
      </c>
      <c r="B1201" s="24">
        <v>58.4</v>
      </c>
      <c r="C1201" s="24">
        <v>57.2</v>
      </c>
      <c r="D1201" s="24">
        <v>63.2</v>
      </c>
      <c r="E1201" s="24">
        <v>60.7</v>
      </c>
      <c r="F1201" s="8"/>
      <c r="G1201" s="12"/>
      <c r="H1201" s="28"/>
      <c r="I1201" s="28"/>
    </row>
    <row r="1202">
      <c r="A1202" s="22" t="s">
        <v>92</v>
      </c>
      <c r="B1202" s="24">
        <v>7.0</v>
      </c>
      <c r="C1202" s="24">
        <v>9.0</v>
      </c>
      <c r="D1202" s="24">
        <v>8.0</v>
      </c>
      <c r="E1202" s="24">
        <v>7.0</v>
      </c>
      <c r="F1202" s="8"/>
      <c r="G1202" s="12"/>
      <c r="H1202" s="28"/>
      <c r="I1202" s="28"/>
    </row>
    <row r="1203">
      <c r="A1203" s="22" t="s">
        <v>93</v>
      </c>
      <c r="B1203" s="24">
        <v>21177.0</v>
      </c>
      <c r="C1203" s="24">
        <v>21012.0</v>
      </c>
      <c r="D1203" s="24">
        <v>20849.0</v>
      </c>
      <c r="E1203" s="24">
        <v>21127.0</v>
      </c>
      <c r="F1203" s="8"/>
      <c r="G1203" s="12"/>
      <c r="H1203" s="28"/>
      <c r="I1203" s="28"/>
    </row>
    <row r="1204">
      <c r="A1204" s="22" t="s">
        <v>94</v>
      </c>
      <c r="B1204" s="23">
        <f t="shared" ref="B1204:E1204" si="189">B1211*30</f>
        <v>19440</v>
      </c>
      <c r="C1204" s="23">
        <f t="shared" si="189"/>
        <v>19320</v>
      </c>
      <c r="D1204" s="23">
        <f t="shared" si="189"/>
        <v>18690</v>
      </c>
      <c r="E1204" s="23">
        <f t="shared" si="189"/>
        <v>19350</v>
      </c>
      <c r="F1204" s="8"/>
      <c r="G1204" s="12"/>
      <c r="H1204" s="28"/>
      <c r="I1204" s="28"/>
    </row>
    <row r="1205">
      <c r="A1205" s="22" t="s">
        <v>95</v>
      </c>
      <c r="B1205" s="24">
        <v>11.0</v>
      </c>
      <c r="C1205" s="24">
        <v>15.0</v>
      </c>
      <c r="D1205" s="24">
        <v>17.0</v>
      </c>
      <c r="E1205" s="24">
        <v>23.0</v>
      </c>
      <c r="F1205" s="8"/>
      <c r="G1205" s="12"/>
      <c r="H1205" s="28"/>
      <c r="I1205" s="28"/>
    </row>
    <row r="1206">
      <c r="A1206" s="22" t="s">
        <v>96</v>
      </c>
      <c r="B1206" s="24">
        <v>10.0</v>
      </c>
      <c r="C1206" s="24">
        <v>5.0</v>
      </c>
      <c r="D1206" s="24">
        <v>5.0</v>
      </c>
      <c r="E1206" s="24">
        <v>4.0</v>
      </c>
      <c r="F1206" s="8"/>
      <c r="G1206" s="12"/>
      <c r="H1206" s="28"/>
      <c r="I1206" s="28"/>
    </row>
    <row r="1207">
      <c r="A1207" s="22" t="s">
        <v>111</v>
      </c>
      <c r="B1207" s="24">
        <v>0.0</v>
      </c>
      <c r="C1207" s="24">
        <v>0.0</v>
      </c>
      <c r="D1207" s="24">
        <v>0.0</v>
      </c>
      <c r="E1207" s="24">
        <v>0.0</v>
      </c>
      <c r="F1207" s="8"/>
      <c r="G1207" s="12"/>
      <c r="H1207" s="28"/>
      <c r="I1207" s="28"/>
    </row>
    <row r="1208">
      <c r="A1208" s="22" t="s">
        <v>98</v>
      </c>
      <c r="B1208" s="24">
        <v>1.0</v>
      </c>
      <c r="C1208" s="24">
        <v>2.0</v>
      </c>
      <c r="D1208" s="24">
        <v>1.0</v>
      </c>
      <c r="E1208" s="24">
        <v>1.0</v>
      </c>
      <c r="F1208" s="8"/>
      <c r="G1208" s="12"/>
      <c r="H1208" s="28"/>
      <c r="I1208" s="28"/>
    </row>
    <row r="1209">
      <c r="A1209" s="22" t="s">
        <v>112</v>
      </c>
      <c r="B1209" s="26">
        <f t="shared" ref="B1209:E1209" si="190">round(((B1204/B1203)*100),2)</f>
        <v>91.8</v>
      </c>
      <c r="C1209" s="26">
        <f t="shared" si="190"/>
        <v>91.95</v>
      </c>
      <c r="D1209" s="26">
        <f t="shared" si="190"/>
        <v>89.64</v>
      </c>
      <c r="E1209" s="26">
        <f t="shared" si="190"/>
        <v>91.59</v>
      </c>
      <c r="F1209" s="8"/>
      <c r="G1209" s="12"/>
      <c r="H1209" s="28"/>
      <c r="I1209" s="28"/>
    </row>
    <row r="1210">
      <c r="A1210" s="25" t="s">
        <v>444</v>
      </c>
      <c r="B1210" s="24" t="s">
        <v>452</v>
      </c>
      <c r="C1210" s="24" t="s">
        <v>453</v>
      </c>
      <c r="D1210" s="32" t="s">
        <v>131</v>
      </c>
      <c r="E1210" s="32" t="s">
        <v>132</v>
      </c>
      <c r="F1210" s="8"/>
      <c r="G1210" s="12"/>
      <c r="H1210" s="28"/>
      <c r="I1210" s="28"/>
    </row>
    <row r="1211">
      <c r="A1211" s="22" t="s">
        <v>100</v>
      </c>
      <c r="B1211" s="24">
        <v>648.0</v>
      </c>
      <c r="C1211" s="24">
        <v>644.0</v>
      </c>
      <c r="D1211" s="24">
        <v>623.0</v>
      </c>
      <c r="E1211" s="24">
        <v>645.0</v>
      </c>
      <c r="F1211" s="8"/>
      <c r="G1211" s="12"/>
      <c r="H1211" s="28"/>
      <c r="I1211" s="28"/>
    </row>
    <row r="1212">
      <c r="A1212" s="25" t="s">
        <v>449</v>
      </c>
      <c r="B1212" s="24">
        <v>2561.0</v>
      </c>
      <c r="C1212" s="24"/>
      <c r="D1212" s="24"/>
      <c r="E1212" s="24"/>
      <c r="F1212" s="8"/>
      <c r="G1212" s="12"/>
      <c r="H1212" s="28"/>
      <c r="I1212" s="28"/>
    </row>
    <row r="1213">
      <c r="A1213" s="22" t="s">
        <v>103</v>
      </c>
      <c r="B1213" s="24" t="s">
        <v>454</v>
      </c>
      <c r="D1213" s="24" t="s">
        <v>455</v>
      </c>
      <c r="F1213" s="8"/>
      <c r="G1213" s="12"/>
      <c r="H1213" s="28"/>
      <c r="I1213" s="28"/>
    </row>
    <row r="1214">
      <c r="A1214" s="22"/>
      <c r="B1214" s="24"/>
      <c r="C1214" s="24"/>
      <c r="D1214" s="24"/>
      <c r="E1214" s="24"/>
      <c r="F1214" s="8"/>
      <c r="G1214" s="12"/>
      <c r="H1214" s="28"/>
      <c r="I1214" s="28"/>
    </row>
    <row r="1215">
      <c r="A1215" s="22"/>
      <c r="B1215" s="24"/>
      <c r="C1215" s="24"/>
      <c r="D1215" s="24"/>
      <c r="E1215" s="24"/>
      <c r="F1215" s="8"/>
      <c r="G1215" s="12"/>
      <c r="H1215" s="28"/>
      <c r="I1215" s="28"/>
    </row>
    <row r="1216">
      <c r="A1216" s="44" t="s">
        <v>50</v>
      </c>
      <c r="B1216" s="29">
        <v>45878.0</v>
      </c>
      <c r="F1216" s="8"/>
      <c r="G1216" s="12"/>
      <c r="H1216" s="28"/>
      <c r="I1216" s="28"/>
    </row>
    <row r="1217">
      <c r="B1217" s="21" t="s">
        <v>4</v>
      </c>
      <c r="C1217" s="21" t="s">
        <v>5</v>
      </c>
      <c r="D1217" s="21" t="s">
        <v>6</v>
      </c>
      <c r="E1217" s="21" t="s">
        <v>7</v>
      </c>
      <c r="F1217" s="8"/>
      <c r="G1217" s="12"/>
      <c r="H1217" s="28"/>
      <c r="I1217" s="28"/>
    </row>
    <row r="1218">
      <c r="A1218" s="22" t="s">
        <v>91</v>
      </c>
      <c r="B1218" s="24">
        <v>58.5</v>
      </c>
      <c r="C1218" s="24">
        <v>57.3</v>
      </c>
      <c r="D1218" s="24">
        <v>63.3</v>
      </c>
      <c r="E1218" s="24">
        <v>61.1</v>
      </c>
      <c r="F1218" s="8"/>
      <c r="G1218" s="11" t="s">
        <v>334</v>
      </c>
      <c r="H1218" s="28"/>
      <c r="I1218" s="28"/>
    </row>
    <row r="1219">
      <c r="A1219" s="22" t="s">
        <v>92</v>
      </c>
      <c r="B1219" s="24">
        <v>4.0</v>
      </c>
      <c r="C1219" s="24">
        <v>6.0</v>
      </c>
      <c r="D1219" s="24">
        <v>4.0</v>
      </c>
      <c r="E1219" s="24">
        <v>5.0</v>
      </c>
      <c r="F1219" s="8"/>
      <c r="G1219" s="11"/>
      <c r="H1219" s="28"/>
      <c r="I1219" s="28"/>
    </row>
    <row r="1220">
      <c r="A1220" s="22" t="s">
        <v>93</v>
      </c>
      <c r="B1220" s="24">
        <v>21173.0</v>
      </c>
      <c r="C1220" s="24">
        <v>21006.0</v>
      </c>
      <c r="D1220" s="24">
        <v>20845.0</v>
      </c>
      <c r="E1220" s="24">
        <v>21122.0</v>
      </c>
      <c r="F1220" s="8"/>
      <c r="G1220" s="12"/>
      <c r="H1220" s="28"/>
      <c r="I1220" s="28"/>
    </row>
    <row r="1221">
      <c r="A1221" s="22" t="s">
        <v>94</v>
      </c>
      <c r="B1221" s="23">
        <f t="shared" ref="B1221:E1221" si="191">B1228*30</f>
        <v>19440</v>
      </c>
      <c r="C1221" s="23">
        <f t="shared" si="191"/>
        <v>19110</v>
      </c>
      <c r="D1221" s="23">
        <f t="shared" si="191"/>
        <v>18840</v>
      </c>
      <c r="E1221" s="23">
        <f t="shared" si="191"/>
        <v>19350</v>
      </c>
      <c r="F1221" s="8"/>
      <c r="G1221" s="12"/>
      <c r="H1221" s="28"/>
      <c r="I1221" s="28"/>
    </row>
    <row r="1222">
      <c r="A1222" s="22" t="s">
        <v>95</v>
      </c>
      <c r="B1222" s="24">
        <v>15.0</v>
      </c>
      <c r="C1222" s="24">
        <v>25.0</v>
      </c>
      <c r="D1222" s="24">
        <v>21.0</v>
      </c>
      <c r="E1222" s="24">
        <v>18.0</v>
      </c>
      <c r="F1222" s="8"/>
      <c r="G1222" s="12"/>
      <c r="H1222" s="28"/>
      <c r="I1222" s="28"/>
    </row>
    <row r="1223">
      <c r="A1223" s="22" t="s">
        <v>96</v>
      </c>
      <c r="B1223" s="24">
        <v>18.0</v>
      </c>
      <c r="C1223" s="24">
        <v>8.0</v>
      </c>
      <c r="D1223" s="24">
        <v>7.0</v>
      </c>
      <c r="E1223" s="24">
        <v>4.0</v>
      </c>
      <c r="F1223" s="8"/>
      <c r="G1223" s="12"/>
      <c r="H1223" s="28"/>
      <c r="I1223" s="28"/>
    </row>
    <row r="1224">
      <c r="A1224" s="22" t="s">
        <v>111</v>
      </c>
      <c r="B1224" s="24">
        <v>110.0</v>
      </c>
      <c r="C1224" s="24">
        <v>110.0</v>
      </c>
      <c r="D1224" s="24">
        <v>110.0</v>
      </c>
      <c r="E1224" s="24">
        <v>110.0</v>
      </c>
      <c r="F1224" s="8"/>
      <c r="G1224" s="12"/>
      <c r="H1224" s="28"/>
      <c r="I1224" s="28"/>
    </row>
    <row r="1225">
      <c r="A1225" s="22" t="s">
        <v>98</v>
      </c>
      <c r="B1225" s="24">
        <v>2.0</v>
      </c>
      <c r="C1225" s="24">
        <v>1.0</v>
      </c>
      <c r="D1225" s="24">
        <v>1.0</v>
      </c>
      <c r="E1225" s="24">
        <v>1.0</v>
      </c>
      <c r="F1225" s="8"/>
      <c r="G1225" s="12"/>
      <c r="H1225" s="28"/>
      <c r="I1225" s="28"/>
    </row>
    <row r="1226">
      <c r="A1226" s="22" t="s">
        <v>112</v>
      </c>
      <c r="B1226" s="26">
        <f t="shared" ref="B1226:E1226" si="192">round(((B1221/B1220)*100),2)</f>
        <v>91.82</v>
      </c>
      <c r="C1226" s="26">
        <f t="shared" si="192"/>
        <v>90.97</v>
      </c>
      <c r="D1226" s="26">
        <f t="shared" si="192"/>
        <v>90.38</v>
      </c>
      <c r="E1226" s="26">
        <f t="shared" si="192"/>
        <v>91.61</v>
      </c>
      <c r="F1226" s="8"/>
      <c r="G1226" s="12"/>
      <c r="H1226" s="28"/>
      <c r="I1226" s="28"/>
    </row>
    <row r="1227">
      <c r="A1227" s="25" t="s">
        <v>444</v>
      </c>
      <c r="B1227" s="24" t="s">
        <v>236</v>
      </c>
      <c r="C1227" s="24" t="s">
        <v>456</v>
      </c>
      <c r="D1227" s="32" t="s">
        <v>131</v>
      </c>
      <c r="E1227" s="32" t="s">
        <v>132</v>
      </c>
      <c r="F1227" s="8"/>
      <c r="G1227" s="12"/>
      <c r="H1227" s="28"/>
      <c r="I1227" s="28"/>
    </row>
    <row r="1228">
      <c r="A1228" s="22" t="s">
        <v>100</v>
      </c>
      <c r="B1228" s="24">
        <v>648.0</v>
      </c>
      <c r="C1228" s="24">
        <v>637.0</v>
      </c>
      <c r="D1228" s="24">
        <v>628.0</v>
      </c>
      <c r="E1228" s="24">
        <v>645.0</v>
      </c>
      <c r="F1228" s="8"/>
      <c r="G1228" s="12"/>
      <c r="H1228" s="28"/>
      <c r="I1228" s="28"/>
    </row>
    <row r="1229">
      <c r="A1229" s="25" t="s">
        <v>449</v>
      </c>
      <c r="B1229" s="24">
        <v>2559.0</v>
      </c>
      <c r="C1229" s="24"/>
      <c r="D1229" s="24"/>
      <c r="E1229" s="24"/>
      <c r="F1229" s="8"/>
      <c r="G1229" s="12"/>
      <c r="H1229" s="28"/>
      <c r="I1229" s="28"/>
    </row>
    <row r="1230">
      <c r="A1230" s="22" t="s">
        <v>103</v>
      </c>
      <c r="B1230" s="24" t="s">
        <v>457</v>
      </c>
      <c r="D1230" s="24" t="s">
        <v>458</v>
      </c>
      <c r="F1230" s="8"/>
      <c r="G1230" s="12"/>
      <c r="H1230" s="28"/>
      <c r="I1230" s="28"/>
    </row>
    <row r="1231">
      <c r="A1231" s="22"/>
      <c r="B1231" s="24"/>
      <c r="C1231" s="24"/>
      <c r="D1231" s="24"/>
      <c r="E1231" s="24"/>
      <c r="F1231" s="8"/>
      <c r="G1231" s="12"/>
      <c r="H1231" s="28"/>
      <c r="I1231" s="28"/>
    </row>
    <row r="1232">
      <c r="A1232" s="22"/>
      <c r="B1232" s="24"/>
      <c r="C1232" s="24"/>
      <c r="D1232" s="24"/>
      <c r="E1232" s="24"/>
      <c r="F1232" s="8"/>
      <c r="G1232" s="12"/>
      <c r="H1232" s="28"/>
      <c r="I1232" s="28"/>
    </row>
    <row r="1233">
      <c r="A1233" s="22"/>
      <c r="B1233" s="24"/>
      <c r="C1233" s="24"/>
      <c r="D1233" s="24"/>
      <c r="E1233" s="24"/>
      <c r="F1233" s="8"/>
      <c r="G1233" s="12"/>
      <c r="H1233" s="28"/>
      <c r="I1233" s="28"/>
    </row>
    <row r="1234">
      <c r="A1234" s="44" t="s">
        <v>50</v>
      </c>
      <c r="B1234" s="29">
        <v>45909.0</v>
      </c>
      <c r="F1234" s="8"/>
      <c r="G1234" s="12"/>
      <c r="H1234" s="28"/>
      <c r="I1234" s="28"/>
    </row>
    <row r="1235">
      <c r="B1235" s="21" t="s">
        <v>4</v>
      </c>
      <c r="C1235" s="21" t="s">
        <v>5</v>
      </c>
      <c r="D1235" s="21" t="s">
        <v>6</v>
      </c>
      <c r="E1235" s="21" t="s">
        <v>7</v>
      </c>
      <c r="F1235" s="8"/>
      <c r="G1235" s="12"/>
      <c r="H1235" s="28"/>
      <c r="I1235" s="28"/>
    </row>
    <row r="1236">
      <c r="A1236" s="22" t="s">
        <v>91</v>
      </c>
      <c r="B1236" s="24">
        <v>58.6</v>
      </c>
      <c r="C1236" s="24">
        <v>57.4</v>
      </c>
      <c r="D1236" s="24">
        <v>63.4</v>
      </c>
      <c r="E1236" s="24">
        <v>61.2</v>
      </c>
      <c r="F1236" s="8"/>
      <c r="G1236" s="11" t="s">
        <v>459</v>
      </c>
      <c r="H1236" s="28"/>
      <c r="I1236" s="28"/>
    </row>
    <row r="1237">
      <c r="A1237" s="22" t="s">
        <v>92</v>
      </c>
      <c r="B1237" s="24">
        <v>4.0</v>
      </c>
      <c r="C1237" s="24">
        <v>3.0</v>
      </c>
      <c r="D1237" s="24">
        <v>4.0</v>
      </c>
      <c r="E1237" s="24">
        <v>8.0</v>
      </c>
      <c r="F1237" s="8"/>
      <c r="G1237" s="12"/>
      <c r="H1237" s="28"/>
      <c r="I1237" s="28"/>
    </row>
    <row r="1238">
      <c r="A1238" s="22" t="s">
        <v>93</v>
      </c>
      <c r="B1238" s="24">
        <v>21169.0</v>
      </c>
      <c r="C1238" s="24">
        <v>21003.0</v>
      </c>
      <c r="D1238" s="24">
        <v>20841.0</v>
      </c>
      <c r="E1238" s="24">
        <v>21114.0</v>
      </c>
      <c r="F1238" s="8"/>
      <c r="G1238" s="12"/>
      <c r="H1238" s="28"/>
      <c r="I1238" s="28"/>
    </row>
    <row r="1239">
      <c r="A1239" s="22" t="s">
        <v>94</v>
      </c>
      <c r="B1239" s="23">
        <f t="shared" ref="B1239:E1239" si="193">B1246*30</f>
        <v>19380</v>
      </c>
      <c r="C1239" s="23">
        <f t="shared" si="193"/>
        <v>18690</v>
      </c>
      <c r="D1239" s="23">
        <f t="shared" si="193"/>
        <v>18900</v>
      </c>
      <c r="E1239" s="23">
        <f t="shared" si="193"/>
        <v>18840</v>
      </c>
      <c r="F1239" s="8"/>
      <c r="G1239" s="12"/>
      <c r="H1239" s="28"/>
      <c r="I1239" s="28"/>
    </row>
    <row r="1240">
      <c r="A1240" s="22" t="s">
        <v>95</v>
      </c>
      <c r="B1240" s="24">
        <v>18.0</v>
      </c>
      <c r="C1240" s="24">
        <v>25.0</v>
      </c>
      <c r="D1240" s="24">
        <v>8.0</v>
      </c>
      <c r="E1240" s="24">
        <v>20.0</v>
      </c>
      <c r="F1240" s="8"/>
      <c r="G1240" s="12"/>
      <c r="H1240" s="28"/>
      <c r="I1240" s="28"/>
    </row>
    <row r="1241">
      <c r="A1241" s="22" t="s">
        <v>96</v>
      </c>
      <c r="B1241" s="24">
        <v>8.0</v>
      </c>
      <c r="C1241" s="24">
        <v>8.0</v>
      </c>
      <c r="D1241" s="24">
        <v>5.0</v>
      </c>
      <c r="E1241" s="24">
        <v>8.0</v>
      </c>
      <c r="F1241" s="8"/>
      <c r="G1241" s="12"/>
      <c r="H1241" s="28"/>
      <c r="I1241" s="28"/>
    </row>
    <row r="1242">
      <c r="A1242" s="22" t="s">
        <v>111</v>
      </c>
      <c r="B1242" s="24">
        <v>0.0</v>
      </c>
      <c r="C1242" s="24">
        <v>0.0</v>
      </c>
      <c r="D1242" s="24">
        <v>0.0</v>
      </c>
      <c r="E1242" s="24">
        <v>0.0</v>
      </c>
      <c r="F1242" s="8"/>
      <c r="G1242" s="12"/>
      <c r="H1242" s="28"/>
      <c r="I1242" s="28"/>
    </row>
    <row r="1243">
      <c r="A1243" s="22" t="s">
        <v>98</v>
      </c>
      <c r="B1243" s="24">
        <v>1.0</v>
      </c>
      <c r="C1243" s="24">
        <v>1.0</v>
      </c>
      <c r="D1243" s="24">
        <v>1.0</v>
      </c>
      <c r="E1243" s="24">
        <v>1.0</v>
      </c>
      <c r="F1243" s="8"/>
      <c r="G1243" s="12"/>
      <c r="H1243" s="28"/>
      <c r="I1243" s="28"/>
    </row>
    <row r="1244">
      <c r="A1244" s="22" t="s">
        <v>112</v>
      </c>
      <c r="B1244" s="26">
        <f t="shared" ref="B1244:E1244" si="194">round(((B1239/B1238)*100),2)</f>
        <v>91.55</v>
      </c>
      <c r="C1244" s="26">
        <f t="shared" si="194"/>
        <v>88.99</v>
      </c>
      <c r="D1244" s="26">
        <f t="shared" si="194"/>
        <v>90.69</v>
      </c>
      <c r="E1244" s="26">
        <f t="shared" si="194"/>
        <v>89.23</v>
      </c>
      <c r="F1244" s="8"/>
      <c r="G1244" s="12"/>
      <c r="H1244" s="28"/>
      <c r="I1244" s="28"/>
    </row>
    <row r="1245">
      <c r="A1245" s="25" t="s">
        <v>460</v>
      </c>
      <c r="B1245" s="24" t="s">
        <v>258</v>
      </c>
      <c r="C1245" s="24" t="s">
        <v>378</v>
      </c>
      <c r="D1245" s="32" t="s">
        <v>131</v>
      </c>
      <c r="E1245" s="32" t="s">
        <v>132</v>
      </c>
      <c r="F1245" s="8"/>
      <c r="G1245" s="12"/>
      <c r="H1245" s="28"/>
      <c r="I1245" s="28"/>
    </row>
    <row r="1246">
      <c r="A1246" s="22" t="s">
        <v>100</v>
      </c>
      <c r="B1246" s="24">
        <v>646.0</v>
      </c>
      <c r="C1246" s="24">
        <v>623.0</v>
      </c>
      <c r="D1246" s="24">
        <v>630.0</v>
      </c>
      <c r="E1246" s="24">
        <v>628.0</v>
      </c>
      <c r="F1246" s="8"/>
      <c r="G1246" s="12"/>
      <c r="H1246" s="28"/>
      <c r="I1246" s="28"/>
    </row>
    <row r="1247">
      <c r="A1247" s="25" t="s">
        <v>449</v>
      </c>
      <c r="B1247" s="24">
        <v>2528.0</v>
      </c>
      <c r="C1247" s="24"/>
      <c r="D1247" s="24"/>
      <c r="E1247" s="24"/>
      <c r="F1247" s="8"/>
      <c r="G1247" s="12"/>
      <c r="H1247" s="28"/>
      <c r="I1247" s="28"/>
    </row>
    <row r="1248">
      <c r="A1248" s="22" t="s">
        <v>103</v>
      </c>
      <c r="B1248" s="24" t="s">
        <v>461</v>
      </c>
      <c r="D1248" s="24" t="s">
        <v>462</v>
      </c>
      <c r="F1248" s="8"/>
      <c r="G1248" s="12"/>
      <c r="H1248" s="28"/>
      <c r="I1248" s="28"/>
    </row>
    <row r="1249">
      <c r="A1249" s="22"/>
      <c r="B1249" s="24"/>
      <c r="C1249" s="24"/>
      <c r="D1249" s="24"/>
      <c r="E1249" s="24"/>
      <c r="F1249" s="8"/>
      <c r="G1249" s="12"/>
      <c r="H1249" s="28"/>
      <c r="I1249" s="28"/>
    </row>
    <row r="1250">
      <c r="A1250" s="22"/>
      <c r="B1250" s="24"/>
      <c r="C1250" s="24"/>
      <c r="D1250" s="24"/>
      <c r="E1250" s="24"/>
      <c r="F1250" s="8"/>
      <c r="G1250" s="12"/>
      <c r="H1250" s="28"/>
      <c r="I1250" s="28"/>
    </row>
    <row r="1251">
      <c r="A1251" s="44" t="s">
        <v>50</v>
      </c>
      <c r="B1251" s="29">
        <v>45939.0</v>
      </c>
      <c r="F1251" s="8"/>
      <c r="G1251" s="12"/>
      <c r="H1251" s="28"/>
      <c r="I1251" s="28"/>
    </row>
    <row r="1252">
      <c r="B1252" s="21" t="s">
        <v>4</v>
      </c>
      <c r="C1252" s="21" t="s">
        <v>5</v>
      </c>
      <c r="D1252" s="21" t="s">
        <v>6</v>
      </c>
      <c r="E1252" s="21" t="s">
        <v>7</v>
      </c>
      <c r="F1252" s="8"/>
      <c r="G1252" s="12"/>
      <c r="H1252" s="28"/>
      <c r="I1252" s="28"/>
    </row>
    <row r="1253">
      <c r="A1253" s="22" t="s">
        <v>91</v>
      </c>
      <c r="B1253" s="24">
        <v>59.1</v>
      </c>
      <c r="C1253" s="24">
        <v>57.6</v>
      </c>
      <c r="D1253" s="24">
        <v>63.6</v>
      </c>
      <c r="E1253" s="24">
        <v>61.3</v>
      </c>
      <c r="F1253" s="8"/>
      <c r="G1253" s="12"/>
      <c r="H1253" s="28"/>
      <c r="I1253" s="28"/>
    </row>
    <row r="1254">
      <c r="A1254" s="22" t="s">
        <v>92</v>
      </c>
      <c r="B1254" s="24">
        <v>6.0</v>
      </c>
      <c r="C1254" s="24">
        <v>7.0</v>
      </c>
      <c r="D1254" s="24">
        <v>6.0</v>
      </c>
      <c r="E1254" s="24">
        <v>6.0</v>
      </c>
      <c r="F1254" s="8"/>
      <c r="G1254" s="11" t="s">
        <v>463</v>
      </c>
      <c r="H1254" s="28"/>
      <c r="I1254" s="28"/>
    </row>
    <row r="1255">
      <c r="A1255" s="22" t="s">
        <v>93</v>
      </c>
      <c r="B1255" s="24">
        <v>21159.0</v>
      </c>
      <c r="C1255" s="24">
        <v>20993.0</v>
      </c>
      <c r="D1255" s="24">
        <v>20831.0</v>
      </c>
      <c r="E1255" s="24">
        <v>21108.0</v>
      </c>
      <c r="F1255" s="8"/>
      <c r="G1255" s="11" t="s">
        <v>464</v>
      </c>
      <c r="H1255" s="28"/>
      <c r="I1255" s="28"/>
    </row>
    <row r="1256">
      <c r="A1256" s="22" t="s">
        <v>94</v>
      </c>
      <c r="B1256" s="23">
        <f t="shared" ref="B1256:E1256" si="195">B1263*30</f>
        <v>19200</v>
      </c>
      <c r="C1256" s="23">
        <f t="shared" si="195"/>
        <v>19200</v>
      </c>
      <c r="D1256" s="23">
        <f t="shared" si="195"/>
        <v>18600</v>
      </c>
      <c r="E1256" s="23">
        <f t="shared" si="195"/>
        <v>19230</v>
      </c>
      <c r="F1256" s="8"/>
      <c r="G1256" s="11" t="s">
        <v>334</v>
      </c>
      <c r="H1256" s="28"/>
      <c r="I1256" s="28"/>
    </row>
    <row r="1257">
      <c r="A1257" s="22" t="s">
        <v>95</v>
      </c>
      <c r="B1257" s="24">
        <v>25.0</v>
      </c>
      <c r="C1257" s="24">
        <v>20.0</v>
      </c>
      <c r="D1257" s="24">
        <v>20.0</v>
      </c>
      <c r="E1257" s="24">
        <v>15.0</v>
      </c>
      <c r="F1257" s="8"/>
      <c r="G1257" s="11" t="s">
        <v>465</v>
      </c>
      <c r="H1257" s="28"/>
      <c r="I1257" s="28"/>
    </row>
    <row r="1258">
      <c r="A1258" s="22" t="s">
        <v>96</v>
      </c>
      <c r="B1258" s="24">
        <v>5.0</v>
      </c>
      <c r="C1258" s="24">
        <v>6.0</v>
      </c>
      <c r="D1258" s="24">
        <v>3.0</v>
      </c>
      <c r="E1258" s="24">
        <v>5.0</v>
      </c>
      <c r="F1258" s="8"/>
      <c r="G1258" s="12"/>
      <c r="H1258" s="28"/>
      <c r="I1258" s="28"/>
    </row>
    <row r="1259">
      <c r="A1259" s="22" t="s">
        <v>111</v>
      </c>
      <c r="B1259" s="24">
        <v>110.0</v>
      </c>
      <c r="C1259" s="24">
        <v>110.0</v>
      </c>
      <c r="D1259" s="24">
        <v>110.0</v>
      </c>
      <c r="E1259" s="24">
        <v>0.0</v>
      </c>
      <c r="F1259" s="8"/>
      <c r="G1259" s="12"/>
      <c r="H1259" s="28"/>
      <c r="I1259" s="28"/>
    </row>
    <row r="1260">
      <c r="A1260" s="22" t="s">
        <v>98</v>
      </c>
      <c r="B1260" s="24">
        <v>1.0</v>
      </c>
      <c r="C1260" s="24">
        <v>1.0</v>
      </c>
      <c r="D1260" s="24">
        <v>1.0</v>
      </c>
      <c r="E1260" s="24">
        <v>1.0</v>
      </c>
      <c r="F1260" s="8"/>
      <c r="G1260" s="11"/>
      <c r="H1260" s="28"/>
      <c r="I1260" s="28"/>
    </row>
    <row r="1261">
      <c r="A1261" s="22" t="s">
        <v>112</v>
      </c>
      <c r="B1261" s="26">
        <f t="shared" ref="B1261:E1261" si="196">round(((B1256/B1255)*100),2)</f>
        <v>90.74</v>
      </c>
      <c r="C1261" s="26">
        <f t="shared" si="196"/>
        <v>91.46</v>
      </c>
      <c r="D1261" s="26">
        <f t="shared" si="196"/>
        <v>89.29</v>
      </c>
      <c r="E1261" s="26">
        <f t="shared" si="196"/>
        <v>91.1</v>
      </c>
      <c r="F1261" s="8"/>
      <c r="G1261" s="12"/>
      <c r="H1261" s="28"/>
      <c r="I1261" s="28"/>
    </row>
    <row r="1262">
      <c r="A1262" s="25" t="s">
        <v>460</v>
      </c>
      <c r="B1262" s="24" t="s">
        <v>349</v>
      </c>
      <c r="C1262" s="24" t="s">
        <v>466</v>
      </c>
      <c r="D1262" s="32" t="s">
        <v>131</v>
      </c>
      <c r="E1262" s="32" t="s">
        <v>132</v>
      </c>
      <c r="F1262" s="8"/>
      <c r="G1262" s="12"/>
      <c r="H1262" s="28"/>
      <c r="I1262" s="28"/>
    </row>
    <row r="1263">
      <c r="A1263" s="22" t="s">
        <v>100</v>
      </c>
      <c r="B1263" s="24">
        <v>640.0</v>
      </c>
      <c r="C1263" s="24">
        <v>640.0</v>
      </c>
      <c r="D1263" s="24">
        <v>620.0</v>
      </c>
      <c r="E1263" s="24">
        <v>641.0</v>
      </c>
      <c r="F1263" s="8"/>
      <c r="G1263" s="12"/>
      <c r="H1263" s="28"/>
      <c r="I1263" s="28"/>
    </row>
    <row r="1264">
      <c r="A1264" s="25" t="s">
        <v>449</v>
      </c>
      <c r="B1264" s="24">
        <v>2543.0</v>
      </c>
      <c r="C1264" s="24"/>
      <c r="D1264" s="24"/>
      <c r="E1264" s="24"/>
      <c r="F1264" s="8"/>
      <c r="G1264" s="12"/>
      <c r="H1264" s="28"/>
      <c r="I1264" s="28"/>
    </row>
    <row r="1265">
      <c r="A1265" s="22" t="s">
        <v>103</v>
      </c>
      <c r="B1265" s="24" t="s">
        <v>467</v>
      </c>
      <c r="D1265" s="24" t="s">
        <v>468</v>
      </c>
      <c r="F1265" s="8"/>
      <c r="G1265" s="12"/>
      <c r="H1265" s="28"/>
      <c r="I1265" s="28"/>
    </row>
    <row r="1266">
      <c r="A1266" s="22"/>
      <c r="B1266" s="24"/>
      <c r="C1266" s="24"/>
      <c r="D1266" s="24"/>
      <c r="E1266" s="24"/>
      <c r="F1266" s="8"/>
      <c r="G1266" s="12"/>
      <c r="H1266" s="28"/>
      <c r="I1266" s="28"/>
    </row>
    <row r="1267">
      <c r="A1267" s="22"/>
      <c r="B1267" s="24"/>
      <c r="C1267" s="24"/>
      <c r="D1267" s="24"/>
      <c r="E1267" s="24"/>
      <c r="F1267" s="8"/>
      <c r="G1267" s="12"/>
      <c r="H1267" s="28"/>
      <c r="I1267" s="28"/>
    </row>
    <row r="1268">
      <c r="A1268" s="44" t="s">
        <v>50</v>
      </c>
      <c r="B1268" s="29">
        <v>45970.0</v>
      </c>
      <c r="F1268" s="8"/>
      <c r="G1268" s="12"/>
      <c r="H1268" s="28"/>
      <c r="I1268" s="28"/>
    </row>
    <row r="1269">
      <c r="B1269" s="21" t="s">
        <v>4</v>
      </c>
      <c r="C1269" s="21" t="s">
        <v>5</v>
      </c>
      <c r="D1269" s="21" t="s">
        <v>6</v>
      </c>
      <c r="E1269" s="21" t="s">
        <v>7</v>
      </c>
      <c r="F1269" s="8"/>
      <c r="G1269" s="12"/>
      <c r="H1269" s="28"/>
      <c r="I1269" s="28"/>
    </row>
    <row r="1270">
      <c r="A1270" s="22" t="s">
        <v>91</v>
      </c>
      <c r="B1270" s="24">
        <v>59.1</v>
      </c>
      <c r="C1270" s="24">
        <v>57.6</v>
      </c>
      <c r="D1270" s="24">
        <v>63.6</v>
      </c>
      <c r="E1270" s="24">
        <v>61.4</v>
      </c>
      <c r="F1270" s="8"/>
      <c r="G1270" s="12"/>
      <c r="H1270" s="28"/>
      <c r="I1270" s="28"/>
    </row>
    <row r="1271">
      <c r="A1271" s="22" t="s">
        <v>92</v>
      </c>
      <c r="B1271" s="24">
        <v>6.0</v>
      </c>
      <c r="C1271" s="24">
        <v>7.0</v>
      </c>
      <c r="D1271" s="24">
        <v>6.0</v>
      </c>
      <c r="E1271" s="24">
        <v>9.0</v>
      </c>
      <c r="F1271" s="8"/>
      <c r="G1271" s="12"/>
      <c r="H1271" s="28"/>
      <c r="I1271" s="28"/>
    </row>
    <row r="1272">
      <c r="A1272" s="22" t="s">
        <v>93</v>
      </c>
      <c r="B1272" s="24">
        <v>21159.0</v>
      </c>
      <c r="C1272" s="24">
        <v>20993.0</v>
      </c>
      <c r="D1272" s="24">
        <v>20831.0</v>
      </c>
      <c r="E1272" s="24">
        <v>21099.0</v>
      </c>
      <c r="F1272" s="8"/>
      <c r="G1272" s="12"/>
      <c r="H1272" s="28"/>
      <c r="I1272" s="28"/>
    </row>
    <row r="1273">
      <c r="A1273" s="22" t="s">
        <v>94</v>
      </c>
      <c r="B1273" s="23">
        <f t="shared" ref="B1273:E1273" si="197">B1280*30</f>
        <v>19200</v>
      </c>
      <c r="C1273" s="23">
        <f t="shared" si="197"/>
        <v>19200</v>
      </c>
      <c r="D1273" s="23">
        <f t="shared" si="197"/>
        <v>18600</v>
      </c>
      <c r="E1273" s="23">
        <f t="shared" si="197"/>
        <v>18960</v>
      </c>
      <c r="F1273" s="8"/>
      <c r="G1273" s="12"/>
      <c r="H1273" s="28"/>
      <c r="I1273" s="28"/>
    </row>
    <row r="1274">
      <c r="A1274" s="22" t="s">
        <v>95</v>
      </c>
      <c r="B1274" s="24">
        <v>25.0</v>
      </c>
      <c r="C1274" s="24">
        <v>20.0</v>
      </c>
      <c r="D1274" s="24">
        <v>20.0</v>
      </c>
      <c r="E1274" s="24">
        <v>28.0</v>
      </c>
      <c r="F1274" s="8"/>
      <c r="G1274" s="12"/>
      <c r="H1274" s="28"/>
      <c r="I1274" s="28"/>
    </row>
    <row r="1275">
      <c r="A1275" s="22" t="s">
        <v>96</v>
      </c>
      <c r="B1275" s="24">
        <v>5.0</v>
      </c>
      <c r="C1275" s="24">
        <v>6.0</v>
      </c>
      <c r="D1275" s="24">
        <v>3.0</v>
      </c>
      <c r="E1275" s="24">
        <v>7.0</v>
      </c>
      <c r="F1275" s="8"/>
      <c r="G1275" s="12"/>
      <c r="H1275" s="28"/>
      <c r="I1275" s="28"/>
    </row>
    <row r="1276">
      <c r="A1276" s="22" t="s">
        <v>111</v>
      </c>
      <c r="B1276" s="24">
        <v>110.0</v>
      </c>
      <c r="C1276" s="24">
        <v>110.0</v>
      </c>
      <c r="D1276" s="24">
        <v>110.0</v>
      </c>
      <c r="E1276" s="24">
        <v>110.0</v>
      </c>
      <c r="F1276" s="8"/>
      <c r="G1276" s="12"/>
      <c r="H1276" s="28"/>
      <c r="I1276" s="28"/>
    </row>
    <row r="1277">
      <c r="A1277" s="22" t="s">
        <v>98</v>
      </c>
      <c r="B1277" s="24">
        <v>1.0</v>
      </c>
      <c r="C1277" s="24">
        <v>1.0</v>
      </c>
      <c r="D1277" s="24">
        <v>1.0</v>
      </c>
      <c r="E1277" s="24">
        <v>1.0</v>
      </c>
      <c r="F1277" s="8"/>
      <c r="G1277" s="12"/>
      <c r="H1277" s="28"/>
      <c r="I1277" s="28"/>
    </row>
    <row r="1278">
      <c r="A1278" s="22" t="s">
        <v>112</v>
      </c>
      <c r="B1278" s="26">
        <f t="shared" ref="B1278:E1278" si="198">round(((B1273/B1272)*100),2)</f>
        <v>90.74</v>
      </c>
      <c r="C1278" s="26">
        <f t="shared" si="198"/>
        <v>91.46</v>
      </c>
      <c r="D1278" s="26">
        <f t="shared" si="198"/>
        <v>89.29</v>
      </c>
      <c r="E1278" s="26">
        <f t="shared" si="198"/>
        <v>89.86</v>
      </c>
      <c r="F1278" s="8"/>
      <c r="G1278" s="12"/>
      <c r="H1278" s="28"/>
      <c r="I1278" s="28"/>
    </row>
    <row r="1279">
      <c r="A1279" s="25" t="s">
        <v>460</v>
      </c>
      <c r="B1279" s="24" t="s">
        <v>349</v>
      </c>
      <c r="C1279" s="24" t="s">
        <v>466</v>
      </c>
      <c r="D1279" s="32" t="s">
        <v>131</v>
      </c>
      <c r="E1279" s="32" t="s">
        <v>132</v>
      </c>
      <c r="F1279" s="8"/>
      <c r="G1279" s="12"/>
      <c r="H1279" s="28"/>
      <c r="I1279" s="28"/>
    </row>
    <row r="1280">
      <c r="A1280" s="22" t="s">
        <v>100</v>
      </c>
      <c r="B1280" s="24">
        <v>640.0</v>
      </c>
      <c r="C1280" s="24">
        <v>640.0</v>
      </c>
      <c r="D1280" s="24">
        <v>620.0</v>
      </c>
      <c r="E1280" s="24">
        <v>632.0</v>
      </c>
      <c r="F1280" s="8"/>
      <c r="G1280" s="12"/>
      <c r="H1280" s="28"/>
      <c r="I1280" s="28"/>
    </row>
    <row r="1281">
      <c r="A1281" s="25" t="s">
        <v>449</v>
      </c>
      <c r="B1281" s="24">
        <v>2543.0</v>
      </c>
      <c r="C1281" s="24"/>
      <c r="D1281" s="24"/>
      <c r="E1281" s="24"/>
      <c r="F1281" s="8"/>
      <c r="G1281" s="12"/>
      <c r="H1281" s="28"/>
      <c r="I1281" s="28"/>
    </row>
    <row r="1282">
      <c r="A1282" s="22" t="s">
        <v>103</v>
      </c>
      <c r="B1282" s="24" t="s">
        <v>469</v>
      </c>
      <c r="D1282" s="24" t="s">
        <v>468</v>
      </c>
      <c r="F1282" s="8"/>
      <c r="G1282" s="12"/>
      <c r="H1282" s="28"/>
      <c r="I1282" s="28"/>
    </row>
    <row r="1283">
      <c r="A1283" s="22"/>
      <c r="B1283" s="24"/>
      <c r="C1283" s="24"/>
      <c r="D1283" s="24"/>
      <c r="E1283" s="24"/>
      <c r="F1283" s="8"/>
      <c r="G1283" s="12"/>
      <c r="H1283" s="28"/>
      <c r="I1283" s="28"/>
    </row>
    <row r="1284">
      <c r="A1284" s="22"/>
      <c r="B1284" s="24"/>
      <c r="C1284" s="24"/>
      <c r="D1284" s="24"/>
      <c r="E1284" s="24"/>
      <c r="F1284" s="8"/>
      <c r="G1284" s="12"/>
      <c r="H1284" s="28"/>
      <c r="I1284" s="28"/>
    </row>
    <row r="1285">
      <c r="A1285" s="22"/>
      <c r="B1285" s="24"/>
      <c r="C1285" s="24"/>
      <c r="D1285" s="24"/>
      <c r="E1285" s="24"/>
      <c r="F1285" s="8"/>
      <c r="G1285" s="12"/>
      <c r="H1285" s="28"/>
      <c r="I1285" s="28"/>
    </row>
    <row r="1286">
      <c r="A1286" s="22"/>
      <c r="B1286" s="24"/>
      <c r="C1286" s="24"/>
      <c r="D1286" s="24"/>
      <c r="E1286" s="24"/>
      <c r="F1286" s="8"/>
      <c r="G1286" s="12"/>
      <c r="H1286" s="28"/>
      <c r="I1286" s="28"/>
    </row>
    <row r="1287">
      <c r="A1287" s="22"/>
      <c r="B1287" s="24"/>
      <c r="C1287" s="24"/>
      <c r="D1287" s="24"/>
      <c r="E1287" s="24"/>
      <c r="F1287" s="8"/>
      <c r="G1287" s="12"/>
      <c r="H1287" s="28"/>
      <c r="I1287" s="28"/>
    </row>
    <row r="1288">
      <c r="A1288" s="22"/>
      <c r="B1288" s="24"/>
      <c r="C1288" s="24"/>
      <c r="D1288" s="24"/>
      <c r="E1288" s="24"/>
      <c r="F1288" s="8"/>
      <c r="G1288" s="12"/>
      <c r="H1288" s="28"/>
      <c r="I1288" s="28"/>
    </row>
    <row r="1289">
      <c r="A1289" s="22"/>
      <c r="B1289" s="24"/>
      <c r="C1289" s="24"/>
      <c r="D1289" s="24"/>
      <c r="E1289" s="24"/>
      <c r="F1289" s="8"/>
      <c r="G1289" s="12"/>
      <c r="H1289" s="28"/>
      <c r="I1289" s="28"/>
    </row>
    <row r="1290">
      <c r="A1290" s="22"/>
      <c r="B1290" s="24"/>
      <c r="C1290" s="24"/>
      <c r="D1290" s="24"/>
      <c r="E1290" s="24"/>
      <c r="F1290" s="8"/>
      <c r="G1290" s="12"/>
      <c r="H1290" s="28"/>
      <c r="I1290" s="28"/>
    </row>
    <row r="1291">
      <c r="A1291" s="22"/>
      <c r="B1291" s="24"/>
      <c r="C1291" s="24"/>
      <c r="D1291" s="24"/>
      <c r="E1291" s="24"/>
      <c r="F1291" s="8"/>
      <c r="G1291" s="12"/>
      <c r="H1291" s="28"/>
      <c r="I1291" s="28"/>
    </row>
    <row r="1292">
      <c r="A1292" s="22"/>
      <c r="B1292" s="24"/>
      <c r="C1292" s="24"/>
      <c r="D1292" s="24"/>
      <c r="E1292" s="24"/>
      <c r="F1292" s="8"/>
      <c r="G1292" s="12"/>
      <c r="H1292" s="28"/>
      <c r="I1292" s="28"/>
    </row>
    <row r="1293">
      <c r="A1293" s="22"/>
      <c r="B1293" s="24"/>
      <c r="C1293" s="24"/>
      <c r="D1293" s="24"/>
      <c r="E1293" s="24"/>
      <c r="F1293" s="8"/>
      <c r="G1293" s="12"/>
      <c r="H1293" s="28"/>
      <c r="I1293" s="28"/>
    </row>
    <row r="1294">
      <c r="A1294" s="22"/>
      <c r="B1294" s="24"/>
      <c r="C1294" s="24"/>
      <c r="D1294" s="24"/>
      <c r="E1294" s="24"/>
      <c r="F1294" s="8"/>
      <c r="G1294" s="12"/>
      <c r="H1294" s="28"/>
      <c r="I1294" s="28"/>
    </row>
    <row r="1295">
      <c r="A1295" s="22"/>
      <c r="B1295" s="24"/>
      <c r="C1295" s="24"/>
      <c r="D1295" s="24"/>
      <c r="E1295" s="24"/>
      <c r="F1295" s="8"/>
      <c r="G1295" s="12"/>
      <c r="H1295" s="28"/>
      <c r="I1295" s="28"/>
    </row>
    <row r="1296">
      <c r="A1296" s="22"/>
      <c r="B1296" s="24"/>
      <c r="C1296" s="24"/>
      <c r="D1296" s="24"/>
      <c r="E1296" s="24"/>
      <c r="F1296" s="8"/>
      <c r="G1296" s="12"/>
      <c r="H1296" s="28"/>
      <c r="I1296" s="28"/>
    </row>
    <row r="1297">
      <c r="A1297" s="22"/>
      <c r="B1297" s="24"/>
      <c r="C1297" s="24"/>
      <c r="D1297" s="24"/>
      <c r="E1297" s="24"/>
      <c r="F1297" s="8"/>
      <c r="G1297" s="12"/>
      <c r="H1297" s="28"/>
      <c r="I1297" s="28"/>
    </row>
    <row r="1298">
      <c r="A1298" s="22"/>
      <c r="B1298" s="24"/>
      <c r="C1298" s="24"/>
      <c r="D1298" s="24"/>
      <c r="E1298" s="24"/>
      <c r="F1298" s="8"/>
      <c r="G1298" s="12"/>
      <c r="H1298" s="28"/>
      <c r="I1298" s="28"/>
    </row>
    <row r="1299">
      <c r="A1299" s="22"/>
      <c r="B1299" s="24"/>
      <c r="C1299" s="24"/>
      <c r="D1299" s="24"/>
      <c r="E1299" s="24"/>
      <c r="F1299" s="8"/>
      <c r="G1299" s="12"/>
      <c r="H1299" s="28"/>
      <c r="I1299" s="28"/>
    </row>
    <row r="1300">
      <c r="A1300" s="22"/>
      <c r="B1300" s="24"/>
      <c r="C1300" s="24"/>
      <c r="D1300" s="24"/>
      <c r="E1300" s="24"/>
      <c r="F1300" s="8"/>
      <c r="G1300" s="12"/>
      <c r="H1300" s="28"/>
      <c r="I1300" s="28"/>
    </row>
    <row r="1301">
      <c r="A1301" s="22"/>
      <c r="B1301" s="24"/>
      <c r="C1301" s="24"/>
      <c r="D1301" s="24"/>
      <c r="E1301" s="24"/>
      <c r="F1301" s="8"/>
      <c r="G1301" s="12"/>
      <c r="H1301" s="28"/>
      <c r="I1301" s="28"/>
    </row>
    <row r="1302">
      <c r="A1302" s="22"/>
      <c r="B1302" s="24"/>
      <c r="C1302" s="24"/>
      <c r="D1302" s="24"/>
      <c r="E1302" s="24"/>
      <c r="F1302" s="8"/>
      <c r="G1302" s="12"/>
      <c r="H1302" s="28"/>
      <c r="I1302" s="28"/>
    </row>
    <row r="1303">
      <c r="A1303" s="22"/>
      <c r="B1303" s="24"/>
      <c r="C1303" s="24"/>
      <c r="D1303" s="24"/>
      <c r="E1303" s="24"/>
      <c r="F1303" s="8"/>
      <c r="G1303" s="12"/>
      <c r="H1303" s="28"/>
      <c r="I1303" s="28"/>
    </row>
    <row r="1304">
      <c r="A1304" s="22"/>
      <c r="B1304" s="24"/>
      <c r="C1304" s="24"/>
      <c r="D1304" s="24"/>
      <c r="E1304" s="24"/>
      <c r="F1304" s="8"/>
      <c r="G1304" s="12"/>
      <c r="H1304" s="28"/>
      <c r="I1304" s="28"/>
    </row>
    <row r="1305">
      <c r="A1305" s="22"/>
      <c r="B1305" s="24"/>
      <c r="C1305" s="24"/>
      <c r="D1305" s="24"/>
      <c r="E1305" s="24"/>
      <c r="F1305" s="8"/>
      <c r="G1305" s="12"/>
      <c r="H1305" s="28"/>
      <c r="I1305" s="28"/>
    </row>
    <row r="1306">
      <c r="A1306" s="22"/>
      <c r="B1306" s="24"/>
      <c r="C1306" s="24"/>
      <c r="D1306" s="24"/>
      <c r="E1306" s="24"/>
      <c r="F1306" s="8"/>
      <c r="G1306" s="12"/>
      <c r="H1306" s="28"/>
      <c r="I1306" s="28"/>
    </row>
    <row r="1307">
      <c r="A1307" s="22"/>
      <c r="B1307" s="24"/>
      <c r="C1307" s="24"/>
      <c r="D1307" s="24"/>
      <c r="E1307" s="24"/>
      <c r="F1307" s="8"/>
      <c r="G1307" s="12"/>
      <c r="H1307" s="28"/>
      <c r="I1307" s="28"/>
    </row>
    <row r="1308">
      <c r="A1308" s="22"/>
      <c r="B1308" s="24"/>
      <c r="C1308" s="24"/>
      <c r="D1308" s="24"/>
      <c r="E1308" s="24"/>
      <c r="F1308" s="8"/>
      <c r="G1308" s="12"/>
      <c r="H1308" s="28"/>
      <c r="I1308" s="28"/>
    </row>
    <row r="1309">
      <c r="A1309" s="22"/>
      <c r="B1309" s="24"/>
      <c r="C1309" s="24"/>
      <c r="D1309" s="24"/>
      <c r="E1309" s="24"/>
      <c r="F1309" s="8"/>
      <c r="G1309" s="12"/>
      <c r="H1309" s="28"/>
      <c r="I1309" s="28"/>
    </row>
    <row r="1310">
      <c r="A1310" s="22"/>
      <c r="B1310" s="24"/>
      <c r="C1310" s="24"/>
      <c r="D1310" s="24"/>
      <c r="E1310" s="24"/>
      <c r="F1310" s="8"/>
      <c r="G1310" s="12"/>
      <c r="H1310" s="28"/>
      <c r="I1310" s="28"/>
    </row>
    <row r="1311">
      <c r="A1311" s="22"/>
      <c r="B1311" s="24"/>
      <c r="C1311" s="24"/>
      <c r="D1311" s="24"/>
      <c r="E1311" s="24"/>
      <c r="F1311" s="8"/>
      <c r="G1311" s="12"/>
      <c r="H1311" s="28"/>
      <c r="I1311" s="28"/>
    </row>
    <row r="1312">
      <c r="A1312" s="22"/>
      <c r="B1312" s="24"/>
      <c r="C1312" s="24"/>
      <c r="D1312" s="24"/>
      <c r="E1312" s="24"/>
      <c r="F1312" s="8"/>
      <c r="G1312" s="12"/>
      <c r="H1312" s="28"/>
      <c r="I1312" s="28"/>
    </row>
    <row r="1313">
      <c r="A1313" s="22"/>
      <c r="B1313" s="24"/>
      <c r="C1313" s="24"/>
      <c r="D1313" s="24"/>
      <c r="E1313" s="24"/>
      <c r="F1313" s="8"/>
      <c r="G1313" s="12"/>
      <c r="H1313" s="28"/>
      <c r="I1313" s="28"/>
    </row>
    <row r="1314">
      <c r="A1314" s="22"/>
      <c r="B1314" s="24"/>
      <c r="C1314" s="24"/>
      <c r="D1314" s="24"/>
      <c r="E1314" s="24"/>
      <c r="F1314" s="8"/>
      <c r="G1314" s="12"/>
      <c r="H1314" s="28"/>
      <c r="I1314" s="28"/>
    </row>
    <row r="1315">
      <c r="A1315" s="22"/>
      <c r="B1315" s="24"/>
      <c r="C1315" s="24"/>
      <c r="D1315" s="24"/>
      <c r="E1315" s="24"/>
      <c r="F1315" s="8"/>
      <c r="G1315" s="12"/>
      <c r="H1315" s="28"/>
      <c r="I1315" s="28"/>
    </row>
    <row r="1316">
      <c r="A1316" s="22"/>
      <c r="B1316" s="24"/>
      <c r="C1316" s="24"/>
      <c r="D1316" s="24"/>
      <c r="E1316" s="24"/>
      <c r="F1316" s="8"/>
      <c r="G1316" s="12"/>
      <c r="H1316" s="28"/>
      <c r="I1316" s="28"/>
    </row>
    <row r="1317">
      <c r="A1317" s="22"/>
      <c r="B1317" s="24"/>
      <c r="C1317" s="24"/>
      <c r="D1317" s="24"/>
      <c r="E1317" s="24"/>
      <c r="F1317" s="8"/>
      <c r="G1317" s="12"/>
      <c r="H1317" s="28"/>
      <c r="I1317" s="28"/>
    </row>
    <row r="1318">
      <c r="A1318" s="22"/>
      <c r="B1318" s="24"/>
      <c r="C1318" s="24"/>
      <c r="D1318" s="24"/>
      <c r="E1318" s="24"/>
      <c r="F1318" s="8"/>
      <c r="G1318" s="12"/>
      <c r="H1318" s="28"/>
      <c r="I1318" s="28"/>
    </row>
    <row r="1319">
      <c r="A1319" s="22"/>
      <c r="B1319" s="24"/>
      <c r="C1319" s="24"/>
      <c r="D1319" s="24"/>
      <c r="E1319" s="24"/>
      <c r="F1319" s="8"/>
      <c r="G1319" s="12"/>
      <c r="H1319" s="28"/>
      <c r="I1319" s="28"/>
    </row>
    <row r="1320">
      <c r="A1320" s="22"/>
      <c r="B1320" s="24"/>
      <c r="C1320" s="24"/>
      <c r="D1320" s="24"/>
      <c r="E1320" s="24"/>
      <c r="F1320" s="8"/>
      <c r="G1320" s="12"/>
      <c r="H1320" s="28"/>
      <c r="I1320" s="28"/>
    </row>
    <row r="1321">
      <c r="A1321" s="22"/>
      <c r="B1321" s="24"/>
      <c r="C1321" s="24"/>
      <c r="D1321" s="24"/>
      <c r="E1321" s="24"/>
      <c r="F1321" s="8"/>
      <c r="G1321" s="12"/>
      <c r="H1321" s="28"/>
      <c r="I1321" s="28"/>
    </row>
    <row r="1322">
      <c r="A1322" s="22"/>
      <c r="B1322" s="24"/>
      <c r="C1322" s="24"/>
      <c r="D1322" s="24"/>
      <c r="E1322" s="24"/>
      <c r="F1322" s="8"/>
      <c r="G1322" s="12"/>
      <c r="H1322" s="28"/>
      <c r="I1322" s="28"/>
    </row>
    <row r="1323">
      <c r="A1323" s="22"/>
      <c r="B1323" s="24"/>
      <c r="C1323" s="24"/>
      <c r="D1323" s="24"/>
      <c r="E1323" s="24"/>
      <c r="F1323" s="8"/>
      <c r="G1323" s="12"/>
      <c r="H1323" s="28"/>
      <c r="I1323" s="28"/>
    </row>
    <row r="1324">
      <c r="A1324" s="22"/>
      <c r="B1324" s="24"/>
      <c r="C1324" s="24"/>
      <c r="D1324" s="24"/>
      <c r="E1324" s="24"/>
      <c r="F1324" s="8"/>
      <c r="G1324" s="12"/>
      <c r="H1324" s="28"/>
      <c r="I1324" s="28"/>
    </row>
    <row r="1325">
      <c r="A1325" s="22"/>
      <c r="B1325" s="24"/>
      <c r="C1325" s="24"/>
      <c r="D1325" s="24"/>
      <c r="E1325" s="24"/>
      <c r="F1325" s="8"/>
      <c r="G1325" s="12"/>
      <c r="H1325" s="28"/>
      <c r="I1325" s="28"/>
    </row>
    <row r="1326">
      <c r="A1326" s="22"/>
      <c r="B1326" s="24"/>
      <c r="C1326" s="24"/>
      <c r="D1326" s="24"/>
      <c r="E1326" s="24"/>
      <c r="F1326" s="8"/>
      <c r="G1326" s="12"/>
      <c r="H1326" s="28"/>
      <c r="I1326" s="28"/>
    </row>
    <row r="1327">
      <c r="A1327" s="22"/>
      <c r="B1327" s="24"/>
      <c r="C1327" s="24"/>
      <c r="D1327" s="24"/>
      <c r="E1327" s="24"/>
      <c r="F1327" s="8"/>
      <c r="G1327" s="12"/>
      <c r="H1327" s="28"/>
      <c r="I1327" s="28"/>
    </row>
    <row r="1328">
      <c r="A1328" s="22"/>
      <c r="B1328" s="24"/>
      <c r="C1328" s="24"/>
      <c r="D1328" s="24"/>
      <c r="E1328" s="24"/>
      <c r="F1328" s="8"/>
      <c r="G1328" s="12"/>
      <c r="H1328" s="28"/>
      <c r="I1328" s="28"/>
    </row>
    <row r="1329">
      <c r="A1329" s="22"/>
      <c r="B1329" s="24"/>
      <c r="C1329" s="24"/>
      <c r="D1329" s="24"/>
      <c r="E1329" s="24"/>
      <c r="F1329" s="8"/>
      <c r="G1329" s="12"/>
      <c r="H1329" s="28"/>
      <c r="I1329" s="28"/>
    </row>
    <row r="1330">
      <c r="A1330" s="22"/>
      <c r="B1330" s="24"/>
      <c r="C1330" s="24"/>
      <c r="D1330" s="24"/>
      <c r="E1330" s="24"/>
      <c r="F1330" s="8"/>
      <c r="G1330" s="12"/>
      <c r="H1330" s="28"/>
      <c r="I1330" s="28"/>
    </row>
    <row r="1331">
      <c r="A1331" s="22"/>
      <c r="B1331" s="24"/>
      <c r="C1331" s="24"/>
      <c r="D1331" s="24"/>
      <c r="E1331" s="24"/>
      <c r="F1331" s="8"/>
      <c r="G1331" s="12"/>
      <c r="H1331" s="28"/>
      <c r="I1331" s="28"/>
    </row>
    <row r="1332">
      <c r="A1332" s="22"/>
      <c r="B1332" s="24"/>
      <c r="C1332" s="24"/>
      <c r="D1332" s="24"/>
      <c r="E1332" s="24"/>
      <c r="F1332" s="8"/>
      <c r="G1332" s="12"/>
      <c r="H1332" s="28"/>
      <c r="I1332" s="28"/>
    </row>
    <row r="1333">
      <c r="A1333" s="22"/>
      <c r="B1333" s="24"/>
      <c r="C1333" s="24"/>
      <c r="D1333" s="24"/>
      <c r="E1333" s="24"/>
      <c r="F1333" s="8"/>
      <c r="G1333" s="12"/>
      <c r="H1333" s="28"/>
      <c r="I1333" s="28"/>
    </row>
    <row r="1334">
      <c r="A1334" s="22"/>
      <c r="B1334" s="24"/>
      <c r="C1334" s="24"/>
      <c r="D1334" s="24"/>
      <c r="E1334" s="24"/>
      <c r="F1334" s="8"/>
      <c r="G1334" s="12"/>
      <c r="H1334" s="28"/>
      <c r="I1334" s="28"/>
    </row>
    <row r="1335">
      <c r="A1335" s="22"/>
      <c r="B1335" s="24"/>
      <c r="C1335" s="24"/>
      <c r="D1335" s="24"/>
      <c r="E1335" s="24"/>
      <c r="F1335" s="8"/>
      <c r="G1335" s="12"/>
      <c r="H1335" s="28"/>
      <c r="I1335" s="28"/>
    </row>
    <row r="1336">
      <c r="A1336" s="22"/>
      <c r="B1336" s="24"/>
      <c r="C1336" s="24"/>
      <c r="D1336" s="24"/>
      <c r="E1336" s="24"/>
      <c r="F1336" s="8"/>
      <c r="G1336" s="12"/>
      <c r="H1336" s="28"/>
      <c r="I1336" s="28"/>
    </row>
    <row r="1337">
      <c r="A1337" s="22"/>
      <c r="B1337" s="24"/>
      <c r="C1337" s="24"/>
      <c r="D1337" s="24"/>
      <c r="E1337" s="24"/>
      <c r="F1337" s="8"/>
      <c r="G1337" s="12"/>
      <c r="H1337" s="28"/>
      <c r="I1337" s="28"/>
    </row>
    <row r="1338">
      <c r="A1338" s="22"/>
      <c r="B1338" s="24"/>
      <c r="C1338" s="24"/>
      <c r="D1338" s="24"/>
      <c r="E1338" s="24"/>
      <c r="F1338" s="8"/>
      <c r="G1338" s="12"/>
      <c r="H1338" s="28"/>
      <c r="I1338" s="28"/>
    </row>
    <row r="1339">
      <c r="A1339" s="22"/>
      <c r="B1339" s="24"/>
      <c r="C1339" s="24"/>
      <c r="D1339" s="24"/>
      <c r="E1339" s="24"/>
      <c r="F1339" s="8"/>
      <c r="G1339" s="12"/>
      <c r="H1339" s="28"/>
      <c r="I1339" s="28"/>
    </row>
    <row r="1340">
      <c r="A1340" s="22"/>
      <c r="B1340" s="24"/>
      <c r="C1340" s="24"/>
      <c r="D1340" s="24"/>
      <c r="E1340" s="24"/>
      <c r="F1340" s="8"/>
      <c r="G1340" s="12"/>
      <c r="H1340" s="28"/>
      <c r="I1340" s="28"/>
    </row>
    <row r="1341">
      <c r="A1341" s="22"/>
      <c r="B1341" s="24"/>
      <c r="C1341" s="24"/>
      <c r="D1341" s="24"/>
      <c r="E1341" s="24"/>
      <c r="F1341" s="8"/>
      <c r="G1341" s="12"/>
      <c r="H1341" s="28"/>
      <c r="I1341" s="28"/>
    </row>
    <row r="1342">
      <c r="A1342" s="22"/>
      <c r="B1342" s="24"/>
      <c r="C1342" s="24"/>
      <c r="D1342" s="24"/>
      <c r="E1342" s="24"/>
      <c r="F1342" s="8"/>
      <c r="G1342" s="12"/>
      <c r="H1342" s="28"/>
      <c r="I1342" s="28"/>
    </row>
    <row r="1343">
      <c r="A1343" s="22"/>
      <c r="B1343" s="24"/>
      <c r="C1343" s="24"/>
      <c r="D1343" s="24"/>
      <c r="E1343" s="24"/>
      <c r="F1343" s="8"/>
      <c r="G1343" s="12"/>
      <c r="H1343" s="28"/>
      <c r="I1343" s="28"/>
    </row>
    <row r="1344">
      <c r="A1344" s="22"/>
      <c r="B1344" s="24"/>
      <c r="C1344" s="24"/>
      <c r="D1344" s="24"/>
      <c r="E1344" s="24"/>
      <c r="F1344" s="8"/>
      <c r="G1344" s="12"/>
      <c r="H1344" s="28"/>
      <c r="I1344" s="28"/>
    </row>
    <row r="1345">
      <c r="A1345" s="22"/>
      <c r="B1345" s="24"/>
      <c r="C1345" s="24"/>
      <c r="D1345" s="24"/>
      <c r="E1345" s="24"/>
      <c r="F1345" s="8"/>
      <c r="G1345" s="12"/>
      <c r="H1345" s="28"/>
      <c r="I1345" s="28"/>
    </row>
    <row r="1346">
      <c r="A1346" s="22"/>
      <c r="B1346" s="24"/>
      <c r="C1346" s="24"/>
      <c r="D1346" s="24"/>
      <c r="E1346" s="24"/>
      <c r="F1346" s="8"/>
      <c r="G1346" s="12"/>
      <c r="H1346" s="28"/>
      <c r="I1346" s="28"/>
    </row>
    <row r="1347">
      <c r="A1347" s="22"/>
      <c r="B1347" s="24"/>
      <c r="C1347" s="24"/>
      <c r="D1347" s="24"/>
      <c r="E1347" s="24"/>
      <c r="F1347" s="8"/>
      <c r="G1347" s="12"/>
      <c r="H1347" s="28"/>
      <c r="I1347" s="28"/>
    </row>
    <row r="1348">
      <c r="A1348" s="22"/>
      <c r="B1348" s="24"/>
      <c r="C1348" s="24"/>
      <c r="D1348" s="24"/>
      <c r="E1348" s="24"/>
      <c r="F1348" s="8"/>
      <c r="G1348" s="12"/>
      <c r="H1348" s="28"/>
      <c r="I1348" s="28"/>
    </row>
    <row r="1349">
      <c r="A1349" s="22"/>
      <c r="B1349" s="24"/>
      <c r="C1349" s="24"/>
      <c r="D1349" s="24"/>
      <c r="E1349" s="24"/>
      <c r="F1349" s="8"/>
      <c r="G1349" s="12"/>
      <c r="H1349" s="28"/>
      <c r="I1349" s="28"/>
    </row>
    <row r="1350">
      <c r="A1350" s="22"/>
      <c r="B1350" s="24"/>
      <c r="C1350" s="24"/>
      <c r="D1350" s="24"/>
      <c r="E1350" s="24"/>
      <c r="F1350" s="8"/>
      <c r="G1350" s="12"/>
      <c r="H1350" s="28"/>
      <c r="I1350" s="28"/>
    </row>
    <row r="1351">
      <c r="A1351" s="22"/>
      <c r="B1351" s="24"/>
      <c r="C1351" s="24"/>
      <c r="D1351" s="24"/>
      <c r="E1351" s="24"/>
      <c r="F1351" s="8"/>
      <c r="G1351" s="12"/>
      <c r="H1351" s="28"/>
      <c r="I1351" s="28"/>
    </row>
    <row r="1352">
      <c r="A1352" s="22"/>
      <c r="B1352" s="24"/>
      <c r="C1352" s="24"/>
      <c r="D1352" s="24"/>
      <c r="E1352" s="24"/>
      <c r="F1352" s="8"/>
      <c r="G1352" s="12"/>
      <c r="H1352" s="28"/>
      <c r="I1352" s="28"/>
    </row>
    <row r="1353">
      <c r="A1353" s="22"/>
      <c r="B1353" s="24"/>
      <c r="C1353" s="24"/>
      <c r="D1353" s="24"/>
      <c r="E1353" s="24"/>
      <c r="F1353" s="8"/>
      <c r="G1353" s="12"/>
      <c r="H1353" s="28"/>
      <c r="I1353" s="28"/>
    </row>
    <row r="1354">
      <c r="A1354" s="22"/>
      <c r="B1354" s="24"/>
      <c r="C1354" s="24"/>
      <c r="D1354" s="24"/>
      <c r="E1354" s="24"/>
      <c r="F1354" s="8"/>
      <c r="G1354" s="12"/>
      <c r="H1354" s="28"/>
      <c r="I1354" s="28"/>
    </row>
    <row r="1355">
      <c r="A1355" s="22"/>
      <c r="B1355" s="24"/>
      <c r="C1355" s="24"/>
      <c r="D1355" s="24"/>
      <c r="E1355" s="24"/>
      <c r="F1355" s="8"/>
      <c r="G1355" s="12"/>
      <c r="H1355" s="28"/>
      <c r="I1355" s="28"/>
    </row>
    <row r="1356">
      <c r="A1356" s="22"/>
      <c r="B1356" s="24"/>
      <c r="C1356" s="24"/>
      <c r="D1356" s="24"/>
      <c r="E1356" s="24"/>
      <c r="F1356" s="8"/>
      <c r="G1356" s="12"/>
      <c r="H1356" s="28"/>
      <c r="I1356" s="28"/>
    </row>
    <row r="1357">
      <c r="A1357" s="22"/>
      <c r="B1357" s="24"/>
      <c r="C1357" s="24"/>
      <c r="D1357" s="24"/>
      <c r="E1357" s="24"/>
      <c r="F1357" s="8"/>
      <c r="G1357" s="12"/>
      <c r="H1357" s="28"/>
      <c r="I1357" s="28"/>
    </row>
    <row r="1358">
      <c r="A1358" s="22"/>
      <c r="B1358" s="24"/>
      <c r="C1358" s="24"/>
      <c r="D1358" s="24"/>
      <c r="E1358" s="24"/>
      <c r="F1358" s="8"/>
      <c r="G1358" s="12"/>
      <c r="H1358" s="28"/>
      <c r="I1358" s="28"/>
    </row>
    <row r="1359">
      <c r="A1359" s="22"/>
      <c r="B1359" s="24"/>
      <c r="C1359" s="24"/>
      <c r="D1359" s="24"/>
      <c r="E1359" s="24"/>
      <c r="F1359" s="8"/>
      <c r="G1359" s="12"/>
      <c r="H1359" s="28"/>
      <c r="I1359" s="28"/>
    </row>
    <row r="1360">
      <c r="A1360" s="22"/>
      <c r="B1360" s="24"/>
      <c r="C1360" s="24"/>
      <c r="D1360" s="24"/>
      <c r="E1360" s="24"/>
      <c r="F1360" s="8"/>
      <c r="G1360" s="12"/>
      <c r="H1360" s="28"/>
      <c r="I1360" s="28"/>
    </row>
    <row r="1361">
      <c r="A1361" s="22"/>
      <c r="B1361" s="24"/>
      <c r="C1361" s="24"/>
      <c r="D1361" s="24"/>
      <c r="E1361" s="24"/>
      <c r="F1361" s="8"/>
      <c r="G1361" s="12"/>
      <c r="H1361" s="28"/>
      <c r="I1361" s="28"/>
    </row>
    <row r="1362">
      <c r="A1362" s="22"/>
      <c r="B1362" s="24"/>
      <c r="C1362" s="24"/>
      <c r="D1362" s="24"/>
      <c r="E1362" s="24"/>
      <c r="F1362" s="8"/>
      <c r="G1362" s="12"/>
      <c r="H1362" s="28"/>
      <c r="I1362" s="28"/>
    </row>
    <row r="1363">
      <c r="A1363" s="22"/>
      <c r="B1363" s="24"/>
      <c r="C1363" s="24"/>
      <c r="D1363" s="24"/>
      <c r="E1363" s="24"/>
      <c r="F1363" s="8"/>
      <c r="G1363" s="12"/>
      <c r="H1363" s="28"/>
      <c r="I1363" s="28"/>
    </row>
    <row r="1364">
      <c r="A1364" s="22"/>
      <c r="B1364" s="24"/>
      <c r="C1364" s="24"/>
      <c r="D1364" s="24"/>
      <c r="E1364" s="24"/>
      <c r="F1364" s="8"/>
      <c r="G1364" s="12"/>
      <c r="H1364" s="28"/>
      <c r="I1364" s="28"/>
    </row>
    <row r="1365">
      <c r="A1365" s="22"/>
      <c r="B1365" s="24"/>
      <c r="C1365" s="24"/>
      <c r="D1365" s="24"/>
      <c r="E1365" s="24"/>
      <c r="F1365" s="8"/>
      <c r="G1365" s="12"/>
      <c r="H1365" s="28"/>
      <c r="I1365" s="28"/>
    </row>
    <row r="1366">
      <c r="A1366" s="22"/>
      <c r="B1366" s="24"/>
      <c r="C1366" s="24"/>
      <c r="D1366" s="24"/>
      <c r="E1366" s="24"/>
      <c r="F1366" s="8"/>
      <c r="G1366" s="12"/>
      <c r="H1366" s="28"/>
      <c r="I1366" s="28"/>
    </row>
    <row r="1367">
      <c r="A1367" s="22"/>
      <c r="B1367" s="24"/>
      <c r="C1367" s="24"/>
      <c r="D1367" s="24"/>
      <c r="E1367" s="24"/>
      <c r="F1367" s="8"/>
      <c r="G1367" s="12"/>
      <c r="H1367" s="28"/>
      <c r="I1367" s="28"/>
    </row>
    <row r="1368">
      <c r="A1368" s="22"/>
      <c r="B1368" s="24"/>
      <c r="C1368" s="24"/>
      <c r="D1368" s="24"/>
      <c r="E1368" s="24"/>
      <c r="F1368" s="8"/>
      <c r="G1368" s="12"/>
      <c r="H1368" s="28"/>
      <c r="I1368" s="28"/>
    </row>
    <row r="1369">
      <c r="A1369" s="22"/>
      <c r="B1369" s="24"/>
      <c r="C1369" s="24"/>
      <c r="D1369" s="24"/>
      <c r="E1369" s="24"/>
      <c r="F1369" s="8"/>
      <c r="G1369" s="12"/>
      <c r="H1369" s="28"/>
      <c r="I1369" s="28"/>
    </row>
    <row r="1370">
      <c r="A1370" s="22"/>
      <c r="B1370" s="24"/>
      <c r="C1370" s="24"/>
      <c r="D1370" s="24"/>
      <c r="E1370" s="24"/>
      <c r="F1370" s="8"/>
      <c r="G1370" s="12"/>
      <c r="H1370" s="28"/>
      <c r="I1370" s="28"/>
    </row>
    <row r="1371">
      <c r="A1371" s="22"/>
      <c r="B1371" s="24"/>
      <c r="C1371" s="24"/>
      <c r="D1371" s="24"/>
      <c r="E1371" s="24"/>
      <c r="F1371" s="8"/>
      <c r="G1371" s="12"/>
      <c r="H1371" s="28"/>
      <c r="I1371" s="28"/>
    </row>
    <row r="1372">
      <c r="A1372" s="22"/>
      <c r="B1372" s="24"/>
      <c r="C1372" s="24"/>
      <c r="D1372" s="24"/>
      <c r="E1372" s="24"/>
      <c r="F1372" s="8"/>
      <c r="G1372" s="12"/>
      <c r="H1372" s="28"/>
      <c r="I1372" s="28"/>
    </row>
    <row r="1373">
      <c r="A1373" s="22"/>
      <c r="B1373" s="24"/>
      <c r="C1373" s="24"/>
      <c r="D1373" s="24"/>
      <c r="E1373" s="24"/>
      <c r="F1373" s="8"/>
      <c r="G1373" s="12"/>
      <c r="H1373" s="28"/>
      <c r="I1373" s="28"/>
    </row>
    <row r="1374">
      <c r="A1374" s="22"/>
      <c r="B1374" s="24"/>
      <c r="C1374" s="24"/>
      <c r="D1374" s="24"/>
      <c r="E1374" s="24"/>
      <c r="F1374" s="8"/>
      <c r="G1374" s="12"/>
      <c r="H1374" s="28"/>
      <c r="I1374" s="28"/>
    </row>
    <row r="1375">
      <c r="A1375" s="22"/>
      <c r="B1375" s="24"/>
      <c r="C1375" s="24"/>
      <c r="D1375" s="24"/>
      <c r="E1375" s="24"/>
      <c r="F1375" s="8"/>
      <c r="G1375" s="12"/>
      <c r="H1375" s="28"/>
      <c r="I1375" s="28"/>
    </row>
    <row r="1376">
      <c r="A1376" s="22"/>
      <c r="B1376" s="24"/>
      <c r="C1376" s="24"/>
      <c r="D1376" s="24"/>
      <c r="E1376" s="24"/>
      <c r="F1376" s="8"/>
      <c r="G1376" s="12"/>
      <c r="H1376" s="28"/>
      <c r="I1376" s="28"/>
    </row>
    <row r="1377">
      <c r="A1377" s="22"/>
      <c r="B1377" s="24"/>
      <c r="C1377" s="24"/>
      <c r="D1377" s="24"/>
      <c r="E1377" s="24"/>
      <c r="F1377" s="8"/>
      <c r="G1377" s="12"/>
      <c r="H1377" s="28"/>
      <c r="I1377" s="28"/>
    </row>
    <row r="1378">
      <c r="A1378" s="22"/>
      <c r="B1378" s="24"/>
      <c r="C1378" s="24"/>
      <c r="D1378" s="24"/>
      <c r="E1378" s="24"/>
      <c r="F1378" s="8"/>
      <c r="G1378" s="12"/>
      <c r="H1378" s="28"/>
      <c r="I1378" s="28"/>
    </row>
    <row r="1379">
      <c r="A1379" s="22"/>
      <c r="B1379" s="24"/>
      <c r="C1379" s="24"/>
      <c r="D1379" s="24"/>
      <c r="E1379" s="24"/>
      <c r="F1379" s="8"/>
      <c r="G1379" s="12"/>
      <c r="H1379" s="28"/>
      <c r="I1379" s="28"/>
    </row>
    <row r="1380">
      <c r="A1380" s="22"/>
      <c r="B1380" s="24"/>
      <c r="C1380" s="24"/>
      <c r="D1380" s="24"/>
      <c r="E1380" s="24"/>
      <c r="F1380" s="8"/>
      <c r="G1380" s="12"/>
      <c r="H1380" s="28"/>
      <c r="I1380" s="28"/>
    </row>
    <row r="1381">
      <c r="A1381" s="22"/>
      <c r="B1381" s="24"/>
      <c r="C1381" s="24"/>
      <c r="D1381" s="24"/>
      <c r="E1381" s="24"/>
      <c r="F1381" s="8"/>
      <c r="G1381" s="12"/>
      <c r="H1381" s="28"/>
      <c r="I1381" s="28"/>
    </row>
    <row r="1382">
      <c r="A1382" s="22"/>
      <c r="B1382" s="24"/>
      <c r="C1382" s="24"/>
      <c r="D1382" s="24"/>
      <c r="E1382" s="24"/>
      <c r="F1382" s="8"/>
      <c r="G1382" s="12"/>
      <c r="H1382" s="28"/>
      <c r="I1382" s="28"/>
    </row>
    <row r="1383">
      <c r="A1383" s="22"/>
      <c r="B1383" s="24"/>
      <c r="C1383" s="24"/>
      <c r="D1383" s="24"/>
      <c r="E1383" s="24"/>
      <c r="F1383" s="8"/>
      <c r="G1383" s="12"/>
      <c r="H1383" s="28"/>
      <c r="I1383" s="28"/>
    </row>
    <row r="1384">
      <c r="A1384" s="22"/>
      <c r="B1384" s="24"/>
      <c r="C1384" s="24"/>
      <c r="D1384" s="24"/>
      <c r="E1384" s="24"/>
      <c r="F1384" s="8"/>
      <c r="G1384" s="12"/>
      <c r="H1384" s="28"/>
      <c r="I1384" s="28"/>
    </row>
    <row r="1385">
      <c r="A1385" s="22"/>
      <c r="B1385" s="24"/>
      <c r="C1385" s="24"/>
      <c r="D1385" s="24"/>
      <c r="E1385" s="24"/>
      <c r="F1385" s="8"/>
      <c r="G1385" s="12"/>
      <c r="H1385" s="28"/>
      <c r="I1385" s="28"/>
    </row>
    <row r="1386">
      <c r="A1386" s="22"/>
      <c r="B1386" s="24"/>
      <c r="C1386" s="24"/>
      <c r="D1386" s="24"/>
      <c r="E1386" s="24"/>
      <c r="F1386" s="8"/>
      <c r="G1386" s="12"/>
      <c r="H1386" s="28"/>
      <c r="I1386" s="28"/>
    </row>
    <row r="1387">
      <c r="A1387" s="22"/>
      <c r="B1387" s="24"/>
      <c r="C1387" s="24"/>
      <c r="D1387" s="24"/>
      <c r="E1387" s="24"/>
      <c r="F1387" s="8"/>
      <c r="G1387" s="12"/>
      <c r="H1387" s="28"/>
      <c r="I1387" s="28"/>
    </row>
    <row r="1388">
      <c r="A1388" s="22"/>
      <c r="B1388" s="24"/>
      <c r="C1388" s="24"/>
      <c r="D1388" s="24"/>
      <c r="E1388" s="24"/>
      <c r="F1388" s="8"/>
      <c r="G1388" s="12"/>
      <c r="H1388" s="28"/>
      <c r="I1388" s="28"/>
    </row>
    <row r="1389">
      <c r="A1389" s="22"/>
      <c r="B1389" s="24"/>
      <c r="C1389" s="24"/>
      <c r="D1389" s="24"/>
      <c r="E1389" s="24"/>
      <c r="F1389" s="8"/>
      <c r="G1389" s="12"/>
      <c r="H1389" s="28"/>
      <c r="I1389" s="28"/>
    </row>
    <row r="1390">
      <c r="A1390" s="22"/>
      <c r="B1390" s="24"/>
      <c r="C1390" s="24"/>
      <c r="D1390" s="24"/>
      <c r="E1390" s="24"/>
      <c r="F1390" s="8"/>
      <c r="G1390" s="12"/>
      <c r="H1390" s="28"/>
      <c r="I1390" s="28"/>
    </row>
    <row r="1391">
      <c r="A1391" s="22"/>
      <c r="B1391" s="24"/>
      <c r="C1391" s="24"/>
      <c r="D1391" s="24"/>
      <c r="E1391" s="24"/>
      <c r="F1391" s="8"/>
      <c r="G1391" s="12"/>
      <c r="H1391" s="28"/>
      <c r="I1391" s="28"/>
    </row>
    <row r="1392">
      <c r="A1392" s="22"/>
      <c r="B1392" s="24"/>
      <c r="C1392" s="24"/>
      <c r="D1392" s="24"/>
      <c r="E1392" s="24"/>
      <c r="F1392" s="8"/>
      <c r="G1392" s="12"/>
      <c r="H1392" s="28"/>
      <c r="I1392" s="28"/>
    </row>
    <row r="1393">
      <c r="A1393" s="22"/>
      <c r="B1393" s="24"/>
      <c r="C1393" s="24"/>
      <c r="D1393" s="24"/>
      <c r="E1393" s="24"/>
      <c r="F1393" s="8"/>
      <c r="G1393" s="12"/>
      <c r="H1393" s="28"/>
      <c r="I1393" s="28"/>
    </row>
    <row r="1394">
      <c r="A1394" s="22"/>
      <c r="B1394" s="24"/>
      <c r="C1394" s="24"/>
      <c r="D1394" s="24"/>
      <c r="E1394" s="24"/>
      <c r="F1394" s="8"/>
      <c r="G1394" s="12"/>
      <c r="H1394" s="28"/>
      <c r="I1394" s="28"/>
    </row>
    <row r="1395">
      <c r="A1395" s="22"/>
      <c r="B1395" s="24"/>
      <c r="C1395" s="24"/>
      <c r="D1395" s="24"/>
      <c r="E1395" s="24"/>
      <c r="F1395" s="8"/>
      <c r="G1395" s="12"/>
      <c r="H1395" s="28"/>
      <c r="I1395" s="28"/>
    </row>
    <row r="1396">
      <c r="A1396" s="22"/>
      <c r="B1396" s="24"/>
      <c r="C1396" s="24"/>
      <c r="D1396" s="24"/>
      <c r="E1396" s="24"/>
      <c r="F1396" s="8"/>
      <c r="G1396" s="12"/>
      <c r="H1396" s="28"/>
      <c r="I1396" s="28"/>
    </row>
    <row r="1397">
      <c r="A1397" s="22"/>
      <c r="B1397" s="24"/>
      <c r="C1397" s="24"/>
      <c r="D1397" s="24"/>
      <c r="E1397" s="24"/>
      <c r="F1397" s="8"/>
      <c r="G1397" s="12"/>
      <c r="H1397" s="28"/>
      <c r="I1397" s="28"/>
    </row>
    <row r="1398">
      <c r="A1398" s="22"/>
      <c r="B1398" s="24"/>
      <c r="C1398" s="24"/>
      <c r="D1398" s="24"/>
      <c r="E1398" s="24"/>
      <c r="F1398" s="8"/>
      <c r="G1398" s="12"/>
      <c r="H1398" s="28"/>
      <c r="I1398" s="28"/>
    </row>
    <row r="1399">
      <c r="A1399" s="22"/>
      <c r="B1399" s="24"/>
      <c r="C1399" s="24"/>
      <c r="D1399" s="24"/>
      <c r="E1399" s="24"/>
      <c r="F1399" s="8"/>
      <c r="G1399" s="12"/>
      <c r="H1399" s="28"/>
      <c r="I1399" s="28"/>
    </row>
    <row r="1400">
      <c r="A1400" s="22"/>
      <c r="B1400" s="24"/>
      <c r="C1400" s="24"/>
      <c r="D1400" s="24"/>
      <c r="E1400" s="24"/>
      <c r="F1400" s="8"/>
      <c r="G1400" s="12"/>
      <c r="H1400" s="28"/>
      <c r="I1400" s="28"/>
    </row>
    <row r="1401">
      <c r="A1401" s="22"/>
      <c r="B1401" s="24"/>
      <c r="C1401" s="24"/>
      <c r="D1401" s="24"/>
      <c r="E1401" s="24"/>
      <c r="F1401" s="8"/>
      <c r="G1401" s="12"/>
      <c r="H1401" s="28"/>
      <c r="I1401" s="28"/>
    </row>
    <row r="1402">
      <c r="A1402" s="22"/>
      <c r="B1402" s="24"/>
      <c r="C1402" s="24"/>
      <c r="D1402" s="24"/>
      <c r="E1402" s="24"/>
      <c r="F1402" s="8"/>
      <c r="G1402" s="12"/>
      <c r="H1402" s="28"/>
      <c r="I1402" s="28"/>
    </row>
    <row r="1403">
      <c r="A1403" s="22"/>
      <c r="B1403" s="24"/>
      <c r="C1403" s="24"/>
      <c r="D1403" s="24"/>
      <c r="E1403" s="24"/>
      <c r="F1403" s="8"/>
      <c r="G1403" s="12"/>
      <c r="H1403" s="28"/>
      <c r="I1403" s="28"/>
    </row>
    <row r="1404">
      <c r="A1404" s="22"/>
      <c r="B1404" s="24"/>
      <c r="C1404" s="24"/>
      <c r="D1404" s="24"/>
      <c r="E1404" s="24"/>
      <c r="F1404" s="8"/>
      <c r="G1404" s="12"/>
      <c r="H1404" s="28"/>
      <c r="I1404" s="28"/>
    </row>
    <row r="1405">
      <c r="A1405" s="22"/>
      <c r="B1405" s="24"/>
      <c r="C1405" s="24"/>
      <c r="D1405" s="24"/>
      <c r="E1405" s="24"/>
      <c r="F1405" s="8"/>
      <c r="G1405" s="12"/>
      <c r="H1405" s="28"/>
      <c r="I1405" s="28"/>
    </row>
    <row r="1406">
      <c r="A1406" s="22"/>
      <c r="B1406" s="24"/>
      <c r="C1406" s="24"/>
      <c r="D1406" s="24"/>
      <c r="E1406" s="24"/>
      <c r="F1406" s="8"/>
      <c r="G1406" s="12"/>
      <c r="H1406" s="28"/>
      <c r="I1406" s="28"/>
    </row>
    <row r="1407">
      <c r="A1407" s="22"/>
      <c r="B1407" s="24"/>
      <c r="C1407" s="24"/>
      <c r="D1407" s="24"/>
      <c r="E1407" s="24"/>
      <c r="F1407" s="8"/>
      <c r="G1407" s="12"/>
      <c r="H1407" s="28"/>
      <c r="I1407" s="28"/>
    </row>
    <row r="1408">
      <c r="A1408" s="22"/>
      <c r="B1408" s="24"/>
      <c r="C1408" s="24"/>
      <c r="D1408" s="24"/>
      <c r="E1408" s="24"/>
      <c r="F1408" s="8"/>
      <c r="G1408" s="12"/>
      <c r="H1408" s="28"/>
      <c r="I1408" s="28"/>
    </row>
    <row r="1409">
      <c r="A1409" s="22"/>
      <c r="B1409" s="24"/>
      <c r="C1409" s="24"/>
      <c r="D1409" s="24"/>
      <c r="E1409" s="24"/>
      <c r="F1409" s="8"/>
      <c r="G1409" s="12"/>
      <c r="H1409" s="28"/>
      <c r="I1409" s="28"/>
    </row>
    <row r="1410">
      <c r="A1410" s="22"/>
      <c r="B1410" s="24"/>
      <c r="C1410" s="24"/>
      <c r="D1410" s="24"/>
      <c r="E1410" s="24"/>
      <c r="F1410" s="8"/>
      <c r="G1410" s="12"/>
      <c r="H1410" s="28"/>
      <c r="I1410" s="28"/>
    </row>
    <row r="1411">
      <c r="A1411" s="22"/>
      <c r="B1411" s="24"/>
      <c r="C1411" s="24"/>
      <c r="D1411" s="24"/>
      <c r="E1411" s="24"/>
      <c r="F1411" s="8"/>
      <c r="G1411" s="12"/>
      <c r="H1411" s="28"/>
      <c r="I1411" s="28"/>
    </row>
    <row r="1412">
      <c r="A1412" s="22"/>
      <c r="B1412" s="24"/>
      <c r="C1412" s="24"/>
      <c r="D1412" s="24"/>
      <c r="E1412" s="24"/>
      <c r="F1412" s="8"/>
      <c r="G1412" s="12"/>
      <c r="H1412" s="28"/>
      <c r="I1412" s="28"/>
    </row>
    <row r="1413">
      <c r="A1413" s="22"/>
      <c r="B1413" s="24"/>
      <c r="C1413" s="24"/>
      <c r="D1413" s="24"/>
      <c r="E1413" s="24"/>
      <c r="F1413" s="8"/>
      <c r="G1413" s="12"/>
      <c r="H1413" s="28"/>
      <c r="I1413" s="28"/>
    </row>
    <row r="1414">
      <c r="A1414" s="22"/>
      <c r="B1414" s="24"/>
      <c r="C1414" s="24"/>
      <c r="D1414" s="24"/>
      <c r="E1414" s="24"/>
      <c r="F1414" s="8"/>
      <c r="G1414" s="12"/>
      <c r="H1414" s="28"/>
      <c r="I1414" s="28"/>
    </row>
    <row r="1415">
      <c r="A1415" s="22"/>
      <c r="B1415" s="24"/>
      <c r="C1415" s="24"/>
      <c r="D1415" s="24"/>
      <c r="E1415" s="24"/>
      <c r="F1415" s="8"/>
      <c r="G1415" s="12"/>
      <c r="H1415" s="28"/>
      <c r="I1415" s="28"/>
    </row>
    <row r="1416">
      <c r="A1416" s="22"/>
      <c r="B1416" s="24"/>
      <c r="C1416" s="24"/>
      <c r="D1416" s="24"/>
      <c r="E1416" s="24"/>
      <c r="F1416" s="8"/>
      <c r="G1416" s="12"/>
      <c r="H1416" s="28"/>
      <c r="I1416" s="28"/>
    </row>
    <row r="1417">
      <c r="A1417" s="22"/>
      <c r="B1417" s="24"/>
      <c r="C1417" s="24"/>
      <c r="D1417" s="24"/>
      <c r="E1417" s="24"/>
      <c r="F1417" s="8"/>
      <c r="G1417" s="12"/>
      <c r="H1417" s="28"/>
      <c r="I1417" s="28"/>
    </row>
    <row r="1418">
      <c r="A1418" s="22"/>
      <c r="B1418" s="24"/>
      <c r="C1418" s="24"/>
      <c r="D1418" s="24"/>
      <c r="E1418" s="24"/>
      <c r="F1418" s="8"/>
      <c r="G1418" s="12"/>
      <c r="H1418" s="28"/>
      <c r="I1418" s="28"/>
    </row>
    <row r="1419">
      <c r="A1419" s="22"/>
      <c r="B1419" s="24"/>
      <c r="C1419" s="24"/>
      <c r="D1419" s="24"/>
      <c r="E1419" s="24"/>
      <c r="F1419" s="8"/>
      <c r="G1419" s="12"/>
      <c r="H1419" s="28"/>
      <c r="I1419" s="28"/>
    </row>
    <row r="1420">
      <c r="A1420" s="22"/>
      <c r="B1420" s="24"/>
      <c r="C1420" s="24"/>
      <c r="D1420" s="24"/>
      <c r="E1420" s="24"/>
      <c r="F1420" s="8"/>
      <c r="G1420" s="12"/>
      <c r="H1420" s="28"/>
      <c r="I1420" s="28"/>
    </row>
    <row r="1421">
      <c r="A1421" s="22"/>
      <c r="B1421" s="24"/>
      <c r="C1421" s="24"/>
      <c r="D1421" s="24"/>
      <c r="E1421" s="24"/>
      <c r="F1421" s="8"/>
      <c r="G1421" s="12"/>
      <c r="H1421" s="28"/>
      <c r="I1421" s="28"/>
    </row>
    <row r="1422">
      <c r="A1422" s="22"/>
      <c r="B1422" s="24"/>
      <c r="C1422" s="24"/>
      <c r="D1422" s="24"/>
      <c r="E1422" s="24"/>
      <c r="F1422" s="8"/>
      <c r="G1422" s="12"/>
      <c r="H1422" s="28"/>
      <c r="I1422" s="28"/>
    </row>
    <row r="1423">
      <c r="A1423" s="22"/>
      <c r="B1423" s="24"/>
      <c r="C1423" s="24"/>
      <c r="D1423" s="24"/>
      <c r="E1423" s="24"/>
      <c r="F1423" s="8"/>
      <c r="G1423" s="12"/>
      <c r="H1423" s="28"/>
      <c r="I1423" s="28"/>
    </row>
    <row r="1424">
      <c r="A1424" s="22"/>
      <c r="B1424" s="24"/>
      <c r="C1424" s="24"/>
      <c r="D1424" s="24"/>
      <c r="E1424" s="24"/>
      <c r="F1424" s="8"/>
      <c r="G1424" s="12"/>
      <c r="H1424" s="28"/>
      <c r="I1424" s="28"/>
    </row>
    <row r="1425">
      <c r="A1425" s="22"/>
      <c r="B1425" s="24"/>
      <c r="C1425" s="24"/>
      <c r="D1425" s="24"/>
      <c r="E1425" s="24"/>
      <c r="F1425" s="8"/>
      <c r="G1425" s="12"/>
      <c r="H1425" s="28"/>
      <c r="I1425" s="28"/>
    </row>
    <row r="1426">
      <c r="A1426" s="22"/>
      <c r="B1426" s="24"/>
      <c r="C1426" s="24"/>
      <c r="D1426" s="24"/>
      <c r="E1426" s="24"/>
      <c r="F1426" s="8"/>
      <c r="G1426" s="12"/>
      <c r="H1426" s="28"/>
      <c r="I1426" s="28"/>
    </row>
    <row r="1427">
      <c r="A1427" s="22"/>
      <c r="B1427" s="24"/>
      <c r="C1427" s="24"/>
      <c r="D1427" s="24"/>
      <c r="E1427" s="24"/>
      <c r="F1427" s="8"/>
      <c r="G1427" s="12"/>
      <c r="H1427" s="28"/>
      <c r="I1427" s="28"/>
    </row>
    <row r="1428">
      <c r="A1428" s="22"/>
      <c r="B1428" s="24"/>
      <c r="C1428" s="24"/>
      <c r="D1428" s="24"/>
      <c r="E1428" s="24"/>
      <c r="F1428" s="8"/>
      <c r="G1428" s="12"/>
      <c r="H1428" s="28"/>
      <c r="I1428" s="28"/>
    </row>
    <row r="1429">
      <c r="A1429" s="22"/>
      <c r="B1429" s="24"/>
      <c r="C1429" s="24"/>
      <c r="D1429" s="24"/>
      <c r="E1429" s="24"/>
      <c r="F1429" s="8"/>
      <c r="G1429" s="12"/>
      <c r="H1429" s="28"/>
      <c r="I1429" s="28"/>
    </row>
    <row r="1430">
      <c r="A1430" s="22"/>
      <c r="B1430" s="24"/>
      <c r="C1430" s="24"/>
      <c r="D1430" s="24"/>
      <c r="E1430" s="24"/>
      <c r="F1430" s="8"/>
      <c r="G1430" s="12"/>
      <c r="H1430" s="28"/>
      <c r="I1430" s="28"/>
    </row>
    <row r="1431">
      <c r="A1431" s="22"/>
      <c r="B1431" s="24"/>
      <c r="C1431" s="24"/>
      <c r="D1431" s="24"/>
      <c r="E1431" s="24"/>
      <c r="F1431" s="8"/>
      <c r="G1431" s="12"/>
      <c r="H1431" s="28"/>
      <c r="I1431" s="28"/>
    </row>
    <row r="1432">
      <c r="A1432" s="22"/>
      <c r="B1432" s="24"/>
      <c r="C1432" s="24"/>
      <c r="D1432" s="24"/>
      <c r="E1432" s="24"/>
      <c r="F1432" s="8"/>
      <c r="G1432" s="12"/>
      <c r="H1432" s="28"/>
      <c r="I1432" s="28"/>
    </row>
    <row r="1433">
      <c r="A1433" s="22"/>
      <c r="B1433" s="24"/>
      <c r="C1433" s="24"/>
      <c r="D1433" s="24"/>
      <c r="E1433" s="24"/>
      <c r="F1433" s="8"/>
      <c r="G1433" s="12"/>
      <c r="H1433" s="28"/>
      <c r="I1433" s="28"/>
    </row>
    <row r="1434">
      <c r="A1434" s="22"/>
      <c r="B1434" s="24"/>
      <c r="C1434" s="24"/>
      <c r="D1434" s="24"/>
      <c r="E1434" s="24"/>
      <c r="F1434" s="8"/>
      <c r="G1434" s="12"/>
      <c r="H1434" s="28"/>
      <c r="I1434" s="28"/>
    </row>
    <row r="1435">
      <c r="A1435" s="22"/>
      <c r="B1435" s="24"/>
      <c r="C1435" s="24"/>
      <c r="D1435" s="24"/>
      <c r="E1435" s="24"/>
      <c r="F1435" s="8"/>
      <c r="G1435" s="12"/>
      <c r="H1435" s="28"/>
      <c r="I1435" s="28"/>
    </row>
    <row r="1436">
      <c r="A1436" s="22"/>
      <c r="B1436" s="24"/>
      <c r="C1436" s="24"/>
      <c r="D1436" s="24"/>
      <c r="E1436" s="24"/>
      <c r="F1436" s="8"/>
      <c r="G1436" s="12"/>
      <c r="H1436" s="28"/>
      <c r="I1436" s="28"/>
    </row>
    <row r="1437">
      <c r="A1437" s="22"/>
      <c r="B1437" s="24"/>
      <c r="C1437" s="24"/>
      <c r="D1437" s="24"/>
      <c r="E1437" s="24"/>
      <c r="F1437" s="8"/>
      <c r="G1437" s="12"/>
      <c r="H1437" s="28"/>
      <c r="I1437" s="28"/>
    </row>
    <row r="1438">
      <c r="A1438" s="22"/>
      <c r="B1438" s="24"/>
      <c r="C1438" s="24"/>
      <c r="D1438" s="24"/>
      <c r="E1438" s="24"/>
      <c r="F1438" s="8"/>
      <c r="G1438" s="12"/>
      <c r="H1438" s="28"/>
      <c r="I1438" s="28"/>
    </row>
    <row r="1439">
      <c r="A1439" s="22"/>
      <c r="B1439" s="24"/>
      <c r="C1439" s="24"/>
      <c r="D1439" s="24"/>
      <c r="E1439" s="24"/>
      <c r="F1439" s="8"/>
      <c r="G1439" s="12"/>
      <c r="H1439" s="28"/>
      <c r="I1439" s="28"/>
    </row>
    <row r="1440">
      <c r="A1440" s="22"/>
      <c r="B1440" s="24"/>
      <c r="C1440" s="24"/>
      <c r="D1440" s="24"/>
      <c r="E1440" s="24"/>
      <c r="F1440" s="8"/>
      <c r="G1440" s="12"/>
      <c r="H1440" s="28"/>
      <c r="I1440" s="28"/>
    </row>
    <row r="1441">
      <c r="A1441" s="22"/>
      <c r="B1441" s="24"/>
      <c r="C1441" s="24"/>
      <c r="D1441" s="24"/>
      <c r="E1441" s="24"/>
      <c r="F1441" s="8"/>
      <c r="G1441" s="12"/>
      <c r="H1441" s="28"/>
      <c r="I1441" s="28"/>
    </row>
    <row r="1442">
      <c r="A1442" s="22"/>
      <c r="B1442" s="24"/>
      <c r="C1442" s="24"/>
      <c r="D1442" s="24"/>
      <c r="E1442" s="24"/>
      <c r="F1442" s="8"/>
      <c r="G1442" s="12"/>
      <c r="H1442" s="28"/>
      <c r="I1442" s="28"/>
    </row>
    <row r="1443">
      <c r="A1443" s="22"/>
      <c r="B1443" s="24"/>
      <c r="C1443" s="24"/>
      <c r="D1443" s="24"/>
      <c r="E1443" s="24"/>
      <c r="F1443" s="8"/>
      <c r="G1443" s="12"/>
      <c r="H1443" s="28"/>
      <c r="I1443" s="28"/>
    </row>
    <row r="1444">
      <c r="A1444" s="22"/>
      <c r="B1444" s="24"/>
      <c r="C1444" s="24"/>
      <c r="D1444" s="24"/>
      <c r="E1444" s="24"/>
      <c r="F1444" s="8"/>
      <c r="G1444" s="12"/>
      <c r="H1444" s="28"/>
      <c r="I1444" s="28"/>
    </row>
    <row r="1445">
      <c r="A1445" s="22"/>
      <c r="B1445" s="24"/>
      <c r="C1445" s="24"/>
      <c r="D1445" s="24"/>
      <c r="E1445" s="24"/>
      <c r="F1445" s="8"/>
      <c r="G1445" s="12"/>
      <c r="H1445" s="28"/>
      <c r="I1445" s="28"/>
    </row>
    <row r="1446">
      <c r="A1446" s="22"/>
      <c r="B1446" s="24"/>
      <c r="C1446" s="24"/>
      <c r="D1446" s="24"/>
      <c r="E1446" s="24"/>
      <c r="F1446" s="8"/>
      <c r="G1446" s="12"/>
      <c r="H1446" s="28"/>
      <c r="I1446" s="28"/>
    </row>
    <row r="1447">
      <c r="A1447" s="22"/>
      <c r="B1447" s="24"/>
      <c r="C1447" s="24"/>
      <c r="D1447" s="24"/>
      <c r="E1447" s="24"/>
      <c r="F1447" s="8"/>
      <c r="G1447" s="12"/>
      <c r="H1447" s="28"/>
      <c r="I1447" s="28"/>
    </row>
    <row r="1448">
      <c r="A1448" s="22"/>
      <c r="B1448" s="24"/>
      <c r="C1448" s="24"/>
      <c r="D1448" s="24"/>
      <c r="E1448" s="24"/>
      <c r="F1448" s="8"/>
      <c r="G1448" s="12"/>
      <c r="H1448" s="28"/>
      <c r="I1448" s="28"/>
    </row>
    <row r="1449">
      <c r="A1449" s="22"/>
      <c r="B1449" s="24"/>
      <c r="C1449" s="24"/>
      <c r="D1449" s="24"/>
      <c r="E1449" s="24"/>
      <c r="F1449" s="8"/>
      <c r="G1449" s="12"/>
      <c r="H1449" s="28"/>
      <c r="I1449" s="28"/>
    </row>
    <row r="1450">
      <c r="A1450" s="22"/>
      <c r="B1450" s="24"/>
      <c r="C1450" s="24"/>
      <c r="D1450" s="24"/>
      <c r="E1450" s="24"/>
      <c r="F1450" s="8"/>
      <c r="G1450" s="12"/>
      <c r="H1450" s="28"/>
      <c r="I1450" s="28"/>
    </row>
    <row r="1451">
      <c r="A1451" s="22"/>
      <c r="B1451" s="24"/>
      <c r="C1451" s="24"/>
      <c r="D1451" s="24"/>
      <c r="E1451" s="24"/>
      <c r="F1451" s="8"/>
      <c r="G1451" s="12"/>
      <c r="H1451" s="28"/>
      <c r="I1451" s="28"/>
    </row>
    <row r="1452">
      <c r="A1452" s="22"/>
      <c r="B1452" s="24"/>
      <c r="C1452" s="24"/>
      <c r="D1452" s="24"/>
      <c r="E1452" s="24"/>
      <c r="F1452" s="8"/>
      <c r="G1452" s="12"/>
      <c r="H1452" s="28"/>
      <c r="I1452" s="28"/>
    </row>
    <row r="1453">
      <c r="A1453" s="22"/>
      <c r="B1453" s="24"/>
      <c r="C1453" s="24"/>
      <c r="D1453" s="24"/>
      <c r="E1453" s="24"/>
      <c r="F1453" s="8"/>
      <c r="G1453" s="12"/>
      <c r="H1453" s="28"/>
      <c r="I1453" s="28"/>
    </row>
    <row r="1454">
      <c r="A1454" s="22"/>
      <c r="B1454" s="24"/>
      <c r="C1454" s="24"/>
      <c r="D1454" s="24"/>
      <c r="E1454" s="24"/>
      <c r="F1454" s="8"/>
      <c r="G1454" s="12"/>
      <c r="H1454" s="28"/>
      <c r="I1454" s="28"/>
    </row>
    <row r="1455">
      <c r="A1455" s="22"/>
      <c r="B1455" s="24"/>
      <c r="C1455" s="24"/>
      <c r="D1455" s="24"/>
      <c r="E1455" s="24"/>
      <c r="F1455" s="8"/>
      <c r="G1455" s="12"/>
      <c r="H1455" s="28"/>
      <c r="I1455" s="28"/>
    </row>
    <row r="1456">
      <c r="A1456" s="22"/>
      <c r="B1456" s="24"/>
      <c r="C1456" s="24"/>
      <c r="D1456" s="24"/>
      <c r="E1456" s="24"/>
      <c r="F1456" s="8"/>
      <c r="G1456" s="12"/>
      <c r="H1456" s="28"/>
      <c r="I1456" s="28"/>
    </row>
    <row r="1457">
      <c r="A1457" s="22"/>
      <c r="B1457" s="24"/>
      <c r="C1457" s="24"/>
      <c r="D1457" s="24"/>
      <c r="E1457" s="24"/>
      <c r="F1457" s="8"/>
      <c r="G1457" s="12"/>
      <c r="H1457" s="28"/>
      <c r="I1457" s="28"/>
    </row>
    <row r="1458">
      <c r="A1458" s="22"/>
      <c r="B1458" s="24"/>
      <c r="C1458" s="24"/>
      <c r="D1458" s="24"/>
      <c r="E1458" s="24"/>
      <c r="F1458" s="8"/>
      <c r="G1458" s="12"/>
      <c r="H1458" s="28"/>
      <c r="I1458" s="28"/>
    </row>
    <row r="1459">
      <c r="A1459" s="22"/>
      <c r="B1459" s="24"/>
      <c r="C1459" s="24"/>
      <c r="D1459" s="24"/>
      <c r="E1459" s="24"/>
      <c r="F1459" s="8"/>
      <c r="G1459" s="12"/>
      <c r="H1459" s="28"/>
      <c r="I1459" s="28"/>
    </row>
    <row r="1460">
      <c r="A1460" s="22"/>
      <c r="B1460" s="24"/>
      <c r="C1460" s="24"/>
      <c r="D1460" s="24"/>
      <c r="E1460" s="24"/>
      <c r="F1460" s="8"/>
      <c r="G1460" s="12"/>
      <c r="H1460" s="28"/>
      <c r="I1460" s="28"/>
    </row>
    <row r="1461">
      <c r="A1461" s="22"/>
      <c r="B1461" s="24"/>
      <c r="C1461" s="24"/>
      <c r="D1461" s="24"/>
      <c r="E1461" s="24"/>
      <c r="F1461" s="8"/>
      <c r="G1461" s="12"/>
      <c r="H1461" s="28"/>
      <c r="I1461" s="28"/>
    </row>
    <row r="1462">
      <c r="A1462" s="22"/>
      <c r="B1462" s="24"/>
      <c r="C1462" s="24"/>
      <c r="D1462" s="24"/>
      <c r="E1462" s="24"/>
      <c r="F1462" s="8"/>
      <c r="G1462" s="12"/>
      <c r="H1462" s="28"/>
      <c r="I1462" s="28"/>
    </row>
    <row r="1463">
      <c r="A1463" s="22"/>
      <c r="B1463" s="24"/>
      <c r="C1463" s="24"/>
      <c r="D1463" s="24"/>
      <c r="E1463" s="24"/>
      <c r="F1463" s="8"/>
      <c r="G1463" s="12"/>
      <c r="H1463" s="28"/>
      <c r="I1463" s="28"/>
    </row>
    <row r="1464">
      <c r="A1464" s="22"/>
      <c r="B1464" s="24"/>
      <c r="C1464" s="24"/>
      <c r="D1464" s="24"/>
      <c r="E1464" s="24"/>
      <c r="F1464" s="8"/>
      <c r="G1464" s="12"/>
      <c r="H1464" s="28"/>
      <c r="I1464" s="28"/>
    </row>
    <row r="1465">
      <c r="A1465" s="22"/>
      <c r="B1465" s="24"/>
      <c r="C1465" s="24"/>
      <c r="D1465" s="24"/>
      <c r="E1465" s="24"/>
      <c r="F1465" s="8"/>
      <c r="G1465" s="12"/>
      <c r="H1465" s="28"/>
      <c r="I1465" s="28"/>
    </row>
    <row r="1466">
      <c r="A1466" s="22"/>
      <c r="B1466" s="24"/>
      <c r="C1466" s="24"/>
      <c r="D1466" s="24"/>
      <c r="E1466" s="24"/>
      <c r="F1466" s="8"/>
      <c r="G1466" s="12"/>
      <c r="H1466" s="28"/>
      <c r="I1466" s="28"/>
    </row>
    <row r="1467">
      <c r="A1467" s="22"/>
      <c r="B1467" s="24"/>
      <c r="C1467" s="24"/>
      <c r="D1467" s="24"/>
      <c r="E1467" s="24"/>
      <c r="F1467" s="8"/>
      <c r="G1467" s="12"/>
      <c r="H1467" s="28"/>
      <c r="I1467" s="28"/>
    </row>
    <row r="1468">
      <c r="A1468" s="22"/>
      <c r="B1468" s="24"/>
      <c r="C1468" s="24"/>
      <c r="D1468" s="24"/>
      <c r="E1468" s="24"/>
      <c r="F1468" s="8"/>
      <c r="G1468" s="12"/>
      <c r="H1468" s="28"/>
      <c r="I1468" s="28"/>
    </row>
    <row r="1469">
      <c r="A1469" s="22"/>
      <c r="B1469" s="24"/>
      <c r="C1469" s="24"/>
      <c r="D1469" s="24"/>
      <c r="E1469" s="24"/>
      <c r="F1469" s="8"/>
      <c r="G1469" s="12"/>
      <c r="H1469" s="28"/>
      <c r="I1469" s="28"/>
    </row>
    <row r="1470">
      <c r="A1470" s="22"/>
      <c r="B1470" s="24"/>
      <c r="C1470" s="24"/>
      <c r="D1470" s="24"/>
      <c r="E1470" s="24"/>
      <c r="F1470" s="8"/>
      <c r="G1470" s="12"/>
      <c r="H1470" s="28"/>
      <c r="I1470" s="28"/>
    </row>
    <row r="1471">
      <c r="A1471" s="22"/>
      <c r="B1471" s="24"/>
      <c r="C1471" s="24"/>
      <c r="D1471" s="24"/>
      <c r="E1471" s="24"/>
      <c r="F1471" s="8"/>
      <c r="G1471" s="12"/>
      <c r="H1471" s="28"/>
      <c r="I1471" s="28"/>
    </row>
    <row r="1472">
      <c r="A1472" s="22"/>
      <c r="B1472" s="24"/>
      <c r="C1472" s="24"/>
      <c r="D1472" s="24"/>
      <c r="E1472" s="24"/>
      <c r="F1472" s="8"/>
      <c r="G1472" s="12"/>
      <c r="H1472" s="28"/>
      <c r="I1472" s="28"/>
    </row>
    <row r="1473">
      <c r="A1473" s="22"/>
      <c r="B1473" s="24"/>
      <c r="C1473" s="24"/>
      <c r="D1473" s="24"/>
      <c r="E1473" s="24"/>
      <c r="F1473" s="8"/>
      <c r="G1473" s="12"/>
      <c r="H1473" s="28"/>
      <c r="I1473" s="28"/>
    </row>
    <row r="1474">
      <c r="A1474" s="22"/>
      <c r="B1474" s="24"/>
      <c r="C1474" s="24"/>
      <c r="D1474" s="24"/>
      <c r="E1474" s="24"/>
      <c r="F1474" s="8"/>
      <c r="G1474" s="12"/>
      <c r="H1474" s="28"/>
      <c r="I1474" s="28"/>
    </row>
    <row r="1475">
      <c r="A1475" s="22"/>
      <c r="B1475" s="24"/>
      <c r="C1475" s="24"/>
      <c r="D1475" s="24"/>
      <c r="E1475" s="24"/>
      <c r="F1475" s="8"/>
      <c r="G1475" s="12"/>
      <c r="H1475" s="28"/>
      <c r="I1475" s="28"/>
    </row>
    <row r="1476">
      <c r="A1476" s="22"/>
      <c r="B1476" s="24"/>
      <c r="C1476" s="24"/>
      <c r="D1476" s="24"/>
      <c r="E1476" s="24"/>
      <c r="F1476" s="8"/>
      <c r="G1476" s="12"/>
      <c r="H1476" s="28"/>
      <c r="I1476" s="28"/>
    </row>
    <row r="1477">
      <c r="A1477" s="22"/>
      <c r="B1477" s="24"/>
      <c r="C1477" s="24"/>
      <c r="D1477" s="24"/>
      <c r="E1477" s="24"/>
      <c r="F1477" s="8"/>
      <c r="G1477" s="12"/>
      <c r="H1477" s="28"/>
      <c r="I1477" s="28"/>
    </row>
    <row r="1478">
      <c r="A1478" s="22"/>
      <c r="B1478" s="24"/>
      <c r="C1478" s="24"/>
      <c r="D1478" s="24"/>
      <c r="E1478" s="24"/>
      <c r="F1478" s="8"/>
      <c r="G1478" s="12"/>
      <c r="H1478" s="28"/>
      <c r="I1478" s="28"/>
    </row>
    <row r="1479">
      <c r="A1479" s="22"/>
      <c r="B1479" s="24"/>
      <c r="C1479" s="24"/>
      <c r="D1479" s="24"/>
      <c r="E1479" s="24"/>
      <c r="F1479" s="8"/>
      <c r="G1479" s="12"/>
      <c r="H1479" s="28"/>
      <c r="I1479" s="28"/>
    </row>
    <row r="1480">
      <c r="A1480" s="22"/>
      <c r="B1480" s="24"/>
      <c r="C1480" s="24"/>
      <c r="D1480" s="24"/>
      <c r="E1480" s="24"/>
      <c r="F1480" s="8"/>
      <c r="G1480" s="12"/>
      <c r="H1480" s="28"/>
      <c r="I1480" s="28"/>
    </row>
    <row r="1481">
      <c r="A1481" s="22"/>
      <c r="B1481" s="24"/>
      <c r="C1481" s="24"/>
      <c r="D1481" s="24"/>
      <c r="E1481" s="24"/>
      <c r="F1481" s="8"/>
      <c r="G1481" s="12"/>
      <c r="H1481" s="28"/>
      <c r="I1481" s="28"/>
    </row>
    <row r="1482">
      <c r="A1482" s="22"/>
      <c r="B1482" s="24"/>
      <c r="C1482" s="24"/>
      <c r="D1482" s="24"/>
      <c r="E1482" s="24"/>
      <c r="F1482" s="8"/>
      <c r="G1482" s="12"/>
      <c r="H1482" s="28"/>
      <c r="I1482" s="28"/>
    </row>
    <row r="1483">
      <c r="A1483" s="22"/>
      <c r="B1483" s="24"/>
      <c r="C1483" s="24"/>
      <c r="D1483" s="24"/>
      <c r="E1483" s="24"/>
      <c r="F1483" s="8"/>
      <c r="G1483" s="12"/>
      <c r="H1483" s="28"/>
      <c r="I1483" s="28"/>
    </row>
    <row r="1484">
      <c r="A1484" s="22"/>
      <c r="B1484" s="24"/>
      <c r="C1484" s="24"/>
      <c r="D1484" s="24"/>
      <c r="E1484" s="24"/>
      <c r="F1484" s="8"/>
      <c r="G1484" s="12"/>
      <c r="H1484" s="28"/>
      <c r="I1484" s="28"/>
    </row>
    <row r="1485">
      <c r="A1485" s="22"/>
      <c r="B1485" s="24"/>
      <c r="C1485" s="24"/>
      <c r="D1485" s="24"/>
      <c r="E1485" s="24"/>
      <c r="F1485" s="8"/>
      <c r="G1485" s="12"/>
      <c r="H1485" s="28"/>
      <c r="I1485" s="28"/>
    </row>
    <row r="1486">
      <c r="A1486" s="22"/>
      <c r="B1486" s="24"/>
      <c r="C1486" s="24"/>
      <c r="D1486" s="24"/>
      <c r="E1486" s="24"/>
      <c r="F1486" s="8"/>
      <c r="G1486" s="12"/>
      <c r="H1486" s="28"/>
      <c r="I1486" s="28"/>
    </row>
    <row r="1487">
      <c r="A1487" s="22"/>
      <c r="B1487" s="24"/>
      <c r="C1487" s="24"/>
      <c r="D1487" s="24"/>
      <c r="E1487" s="24"/>
      <c r="F1487" s="8"/>
      <c r="G1487" s="12"/>
      <c r="H1487" s="28"/>
      <c r="I1487" s="28"/>
    </row>
    <row r="1488">
      <c r="A1488" s="22"/>
      <c r="B1488" s="24"/>
      <c r="C1488" s="24"/>
      <c r="D1488" s="24"/>
      <c r="E1488" s="24"/>
      <c r="F1488" s="8"/>
      <c r="G1488" s="12"/>
      <c r="H1488" s="28"/>
      <c r="I1488" s="28"/>
    </row>
    <row r="1489">
      <c r="A1489" s="22"/>
      <c r="B1489" s="24"/>
      <c r="C1489" s="24"/>
      <c r="D1489" s="24"/>
      <c r="E1489" s="24"/>
      <c r="F1489" s="8"/>
      <c r="G1489" s="12"/>
      <c r="H1489" s="28"/>
      <c r="I1489" s="28"/>
    </row>
    <row r="1490">
      <c r="A1490" s="22"/>
      <c r="B1490" s="24"/>
      <c r="C1490" s="24"/>
      <c r="D1490" s="24"/>
      <c r="E1490" s="24"/>
      <c r="F1490" s="8"/>
      <c r="G1490" s="12"/>
      <c r="H1490" s="28"/>
      <c r="I1490" s="28"/>
    </row>
    <row r="1491">
      <c r="A1491" s="22"/>
      <c r="B1491" s="24"/>
      <c r="C1491" s="24"/>
      <c r="D1491" s="24"/>
      <c r="E1491" s="24"/>
      <c r="F1491" s="8"/>
      <c r="G1491" s="12"/>
      <c r="H1491" s="28"/>
      <c r="I1491" s="28"/>
    </row>
    <row r="1492">
      <c r="A1492" s="22"/>
      <c r="B1492" s="24"/>
      <c r="C1492" s="24"/>
      <c r="D1492" s="24"/>
      <c r="E1492" s="24"/>
      <c r="F1492" s="8"/>
      <c r="G1492" s="12"/>
      <c r="H1492" s="28"/>
      <c r="I1492" s="28"/>
    </row>
    <row r="1493">
      <c r="A1493" s="22"/>
      <c r="B1493" s="24"/>
      <c r="C1493" s="24"/>
      <c r="D1493" s="24"/>
      <c r="E1493" s="24"/>
      <c r="F1493" s="8"/>
      <c r="G1493" s="12"/>
      <c r="H1493" s="28"/>
      <c r="I1493" s="28"/>
    </row>
    <row r="1494">
      <c r="A1494" s="22"/>
      <c r="B1494" s="24"/>
      <c r="C1494" s="24"/>
      <c r="D1494" s="24"/>
      <c r="E1494" s="24"/>
      <c r="F1494" s="8"/>
      <c r="G1494" s="12"/>
      <c r="H1494" s="28"/>
      <c r="I1494" s="28"/>
    </row>
    <row r="1495">
      <c r="A1495" s="22"/>
      <c r="B1495" s="24"/>
      <c r="C1495" s="24"/>
      <c r="D1495" s="24"/>
      <c r="E1495" s="24"/>
      <c r="F1495" s="8"/>
      <c r="G1495" s="12"/>
      <c r="H1495" s="28"/>
      <c r="I1495" s="28"/>
    </row>
    <row r="1496">
      <c r="A1496" s="22"/>
      <c r="B1496" s="24"/>
      <c r="C1496" s="24"/>
      <c r="D1496" s="24"/>
      <c r="E1496" s="24"/>
      <c r="F1496" s="8"/>
      <c r="G1496" s="12"/>
      <c r="H1496" s="28"/>
      <c r="I1496" s="28"/>
    </row>
    <row r="1497">
      <c r="A1497" s="22"/>
      <c r="B1497" s="24"/>
      <c r="C1497" s="24"/>
      <c r="D1497" s="24"/>
      <c r="E1497" s="24"/>
      <c r="F1497" s="8"/>
      <c r="G1497" s="12"/>
      <c r="H1497" s="28"/>
      <c r="I1497" s="28"/>
    </row>
    <row r="1498">
      <c r="A1498" s="22"/>
      <c r="B1498" s="24"/>
      <c r="C1498" s="24"/>
      <c r="D1498" s="24"/>
      <c r="E1498" s="24"/>
      <c r="F1498" s="8"/>
      <c r="G1498" s="12"/>
      <c r="H1498" s="28"/>
      <c r="I1498" s="28"/>
    </row>
    <row r="1499">
      <c r="A1499" s="22"/>
      <c r="B1499" s="24"/>
      <c r="C1499" s="24"/>
      <c r="D1499" s="24"/>
      <c r="E1499" s="24"/>
      <c r="F1499" s="8"/>
      <c r="G1499" s="12"/>
      <c r="H1499" s="28"/>
      <c r="I1499" s="28"/>
    </row>
    <row r="1500">
      <c r="A1500" s="22"/>
      <c r="B1500" s="24"/>
      <c r="C1500" s="24"/>
      <c r="D1500" s="24"/>
      <c r="E1500" s="24"/>
      <c r="F1500" s="8"/>
      <c r="G1500" s="12"/>
      <c r="H1500" s="28"/>
      <c r="I1500" s="28"/>
    </row>
    <row r="1501">
      <c r="A1501" s="22"/>
      <c r="B1501" s="24"/>
      <c r="C1501" s="24"/>
      <c r="D1501" s="24"/>
      <c r="E1501" s="24"/>
      <c r="F1501" s="8"/>
      <c r="G1501" s="12"/>
      <c r="H1501" s="28"/>
      <c r="I1501" s="28"/>
    </row>
    <row r="1502">
      <c r="A1502" s="22"/>
      <c r="B1502" s="24"/>
      <c r="C1502" s="24"/>
      <c r="D1502" s="24"/>
      <c r="E1502" s="24"/>
      <c r="F1502" s="8"/>
      <c r="G1502" s="12"/>
      <c r="H1502" s="28"/>
      <c r="I1502" s="28"/>
    </row>
    <row r="1503">
      <c r="A1503" s="22"/>
      <c r="B1503" s="24"/>
      <c r="C1503" s="24"/>
      <c r="D1503" s="24"/>
      <c r="E1503" s="24"/>
      <c r="F1503" s="8"/>
      <c r="G1503" s="12"/>
      <c r="H1503" s="28"/>
      <c r="I1503" s="28"/>
    </row>
    <row r="1504">
      <c r="A1504" s="22"/>
      <c r="B1504" s="24"/>
      <c r="C1504" s="24"/>
      <c r="D1504" s="24"/>
      <c r="E1504" s="24"/>
      <c r="F1504" s="8"/>
      <c r="G1504" s="12"/>
      <c r="H1504" s="28"/>
      <c r="I1504" s="28"/>
    </row>
    <row r="1505">
      <c r="A1505" s="22"/>
      <c r="B1505" s="24"/>
      <c r="C1505" s="24"/>
      <c r="D1505" s="24"/>
      <c r="E1505" s="24"/>
      <c r="F1505" s="8"/>
      <c r="G1505" s="12"/>
      <c r="H1505" s="28"/>
      <c r="I1505" s="28"/>
    </row>
    <row r="1506">
      <c r="A1506" s="22"/>
      <c r="B1506" s="24"/>
      <c r="C1506" s="24"/>
      <c r="D1506" s="24"/>
      <c r="E1506" s="24"/>
      <c r="F1506" s="8"/>
      <c r="G1506" s="12"/>
      <c r="H1506" s="28"/>
      <c r="I1506" s="28"/>
    </row>
    <row r="1507">
      <c r="A1507" s="22"/>
      <c r="B1507" s="24"/>
      <c r="C1507" s="24"/>
      <c r="D1507" s="24"/>
      <c r="E1507" s="24"/>
      <c r="F1507" s="8"/>
      <c r="G1507" s="12"/>
      <c r="H1507" s="28"/>
      <c r="I1507" s="28"/>
    </row>
    <row r="1508">
      <c r="A1508" s="22"/>
      <c r="B1508" s="24"/>
      <c r="C1508" s="24"/>
      <c r="D1508" s="24"/>
      <c r="E1508" s="24"/>
      <c r="F1508" s="8"/>
      <c r="G1508" s="12"/>
      <c r="H1508" s="28"/>
      <c r="I1508" s="28"/>
    </row>
    <row r="1509">
      <c r="A1509" s="22"/>
      <c r="B1509" s="24"/>
      <c r="C1509" s="24"/>
      <c r="D1509" s="24"/>
      <c r="E1509" s="24"/>
      <c r="F1509" s="8"/>
      <c r="G1509" s="12"/>
      <c r="H1509" s="28"/>
      <c r="I1509" s="28"/>
    </row>
    <row r="1510">
      <c r="A1510" s="22"/>
      <c r="B1510" s="24"/>
      <c r="C1510" s="24"/>
      <c r="D1510" s="24"/>
      <c r="E1510" s="24"/>
      <c r="F1510" s="8"/>
      <c r="G1510" s="12"/>
      <c r="H1510" s="28"/>
      <c r="I1510" s="28"/>
    </row>
    <row r="1511">
      <c r="A1511" s="22"/>
      <c r="B1511" s="24"/>
      <c r="C1511" s="24"/>
      <c r="D1511" s="24"/>
      <c r="E1511" s="24"/>
      <c r="F1511" s="8"/>
      <c r="G1511" s="12"/>
      <c r="H1511" s="28"/>
      <c r="I1511" s="28"/>
    </row>
    <row r="1512">
      <c r="A1512" s="22"/>
      <c r="B1512" s="24"/>
      <c r="C1512" s="24"/>
      <c r="D1512" s="24"/>
      <c r="E1512" s="24"/>
      <c r="F1512" s="8"/>
      <c r="G1512" s="12"/>
      <c r="H1512" s="28"/>
      <c r="I1512" s="28"/>
    </row>
    <row r="1513">
      <c r="A1513" s="22"/>
      <c r="B1513" s="24"/>
      <c r="C1513" s="24"/>
      <c r="D1513" s="24"/>
      <c r="E1513" s="24"/>
      <c r="F1513" s="8"/>
      <c r="G1513" s="12"/>
      <c r="H1513" s="28"/>
      <c r="I1513" s="28"/>
    </row>
    <row r="1514">
      <c r="A1514" s="22"/>
      <c r="B1514" s="24"/>
      <c r="C1514" s="24"/>
      <c r="D1514" s="24"/>
      <c r="E1514" s="24"/>
      <c r="F1514" s="8"/>
      <c r="G1514" s="12"/>
      <c r="H1514" s="28"/>
      <c r="I1514" s="28"/>
    </row>
    <row r="1515">
      <c r="A1515" s="22"/>
      <c r="B1515" s="24"/>
      <c r="C1515" s="24"/>
      <c r="D1515" s="24"/>
      <c r="E1515" s="24"/>
      <c r="F1515" s="8"/>
      <c r="G1515" s="12"/>
      <c r="H1515" s="28"/>
      <c r="I1515" s="28"/>
    </row>
    <row r="1516">
      <c r="A1516" s="22"/>
      <c r="B1516" s="24"/>
      <c r="C1516" s="24"/>
      <c r="D1516" s="24"/>
      <c r="E1516" s="24"/>
      <c r="F1516" s="8"/>
      <c r="G1516" s="12"/>
      <c r="H1516" s="28"/>
      <c r="I1516" s="28"/>
    </row>
    <row r="1517">
      <c r="A1517" s="22"/>
      <c r="B1517" s="24"/>
      <c r="C1517" s="24"/>
      <c r="D1517" s="24"/>
      <c r="E1517" s="24"/>
      <c r="F1517" s="8"/>
      <c r="G1517" s="12"/>
      <c r="H1517" s="28"/>
      <c r="I1517" s="28"/>
    </row>
    <row r="1518">
      <c r="A1518" s="22"/>
      <c r="B1518" s="24"/>
      <c r="C1518" s="24"/>
      <c r="D1518" s="24"/>
      <c r="E1518" s="24"/>
      <c r="F1518" s="8"/>
      <c r="G1518" s="12"/>
      <c r="H1518" s="28"/>
      <c r="I1518" s="28"/>
    </row>
    <row r="1519">
      <c r="A1519" s="22"/>
      <c r="B1519" s="24"/>
      <c r="C1519" s="24"/>
      <c r="D1519" s="24"/>
      <c r="E1519" s="24"/>
      <c r="F1519" s="8"/>
      <c r="G1519" s="12"/>
      <c r="H1519" s="28"/>
      <c r="I1519" s="28"/>
    </row>
    <row r="1520">
      <c r="A1520" s="22"/>
      <c r="B1520" s="24"/>
      <c r="C1520" s="24"/>
      <c r="D1520" s="24"/>
      <c r="E1520" s="24"/>
      <c r="F1520" s="8"/>
      <c r="G1520" s="12"/>
      <c r="H1520" s="28"/>
      <c r="I1520" s="28"/>
    </row>
    <row r="1521">
      <c r="A1521" s="22"/>
      <c r="B1521" s="24"/>
      <c r="C1521" s="24"/>
      <c r="D1521" s="24"/>
      <c r="E1521" s="24"/>
      <c r="F1521" s="8"/>
      <c r="G1521" s="12"/>
      <c r="H1521" s="28"/>
      <c r="I1521" s="28"/>
    </row>
    <row r="1522">
      <c r="A1522" s="22"/>
      <c r="B1522" s="24"/>
      <c r="C1522" s="24"/>
      <c r="D1522" s="24"/>
      <c r="E1522" s="24"/>
      <c r="F1522" s="8"/>
      <c r="G1522" s="12"/>
      <c r="H1522" s="28"/>
      <c r="I1522" s="28"/>
    </row>
    <row r="1523">
      <c r="A1523" s="22"/>
      <c r="B1523" s="24"/>
      <c r="C1523" s="24"/>
      <c r="D1523" s="24"/>
      <c r="E1523" s="24"/>
      <c r="F1523" s="8"/>
      <c r="G1523" s="12"/>
      <c r="H1523" s="28"/>
      <c r="I1523" s="28"/>
    </row>
    <row r="1524">
      <c r="A1524" s="22"/>
      <c r="B1524" s="24"/>
      <c r="C1524" s="24"/>
      <c r="D1524" s="24"/>
      <c r="E1524" s="24"/>
      <c r="F1524" s="8"/>
      <c r="G1524" s="12"/>
      <c r="H1524" s="28"/>
      <c r="I1524" s="28"/>
    </row>
    <row r="1525">
      <c r="A1525" s="22"/>
      <c r="B1525" s="24"/>
      <c r="C1525" s="24"/>
      <c r="D1525" s="24"/>
      <c r="E1525" s="24"/>
      <c r="F1525" s="8"/>
      <c r="G1525" s="12"/>
      <c r="H1525" s="28"/>
      <c r="I1525" s="28"/>
    </row>
    <row r="1526">
      <c r="A1526" s="22"/>
      <c r="B1526" s="24"/>
      <c r="C1526" s="24"/>
      <c r="D1526" s="24"/>
      <c r="E1526" s="24"/>
      <c r="F1526" s="8"/>
      <c r="G1526" s="12"/>
      <c r="H1526" s="28"/>
      <c r="I1526" s="28"/>
    </row>
    <row r="1527">
      <c r="A1527" s="22"/>
      <c r="B1527" s="24"/>
      <c r="C1527" s="24"/>
      <c r="D1527" s="24"/>
      <c r="E1527" s="24"/>
      <c r="F1527" s="8"/>
      <c r="G1527" s="12"/>
      <c r="H1527" s="28"/>
      <c r="I1527" s="28"/>
    </row>
    <row r="1528">
      <c r="A1528" s="22"/>
      <c r="B1528" s="24"/>
      <c r="C1528" s="24"/>
      <c r="D1528" s="24"/>
      <c r="E1528" s="24"/>
      <c r="F1528" s="8"/>
      <c r="G1528" s="12"/>
      <c r="H1528" s="28"/>
      <c r="I1528" s="28"/>
    </row>
    <row r="1529">
      <c r="A1529" s="22"/>
      <c r="B1529" s="24"/>
      <c r="C1529" s="24"/>
      <c r="D1529" s="24"/>
      <c r="E1529" s="24"/>
      <c r="F1529" s="8"/>
      <c r="G1529" s="12"/>
      <c r="H1529" s="28"/>
      <c r="I1529" s="28"/>
    </row>
    <row r="1530">
      <c r="A1530" s="22"/>
      <c r="B1530" s="24"/>
      <c r="C1530" s="24"/>
      <c r="D1530" s="24"/>
      <c r="E1530" s="24"/>
      <c r="F1530" s="8"/>
      <c r="G1530" s="12"/>
      <c r="H1530" s="28"/>
      <c r="I1530" s="28"/>
    </row>
    <row r="1531">
      <c r="A1531" s="22"/>
      <c r="B1531" s="24"/>
      <c r="C1531" s="24"/>
      <c r="D1531" s="24"/>
      <c r="E1531" s="24"/>
      <c r="F1531" s="8"/>
      <c r="G1531" s="12"/>
      <c r="H1531" s="28"/>
      <c r="I1531" s="28"/>
    </row>
    <row r="1532">
      <c r="A1532" s="22"/>
      <c r="B1532" s="24"/>
      <c r="C1532" s="24"/>
      <c r="D1532" s="24"/>
      <c r="E1532" s="24"/>
      <c r="F1532" s="8"/>
      <c r="G1532" s="12"/>
      <c r="H1532" s="28"/>
      <c r="I1532" s="28"/>
    </row>
    <row r="1533">
      <c r="A1533" s="22"/>
      <c r="B1533" s="24"/>
      <c r="C1533" s="24"/>
      <c r="D1533" s="24"/>
      <c r="E1533" s="24"/>
      <c r="F1533" s="8"/>
      <c r="G1533" s="12"/>
      <c r="H1533" s="28"/>
      <c r="I1533" s="28"/>
    </row>
    <row r="1534">
      <c r="A1534" s="22"/>
      <c r="B1534" s="24"/>
      <c r="C1534" s="24"/>
      <c r="D1534" s="24"/>
      <c r="E1534" s="24"/>
      <c r="F1534" s="8"/>
      <c r="G1534" s="12"/>
      <c r="H1534" s="28"/>
      <c r="I1534" s="28"/>
    </row>
    <row r="1535">
      <c r="A1535" s="22"/>
      <c r="B1535" s="24"/>
      <c r="C1535" s="24"/>
      <c r="D1535" s="24"/>
      <c r="E1535" s="24"/>
      <c r="F1535" s="8"/>
      <c r="G1535" s="12"/>
      <c r="H1535" s="28"/>
      <c r="I1535" s="28"/>
    </row>
    <row r="1536">
      <c r="A1536" s="22"/>
      <c r="B1536" s="24"/>
      <c r="C1536" s="24"/>
      <c r="D1536" s="24"/>
      <c r="E1536" s="24"/>
      <c r="F1536" s="8"/>
      <c r="G1536" s="12"/>
      <c r="H1536" s="28"/>
      <c r="I1536" s="28"/>
    </row>
    <row r="1537">
      <c r="A1537" s="22"/>
      <c r="B1537" s="24"/>
      <c r="C1537" s="24"/>
      <c r="D1537" s="24"/>
      <c r="E1537" s="24"/>
      <c r="F1537" s="8"/>
      <c r="G1537" s="12"/>
      <c r="H1537" s="28"/>
      <c r="I1537" s="28"/>
    </row>
    <row r="1538">
      <c r="A1538" s="22"/>
      <c r="B1538" s="24"/>
      <c r="C1538" s="24"/>
      <c r="D1538" s="24"/>
      <c r="E1538" s="24"/>
      <c r="F1538" s="8"/>
      <c r="G1538" s="12"/>
      <c r="H1538" s="28"/>
      <c r="I1538" s="28"/>
    </row>
    <row r="1539">
      <c r="A1539" s="22"/>
      <c r="B1539" s="24"/>
      <c r="C1539" s="24"/>
      <c r="D1539" s="24"/>
      <c r="E1539" s="24"/>
      <c r="F1539" s="8"/>
      <c r="G1539" s="12"/>
      <c r="H1539" s="28"/>
      <c r="I1539" s="28"/>
    </row>
    <row r="1540">
      <c r="A1540" s="22"/>
      <c r="B1540" s="24"/>
      <c r="C1540" s="24"/>
      <c r="D1540" s="24"/>
      <c r="E1540" s="24"/>
      <c r="F1540" s="8"/>
      <c r="G1540" s="12"/>
      <c r="H1540" s="28"/>
      <c r="I1540" s="28"/>
    </row>
    <row r="1541">
      <c r="A1541" s="22"/>
      <c r="B1541" s="24"/>
      <c r="C1541" s="24"/>
      <c r="D1541" s="24"/>
      <c r="E1541" s="24"/>
      <c r="F1541" s="8"/>
      <c r="G1541" s="12"/>
      <c r="H1541" s="28"/>
      <c r="I1541" s="28"/>
    </row>
    <row r="1542">
      <c r="A1542" s="22"/>
      <c r="B1542" s="24"/>
      <c r="C1542" s="24"/>
      <c r="D1542" s="24"/>
      <c r="E1542" s="24"/>
      <c r="F1542" s="8"/>
      <c r="G1542" s="12"/>
      <c r="H1542" s="28"/>
      <c r="I1542" s="28"/>
    </row>
    <row r="1543">
      <c r="A1543" s="22"/>
      <c r="B1543" s="24"/>
      <c r="C1543" s="24"/>
      <c r="D1543" s="24"/>
      <c r="E1543" s="24"/>
      <c r="F1543" s="8"/>
      <c r="G1543" s="12"/>
      <c r="H1543" s="28"/>
      <c r="I1543" s="28"/>
    </row>
    <row r="1544">
      <c r="A1544" s="22"/>
      <c r="B1544" s="24"/>
      <c r="C1544" s="24"/>
      <c r="D1544" s="24"/>
      <c r="E1544" s="24"/>
      <c r="F1544" s="8"/>
      <c r="G1544" s="12"/>
      <c r="H1544" s="28"/>
      <c r="I1544" s="28"/>
    </row>
    <row r="1545">
      <c r="A1545" s="22"/>
      <c r="B1545" s="24"/>
      <c r="C1545" s="24"/>
      <c r="D1545" s="24"/>
      <c r="E1545" s="24"/>
      <c r="F1545" s="8"/>
      <c r="G1545" s="12"/>
      <c r="H1545" s="28"/>
      <c r="I1545" s="28"/>
    </row>
    <row r="1546">
      <c r="A1546" s="22"/>
      <c r="B1546" s="24"/>
      <c r="C1546" s="24"/>
      <c r="D1546" s="24"/>
      <c r="E1546" s="24"/>
      <c r="F1546" s="8"/>
      <c r="G1546" s="12"/>
      <c r="H1546" s="28"/>
      <c r="I1546" s="28"/>
    </row>
    <row r="1547">
      <c r="A1547" s="22"/>
      <c r="B1547" s="24"/>
      <c r="C1547" s="24"/>
      <c r="D1547" s="24"/>
      <c r="E1547" s="24"/>
      <c r="F1547" s="8"/>
      <c r="G1547" s="12"/>
      <c r="H1547" s="28"/>
      <c r="I1547" s="28"/>
    </row>
    <row r="1548">
      <c r="A1548" s="22"/>
      <c r="B1548" s="24"/>
      <c r="C1548" s="24"/>
      <c r="D1548" s="24"/>
      <c r="E1548" s="24"/>
      <c r="F1548" s="8"/>
      <c r="G1548" s="12"/>
      <c r="H1548" s="28"/>
      <c r="I1548" s="28"/>
    </row>
    <row r="1549">
      <c r="A1549" s="22"/>
      <c r="B1549" s="24"/>
      <c r="C1549" s="24"/>
      <c r="D1549" s="24"/>
      <c r="E1549" s="24"/>
      <c r="F1549" s="8"/>
      <c r="G1549" s="12"/>
      <c r="H1549" s="28"/>
      <c r="I1549" s="28"/>
    </row>
    <row r="1550">
      <c r="A1550" s="22"/>
      <c r="B1550" s="24"/>
      <c r="C1550" s="24"/>
      <c r="D1550" s="24"/>
      <c r="E1550" s="24"/>
      <c r="F1550" s="8"/>
      <c r="G1550" s="12"/>
      <c r="H1550" s="28"/>
      <c r="I1550" s="28"/>
    </row>
    <row r="1551">
      <c r="A1551" s="22"/>
      <c r="B1551" s="24"/>
      <c r="C1551" s="24"/>
      <c r="D1551" s="24"/>
      <c r="E1551" s="24"/>
      <c r="F1551" s="8"/>
      <c r="G1551" s="12"/>
      <c r="H1551" s="28"/>
      <c r="I1551" s="28"/>
    </row>
    <row r="1552">
      <c r="A1552" s="22"/>
      <c r="B1552" s="24"/>
      <c r="C1552" s="24"/>
      <c r="D1552" s="24"/>
      <c r="E1552" s="24"/>
      <c r="F1552" s="8"/>
      <c r="G1552" s="12"/>
      <c r="H1552" s="28"/>
      <c r="I1552" s="28"/>
    </row>
    <row r="1553">
      <c r="A1553" s="22"/>
      <c r="B1553" s="24"/>
      <c r="C1553" s="24"/>
      <c r="D1553" s="24"/>
      <c r="E1553" s="24"/>
      <c r="F1553" s="8"/>
      <c r="G1553" s="12"/>
      <c r="H1553" s="28"/>
      <c r="I1553" s="28"/>
    </row>
    <row r="1554">
      <c r="A1554" s="22"/>
      <c r="B1554" s="24"/>
      <c r="C1554" s="24"/>
      <c r="D1554" s="24"/>
      <c r="E1554" s="24"/>
      <c r="F1554" s="8"/>
      <c r="G1554" s="12"/>
      <c r="H1554" s="28"/>
      <c r="I1554" s="28"/>
    </row>
    <row r="1555">
      <c r="A1555" s="22"/>
      <c r="B1555" s="24"/>
      <c r="C1555" s="24"/>
      <c r="D1555" s="24"/>
      <c r="E1555" s="24"/>
      <c r="F1555" s="8"/>
      <c r="G1555" s="12"/>
      <c r="H1555" s="28"/>
      <c r="I1555" s="28"/>
    </row>
    <row r="1556">
      <c r="A1556" s="22"/>
      <c r="B1556" s="24"/>
      <c r="C1556" s="24"/>
      <c r="D1556" s="24"/>
      <c r="E1556" s="24"/>
      <c r="F1556" s="8"/>
      <c r="G1556" s="12"/>
      <c r="H1556" s="28"/>
      <c r="I1556" s="28"/>
    </row>
    <row r="1557">
      <c r="A1557" s="22"/>
      <c r="B1557" s="24"/>
      <c r="C1557" s="24"/>
      <c r="D1557" s="24"/>
      <c r="E1557" s="24"/>
      <c r="F1557" s="8"/>
      <c r="G1557" s="12"/>
      <c r="H1557" s="28"/>
      <c r="I1557" s="28"/>
    </row>
    <row r="1558">
      <c r="A1558" s="22"/>
      <c r="B1558" s="24"/>
      <c r="C1558" s="24"/>
      <c r="D1558" s="24"/>
      <c r="E1558" s="24"/>
      <c r="F1558" s="8"/>
      <c r="G1558" s="12"/>
      <c r="H1558" s="28"/>
      <c r="I1558" s="28"/>
    </row>
    <row r="1559">
      <c r="A1559" s="22"/>
      <c r="B1559" s="24"/>
      <c r="C1559" s="24"/>
      <c r="D1559" s="24"/>
      <c r="E1559" s="24"/>
      <c r="F1559" s="8"/>
      <c r="G1559" s="12"/>
      <c r="H1559" s="28"/>
      <c r="I1559" s="28"/>
    </row>
    <row r="1560">
      <c r="A1560" s="22"/>
      <c r="B1560" s="24"/>
      <c r="C1560" s="24"/>
      <c r="D1560" s="24"/>
      <c r="E1560" s="24"/>
      <c r="F1560" s="8"/>
      <c r="G1560" s="12"/>
      <c r="H1560" s="28"/>
      <c r="I1560" s="28"/>
    </row>
    <row r="1561">
      <c r="A1561" s="22"/>
      <c r="B1561" s="24"/>
      <c r="C1561" s="24"/>
      <c r="D1561" s="24"/>
      <c r="E1561" s="24"/>
      <c r="F1561" s="8"/>
      <c r="G1561" s="12"/>
      <c r="H1561" s="28"/>
      <c r="I1561" s="28"/>
    </row>
    <row r="1562">
      <c r="A1562" s="22"/>
      <c r="B1562" s="24"/>
      <c r="C1562" s="24"/>
      <c r="D1562" s="24"/>
      <c r="E1562" s="24"/>
      <c r="F1562" s="8"/>
      <c r="G1562" s="12"/>
      <c r="H1562" s="28"/>
      <c r="I1562" s="28"/>
    </row>
    <row r="1563">
      <c r="A1563" s="22"/>
      <c r="B1563" s="24"/>
      <c r="C1563" s="24"/>
      <c r="D1563" s="24"/>
      <c r="E1563" s="24"/>
      <c r="F1563" s="8"/>
      <c r="G1563" s="12"/>
      <c r="H1563" s="28"/>
      <c r="I1563" s="28"/>
    </row>
    <row r="1564">
      <c r="A1564" s="22"/>
      <c r="B1564" s="24"/>
      <c r="C1564" s="24"/>
      <c r="D1564" s="24"/>
      <c r="E1564" s="24"/>
      <c r="F1564" s="8"/>
      <c r="G1564" s="12"/>
      <c r="H1564" s="28"/>
      <c r="I1564" s="28"/>
    </row>
    <row r="1565">
      <c r="A1565" s="22"/>
      <c r="B1565" s="24"/>
      <c r="C1565" s="24"/>
      <c r="D1565" s="24"/>
      <c r="E1565" s="24"/>
      <c r="F1565" s="8"/>
      <c r="G1565" s="12"/>
      <c r="H1565" s="28"/>
      <c r="I1565" s="28"/>
    </row>
    <row r="1566">
      <c r="A1566" s="22"/>
      <c r="B1566" s="24"/>
      <c r="C1566" s="24"/>
      <c r="D1566" s="24"/>
      <c r="E1566" s="24"/>
      <c r="F1566" s="8"/>
      <c r="G1566" s="12"/>
      <c r="H1566" s="28"/>
      <c r="I1566" s="28"/>
    </row>
    <row r="1567">
      <c r="A1567" s="22"/>
      <c r="B1567" s="24"/>
      <c r="C1567" s="24"/>
      <c r="D1567" s="24"/>
      <c r="E1567" s="24"/>
      <c r="F1567" s="8"/>
      <c r="G1567" s="12"/>
      <c r="H1567" s="28"/>
      <c r="I1567" s="28"/>
    </row>
    <row r="1568">
      <c r="A1568" s="22"/>
      <c r="B1568" s="24"/>
      <c r="C1568" s="24"/>
      <c r="D1568" s="24"/>
      <c r="E1568" s="24"/>
      <c r="F1568" s="8"/>
      <c r="G1568" s="12"/>
      <c r="H1568" s="28"/>
      <c r="I1568" s="28"/>
    </row>
    <row r="1569">
      <c r="A1569" s="22"/>
      <c r="B1569" s="24"/>
      <c r="C1569" s="24"/>
      <c r="D1569" s="24"/>
      <c r="E1569" s="24"/>
      <c r="F1569" s="8"/>
      <c r="G1569" s="12"/>
      <c r="H1569" s="28"/>
      <c r="I1569" s="28"/>
    </row>
    <row r="1570">
      <c r="A1570" s="22"/>
      <c r="B1570" s="24"/>
      <c r="C1570" s="24"/>
      <c r="D1570" s="24"/>
      <c r="E1570" s="24"/>
      <c r="F1570" s="8"/>
      <c r="G1570" s="12"/>
      <c r="H1570" s="28"/>
      <c r="I1570" s="28"/>
    </row>
    <row r="1571">
      <c r="A1571" s="22"/>
      <c r="B1571" s="24"/>
      <c r="C1571" s="24"/>
      <c r="D1571" s="24"/>
      <c r="E1571" s="24"/>
      <c r="F1571" s="8"/>
      <c r="G1571" s="12"/>
      <c r="H1571" s="28"/>
      <c r="I1571" s="28"/>
    </row>
    <row r="1572">
      <c r="A1572" s="22"/>
      <c r="B1572" s="24"/>
      <c r="C1572" s="24"/>
      <c r="D1572" s="24"/>
      <c r="E1572" s="24"/>
      <c r="F1572" s="8"/>
      <c r="G1572" s="12"/>
      <c r="H1572" s="28"/>
      <c r="I1572" s="28"/>
    </row>
    <row r="1573">
      <c r="A1573" s="22"/>
      <c r="B1573" s="24"/>
      <c r="C1573" s="24"/>
      <c r="D1573" s="24"/>
      <c r="E1573" s="24"/>
      <c r="F1573" s="8"/>
      <c r="G1573" s="12"/>
      <c r="H1573" s="28"/>
      <c r="I1573" s="28"/>
    </row>
    <row r="1574">
      <c r="A1574" s="22"/>
      <c r="B1574" s="24"/>
      <c r="C1574" s="24"/>
      <c r="D1574" s="24"/>
      <c r="E1574" s="24"/>
      <c r="F1574" s="8"/>
      <c r="G1574" s="12"/>
      <c r="H1574" s="28"/>
      <c r="I1574" s="28"/>
    </row>
    <row r="1575">
      <c r="A1575" s="22"/>
      <c r="B1575" s="24"/>
      <c r="C1575" s="24"/>
      <c r="D1575" s="24"/>
      <c r="E1575" s="24"/>
      <c r="F1575" s="8"/>
      <c r="G1575" s="12"/>
      <c r="H1575" s="28"/>
      <c r="I1575" s="28"/>
    </row>
    <row r="1576">
      <c r="A1576" s="22"/>
      <c r="B1576" s="24"/>
      <c r="C1576" s="24"/>
      <c r="D1576" s="24"/>
      <c r="E1576" s="24"/>
      <c r="F1576" s="8"/>
      <c r="G1576" s="12"/>
      <c r="H1576" s="28"/>
      <c r="I1576" s="28"/>
    </row>
    <row r="1577">
      <c r="A1577" s="22"/>
      <c r="B1577" s="24"/>
      <c r="C1577" s="24"/>
      <c r="D1577" s="24"/>
      <c r="E1577" s="24"/>
      <c r="F1577" s="8"/>
      <c r="G1577" s="12"/>
      <c r="H1577" s="28"/>
      <c r="I1577" s="28"/>
    </row>
    <row r="1578">
      <c r="A1578" s="22"/>
      <c r="B1578" s="24"/>
      <c r="C1578" s="24"/>
      <c r="D1578" s="24"/>
      <c r="E1578" s="24"/>
      <c r="F1578" s="8"/>
      <c r="G1578" s="12"/>
      <c r="H1578" s="28"/>
      <c r="I1578" s="28"/>
    </row>
    <row r="1579">
      <c r="A1579" s="22"/>
      <c r="B1579" s="24"/>
      <c r="C1579" s="24"/>
      <c r="D1579" s="24"/>
      <c r="E1579" s="24"/>
      <c r="F1579" s="8"/>
      <c r="G1579" s="12"/>
      <c r="H1579" s="28"/>
      <c r="I1579" s="28"/>
    </row>
    <row r="1580">
      <c r="A1580" s="22"/>
      <c r="B1580" s="24"/>
      <c r="C1580" s="24"/>
      <c r="D1580" s="24"/>
      <c r="E1580" s="24"/>
      <c r="F1580" s="8"/>
      <c r="G1580" s="12"/>
      <c r="H1580" s="28"/>
      <c r="I1580" s="28"/>
    </row>
    <row r="1581">
      <c r="A1581" s="22"/>
      <c r="B1581" s="24"/>
      <c r="C1581" s="24"/>
      <c r="D1581" s="24"/>
      <c r="E1581" s="24"/>
      <c r="F1581" s="8"/>
      <c r="G1581" s="12"/>
      <c r="H1581" s="28"/>
      <c r="I1581" s="28"/>
    </row>
    <row r="1582">
      <c r="A1582" s="22"/>
      <c r="B1582" s="24"/>
      <c r="C1582" s="24"/>
      <c r="D1582" s="24"/>
      <c r="E1582" s="24"/>
      <c r="F1582" s="8"/>
      <c r="G1582" s="12"/>
      <c r="H1582" s="28"/>
      <c r="I1582" s="28"/>
    </row>
    <row r="1583">
      <c r="A1583" s="22"/>
      <c r="B1583" s="24"/>
      <c r="C1583" s="24"/>
      <c r="D1583" s="24"/>
      <c r="E1583" s="24"/>
      <c r="F1583" s="8"/>
      <c r="G1583" s="12"/>
      <c r="H1583" s="28"/>
      <c r="I1583" s="28"/>
    </row>
    <row r="1584">
      <c r="A1584" s="22"/>
      <c r="B1584" s="24"/>
      <c r="C1584" s="24"/>
      <c r="D1584" s="24"/>
      <c r="E1584" s="24"/>
      <c r="F1584" s="8"/>
      <c r="G1584" s="12"/>
      <c r="H1584" s="28"/>
      <c r="I1584" s="28"/>
    </row>
    <row r="1585">
      <c r="A1585" s="22"/>
      <c r="B1585" s="24"/>
      <c r="C1585" s="24"/>
      <c r="D1585" s="24"/>
      <c r="E1585" s="24"/>
      <c r="F1585" s="8"/>
      <c r="G1585" s="12"/>
      <c r="H1585" s="28"/>
      <c r="I1585" s="28"/>
    </row>
    <row r="1586">
      <c r="A1586" s="22"/>
      <c r="B1586" s="24"/>
      <c r="C1586" s="24"/>
      <c r="D1586" s="24"/>
      <c r="E1586" s="24"/>
      <c r="F1586" s="8"/>
      <c r="G1586" s="12"/>
      <c r="H1586" s="28"/>
      <c r="I1586" s="28"/>
    </row>
    <row r="1587">
      <c r="A1587" s="22"/>
      <c r="B1587" s="24"/>
      <c r="C1587" s="24"/>
      <c r="D1587" s="24"/>
      <c r="E1587" s="24"/>
      <c r="F1587" s="8"/>
      <c r="G1587" s="12"/>
      <c r="H1587" s="28"/>
      <c r="I1587" s="28"/>
    </row>
    <row r="1588">
      <c r="A1588" s="22"/>
      <c r="B1588" s="24"/>
      <c r="C1588" s="24"/>
      <c r="D1588" s="24"/>
      <c r="E1588" s="24"/>
      <c r="F1588" s="8"/>
      <c r="G1588" s="12"/>
      <c r="H1588" s="28"/>
      <c r="I1588" s="28"/>
    </row>
    <row r="1589">
      <c r="A1589" s="22"/>
      <c r="B1589" s="24"/>
      <c r="C1589" s="24"/>
      <c r="D1589" s="24"/>
      <c r="E1589" s="24"/>
      <c r="F1589" s="8"/>
      <c r="G1589" s="12"/>
      <c r="H1589" s="28"/>
      <c r="I1589" s="28"/>
    </row>
    <row r="1590">
      <c r="A1590" s="22"/>
      <c r="B1590" s="24"/>
      <c r="C1590" s="24"/>
      <c r="D1590" s="24"/>
      <c r="E1590" s="24"/>
      <c r="F1590" s="8"/>
      <c r="G1590" s="12"/>
      <c r="H1590" s="28"/>
      <c r="I1590" s="28"/>
    </row>
    <row r="1591">
      <c r="A1591" s="22"/>
      <c r="B1591" s="24"/>
      <c r="C1591" s="24"/>
      <c r="D1591" s="24"/>
      <c r="E1591" s="24"/>
      <c r="F1591" s="8"/>
      <c r="G1591" s="12"/>
      <c r="H1591" s="28"/>
      <c r="I1591" s="28"/>
    </row>
    <row r="1592">
      <c r="A1592" s="22"/>
      <c r="B1592" s="24"/>
      <c r="C1592" s="24"/>
      <c r="D1592" s="24"/>
      <c r="E1592" s="24"/>
      <c r="F1592" s="8"/>
      <c r="G1592" s="12"/>
      <c r="H1592" s="28"/>
      <c r="I1592" s="28"/>
    </row>
    <row r="1593">
      <c r="A1593" s="22"/>
      <c r="B1593" s="24"/>
      <c r="C1593" s="24"/>
      <c r="D1593" s="24"/>
      <c r="E1593" s="24"/>
      <c r="F1593" s="8"/>
      <c r="G1593" s="12"/>
      <c r="H1593" s="28"/>
      <c r="I1593" s="28"/>
    </row>
    <row r="1594">
      <c r="A1594" s="22"/>
      <c r="B1594" s="24"/>
      <c r="C1594" s="24"/>
      <c r="D1594" s="24"/>
      <c r="E1594" s="24"/>
      <c r="F1594" s="8"/>
      <c r="G1594" s="12"/>
      <c r="H1594" s="28"/>
      <c r="I1594" s="28"/>
    </row>
    <row r="1595">
      <c r="A1595" s="22"/>
      <c r="B1595" s="24"/>
      <c r="C1595" s="24"/>
      <c r="D1595" s="24"/>
      <c r="E1595" s="24"/>
      <c r="F1595" s="8"/>
      <c r="G1595" s="12"/>
      <c r="H1595" s="28"/>
      <c r="I1595" s="28"/>
    </row>
    <row r="1596">
      <c r="A1596" s="22"/>
      <c r="B1596" s="24"/>
      <c r="C1596" s="24"/>
      <c r="D1596" s="24"/>
      <c r="E1596" s="24"/>
      <c r="F1596" s="8"/>
      <c r="G1596" s="12"/>
      <c r="H1596" s="28"/>
      <c r="I1596" s="28"/>
    </row>
    <row r="1597">
      <c r="A1597" s="22"/>
      <c r="B1597" s="24"/>
      <c r="C1597" s="24"/>
      <c r="D1597" s="24"/>
      <c r="E1597" s="24"/>
      <c r="F1597" s="8"/>
      <c r="G1597" s="12"/>
      <c r="H1597" s="28"/>
      <c r="I1597" s="28"/>
    </row>
    <row r="1598">
      <c r="A1598" s="22"/>
      <c r="B1598" s="24"/>
      <c r="C1598" s="24"/>
      <c r="D1598" s="24"/>
      <c r="E1598" s="24"/>
      <c r="F1598" s="8"/>
      <c r="G1598" s="12"/>
      <c r="H1598" s="28"/>
      <c r="I1598" s="28"/>
    </row>
    <row r="1599">
      <c r="A1599" s="22"/>
      <c r="B1599" s="24"/>
      <c r="C1599" s="24"/>
      <c r="D1599" s="24"/>
      <c r="E1599" s="24"/>
      <c r="F1599" s="8"/>
      <c r="G1599" s="12"/>
      <c r="H1599" s="28"/>
      <c r="I1599" s="28"/>
    </row>
    <row r="1600">
      <c r="A1600" s="22"/>
      <c r="B1600" s="24"/>
      <c r="C1600" s="24"/>
      <c r="D1600" s="24"/>
      <c r="E1600" s="24"/>
      <c r="F1600" s="8"/>
      <c r="G1600" s="12"/>
      <c r="H1600" s="28"/>
      <c r="I1600" s="28"/>
    </row>
    <row r="1601">
      <c r="A1601" s="22"/>
      <c r="B1601" s="24"/>
      <c r="C1601" s="24"/>
      <c r="D1601" s="24"/>
      <c r="E1601" s="24"/>
      <c r="F1601" s="8"/>
      <c r="G1601" s="12"/>
      <c r="H1601" s="28"/>
      <c r="I1601" s="28"/>
    </row>
    <row r="1602">
      <c r="A1602" s="22"/>
      <c r="B1602" s="24"/>
      <c r="C1602" s="24"/>
      <c r="D1602" s="24"/>
      <c r="E1602" s="24"/>
      <c r="F1602" s="8"/>
      <c r="G1602" s="12"/>
      <c r="H1602" s="28"/>
      <c r="I1602" s="28"/>
    </row>
    <row r="1603">
      <c r="A1603" s="22"/>
      <c r="B1603" s="24"/>
      <c r="C1603" s="24"/>
      <c r="D1603" s="24"/>
      <c r="E1603" s="24"/>
      <c r="F1603" s="8"/>
      <c r="G1603" s="12"/>
      <c r="H1603" s="28"/>
      <c r="I1603" s="28"/>
    </row>
    <row r="1604">
      <c r="A1604" s="22"/>
      <c r="B1604" s="24"/>
      <c r="C1604" s="24"/>
      <c r="D1604" s="24"/>
      <c r="E1604" s="24"/>
      <c r="F1604" s="8"/>
      <c r="G1604" s="12"/>
      <c r="H1604" s="28"/>
      <c r="I1604" s="28"/>
    </row>
    <row r="1605">
      <c r="A1605" s="22"/>
      <c r="B1605" s="24"/>
      <c r="C1605" s="24"/>
      <c r="D1605" s="24"/>
      <c r="E1605" s="24"/>
      <c r="F1605" s="8"/>
      <c r="G1605" s="12"/>
      <c r="H1605" s="28"/>
      <c r="I1605" s="28"/>
    </row>
    <row r="1606">
      <c r="A1606" s="22"/>
      <c r="B1606" s="24"/>
      <c r="C1606" s="24"/>
      <c r="D1606" s="24"/>
      <c r="E1606" s="24"/>
      <c r="F1606" s="8"/>
      <c r="G1606" s="12"/>
      <c r="H1606" s="28"/>
      <c r="I1606" s="28"/>
    </row>
    <row r="1607">
      <c r="A1607" s="22"/>
      <c r="B1607" s="24"/>
      <c r="C1607" s="24"/>
      <c r="D1607" s="24"/>
      <c r="E1607" s="24"/>
      <c r="F1607" s="8"/>
      <c r="G1607" s="12"/>
      <c r="H1607" s="28"/>
      <c r="I1607" s="28"/>
    </row>
    <row r="1608">
      <c r="A1608" s="22"/>
      <c r="B1608" s="24"/>
      <c r="C1608" s="24"/>
      <c r="D1608" s="24"/>
      <c r="E1608" s="24"/>
      <c r="F1608" s="8"/>
      <c r="G1608" s="12"/>
      <c r="H1608" s="28"/>
      <c r="I1608" s="28"/>
    </row>
    <row r="1609">
      <c r="A1609" s="22"/>
      <c r="B1609" s="24"/>
      <c r="C1609" s="24"/>
      <c r="D1609" s="24"/>
      <c r="E1609" s="24"/>
      <c r="F1609" s="8"/>
      <c r="G1609" s="12"/>
      <c r="H1609" s="28"/>
      <c r="I1609" s="28"/>
    </row>
    <row r="1610">
      <c r="A1610" s="22"/>
      <c r="B1610" s="24"/>
      <c r="C1610" s="24"/>
      <c r="D1610" s="24"/>
      <c r="E1610" s="24"/>
      <c r="F1610" s="8"/>
      <c r="G1610" s="12"/>
      <c r="H1610" s="28"/>
      <c r="I1610" s="28"/>
    </row>
    <row r="1611">
      <c r="A1611" s="22"/>
      <c r="B1611" s="24"/>
      <c r="C1611" s="24"/>
      <c r="D1611" s="24"/>
      <c r="E1611" s="24"/>
      <c r="F1611" s="8"/>
      <c r="G1611" s="12"/>
      <c r="H1611" s="28"/>
      <c r="I1611" s="28"/>
    </row>
    <row r="1612">
      <c r="A1612" s="22"/>
      <c r="B1612" s="24"/>
      <c r="C1612" s="24"/>
      <c r="D1612" s="24"/>
      <c r="E1612" s="24"/>
      <c r="F1612" s="8"/>
      <c r="G1612" s="12"/>
      <c r="H1612" s="28"/>
      <c r="I1612" s="28"/>
    </row>
    <row r="1613">
      <c r="A1613" s="22"/>
      <c r="B1613" s="24"/>
      <c r="C1613" s="24"/>
      <c r="D1613" s="24"/>
      <c r="E1613" s="24"/>
      <c r="F1613" s="8"/>
      <c r="G1613" s="12"/>
      <c r="H1613" s="28"/>
      <c r="I1613" s="28"/>
    </row>
    <row r="1614">
      <c r="A1614" s="22"/>
      <c r="B1614" s="24"/>
      <c r="C1614" s="24"/>
      <c r="D1614" s="24"/>
      <c r="E1614" s="24"/>
      <c r="F1614" s="8"/>
      <c r="G1614" s="12"/>
      <c r="H1614" s="28"/>
      <c r="I1614" s="28"/>
    </row>
    <row r="1615">
      <c r="A1615" s="22"/>
      <c r="B1615" s="24"/>
      <c r="C1615" s="24"/>
      <c r="D1615" s="24"/>
      <c r="E1615" s="24"/>
      <c r="F1615" s="8"/>
      <c r="G1615" s="12"/>
      <c r="H1615" s="28"/>
      <c r="I1615" s="28"/>
    </row>
    <row r="1616">
      <c r="A1616" s="22"/>
      <c r="B1616" s="24"/>
      <c r="C1616" s="24"/>
      <c r="D1616" s="24"/>
      <c r="E1616" s="24"/>
      <c r="F1616" s="8"/>
      <c r="G1616" s="12"/>
      <c r="H1616" s="28"/>
      <c r="I1616" s="28"/>
    </row>
    <row r="1617">
      <c r="A1617" s="22"/>
      <c r="B1617" s="24"/>
      <c r="C1617" s="24"/>
      <c r="D1617" s="24"/>
      <c r="E1617" s="24"/>
      <c r="F1617" s="8"/>
      <c r="G1617" s="12"/>
      <c r="H1617" s="28"/>
      <c r="I1617" s="28"/>
    </row>
    <row r="1618">
      <c r="A1618" s="22"/>
      <c r="B1618" s="24"/>
      <c r="C1618" s="24"/>
      <c r="D1618" s="24"/>
      <c r="E1618" s="24"/>
      <c r="F1618" s="8"/>
      <c r="G1618" s="12"/>
      <c r="H1618" s="28"/>
      <c r="I1618" s="28"/>
    </row>
    <row r="1619">
      <c r="A1619" s="22"/>
      <c r="B1619" s="24"/>
      <c r="C1619" s="24"/>
      <c r="D1619" s="24"/>
      <c r="E1619" s="24"/>
      <c r="F1619" s="8"/>
      <c r="G1619" s="12"/>
      <c r="H1619" s="28"/>
      <c r="I1619" s="28"/>
    </row>
    <row r="1620">
      <c r="A1620" s="22"/>
      <c r="B1620" s="24"/>
      <c r="C1620" s="24"/>
      <c r="D1620" s="24"/>
      <c r="E1620" s="24"/>
      <c r="F1620" s="8"/>
      <c r="G1620" s="12"/>
      <c r="H1620" s="28"/>
      <c r="I1620" s="28"/>
    </row>
    <row r="1621">
      <c r="A1621" s="22"/>
      <c r="B1621" s="24"/>
      <c r="C1621" s="24"/>
      <c r="D1621" s="24"/>
      <c r="E1621" s="24"/>
      <c r="F1621" s="8"/>
      <c r="G1621" s="12"/>
      <c r="H1621" s="28"/>
      <c r="I1621" s="28"/>
    </row>
    <row r="1622">
      <c r="A1622" s="22"/>
      <c r="B1622" s="24"/>
      <c r="C1622" s="24"/>
      <c r="D1622" s="24"/>
      <c r="E1622" s="24"/>
      <c r="F1622" s="8"/>
      <c r="G1622" s="12"/>
      <c r="H1622" s="28"/>
      <c r="I1622" s="28"/>
    </row>
    <row r="1623">
      <c r="A1623" s="22"/>
      <c r="B1623" s="24"/>
      <c r="C1623" s="24"/>
      <c r="D1623" s="24"/>
      <c r="E1623" s="24"/>
      <c r="F1623" s="8"/>
      <c r="G1623" s="12"/>
      <c r="H1623" s="28"/>
      <c r="I1623" s="28"/>
    </row>
    <row r="1624">
      <c r="A1624" s="22"/>
      <c r="B1624" s="24"/>
      <c r="C1624" s="24"/>
      <c r="D1624" s="24"/>
      <c r="E1624" s="24"/>
      <c r="F1624" s="8"/>
      <c r="G1624" s="12"/>
      <c r="H1624" s="28"/>
      <c r="I1624" s="28"/>
    </row>
    <row r="1625">
      <c r="A1625" s="22"/>
      <c r="B1625" s="24"/>
      <c r="C1625" s="24"/>
      <c r="D1625" s="24"/>
      <c r="E1625" s="24"/>
      <c r="F1625" s="8"/>
      <c r="G1625" s="12"/>
      <c r="H1625" s="28"/>
      <c r="I1625" s="28"/>
    </row>
    <row r="1626">
      <c r="A1626" s="22"/>
      <c r="B1626" s="24"/>
      <c r="C1626" s="24"/>
      <c r="D1626" s="24"/>
      <c r="E1626" s="24"/>
      <c r="F1626" s="8"/>
      <c r="G1626" s="12"/>
      <c r="H1626" s="28"/>
      <c r="I1626" s="28"/>
    </row>
    <row r="1627">
      <c r="A1627" s="22"/>
      <c r="B1627" s="24"/>
      <c r="C1627" s="24"/>
      <c r="D1627" s="24"/>
      <c r="E1627" s="24"/>
      <c r="F1627" s="8"/>
      <c r="G1627" s="12"/>
      <c r="H1627" s="28"/>
      <c r="I1627" s="28"/>
    </row>
    <row r="1628">
      <c r="A1628" s="22"/>
      <c r="B1628" s="24"/>
      <c r="C1628" s="24"/>
      <c r="D1628" s="24"/>
      <c r="E1628" s="24"/>
      <c r="F1628" s="8"/>
      <c r="G1628" s="12"/>
      <c r="H1628" s="28"/>
      <c r="I1628" s="28"/>
    </row>
    <row r="1629">
      <c r="A1629" s="22"/>
      <c r="B1629" s="24"/>
      <c r="C1629" s="24"/>
      <c r="D1629" s="24"/>
      <c r="E1629" s="24"/>
      <c r="F1629" s="8"/>
      <c r="G1629" s="12"/>
      <c r="H1629" s="28"/>
      <c r="I1629" s="28"/>
    </row>
    <row r="1630">
      <c r="A1630" s="22"/>
      <c r="B1630" s="24"/>
      <c r="C1630" s="24"/>
      <c r="D1630" s="24"/>
      <c r="E1630" s="24"/>
      <c r="F1630" s="8"/>
      <c r="G1630" s="12"/>
      <c r="H1630" s="28"/>
      <c r="I1630" s="28"/>
    </row>
    <row r="1631">
      <c r="A1631" s="22"/>
      <c r="B1631" s="24"/>
      <c r="C1631" s="24"/>
      <c r="D1631" s="24"/>
      <c r="E1631" s="24"/>
      <c r="F1631" s="8"/>
      <c r="G1631" s="12"/>
      <c r="H1631" s="28"/>
      <c r="I1631" s="28"/>
    </row>
    <row r="1632">
      <c r="A1632" s="22"/>
      <c r="B1632" s="24"/>
      <c r="C1632" s="24"/>
      <c r="D1632" s="24"/>
      <c r="E1632" s="24"/>
      <c r="F1632" s="8"/>
      <c r="G1632" s="12"/>
      <c r="H1632" s="28"/>
      <c r="I1632" s="28"/>
    </row>
    <row r="1633">
      <c r="A1633" s="22"/>
      <c r="B1633" s="24"/>
      <c r="C1633" s="24"/>
      <c r="D1633" s="24"/>
      <c r="E1633" s="24"/>
      <c r="F1633" s="8"/>
      <c r="G1633" s="12"/>
      <c r="H1633" s="28"/>
      <c r="I1633" s="28"/>
    </row>
    <row r="1634">
      <c r="A1634" s="22"/>
      <c r="B1634" s="24"/>
      <c r="C1634" s="24"/>
      <c r="D1634" s="24"/>
      <c r="E1634" s="24"/>
      <c r="F1634" s="8"/>
      <c r="G1634" s="12"/>
      <c r="H1634" s="28"/>
      <c r="I1634" s="28"/>
    </row>
    <row r="1635">
      <c r="A1635" s="22"/>
      <c r="B1635" s="24"/>
      <c r="C1635" s="24"/>
      <c r="D1635" s="24"/>
      <c r="E1635" s="24"/>
      <c r="F1635" s="8"/>
      <c r="G1635" s="12"/>
      <c r="H1635" s="28"/>
      <c r="I1635" s="28"/>
    </row>
    <row r="1636">
      <c r="A1636" s="22"/>
      <c r="B1636" s="24"/>
      <c r="C1636" s="24"/>
      <c r="D1636" s="24"/>
      <c r="E1636" s="24"/>
      <c r="F1636" s="8"/>
      <c r="G1636" s="12"/>
      <c r="H1636" s="28"/>
      <c r="I1636" s="28"/>
    </row>
    <row r="1637">
      <c r="A1637" s="22"/>
      <c r="B1637" s="24"/>
      <c r="C1637" s="24"/>
      <c r="D1637" s="24"/>
      <c r="E1637" s="24"/>
      <c r="F1637" s="8"/>
      <c r="G1637" s="12"/>
      <c r="H1637" s="28"/>
      <c r="I1637" s="28"/>
    </row>
    <row r="1638">
      <c r="A1638" s="22"/>
      <c r="B1638" s="24"/>
      <c r="C1638" s="24"/>
      <c r="D1638" s="24"/>
      <c r="E1638" s="24"/>
      <c r="F1638" s="8"/>
      <c r="G1638" s="12"/>
      <c r="H1638" s="28"/>
      <c r="I1638" s="28"/>
    </row>
    <row r="1639">
      <c r="A1639" s="22"/>
      <c r="B1639" s="24"/>
      <c r="C1639" s="24"/>
      <c r="D1639" s="24"/>
      <c r="E1639" s="24"/>
      <c r="F1639" s="8"/>
      <c r="G1639" s="12"/>
      <c r="H1639" s="28"/>
      <c r="I1639" s="28"/>
    </row>
    <row r="1640">
      <c r="A1640" s="22"/>
      <c r="B1640" s="24"/>
      <c r="C1640" s="24"/>
      <c r="D1640" s="24"/>
      <c r="E1640" s="24"/>
      <c r="F1640" s="8"/>
      <c r="G1640" s="12"/>
      <c r="H1640" s="28"/>
      <c r="I1640" s="28"/>
    </row>
    <row r="1641">
      <c r="A1641" s="22"/>
      <c r="B1641" s="24"/>
      <c r="C1641" s="24"/>
      <c r="D1641" s="24"/>
      <c r="E1641" s="24"/>
      <c r="F1641" s="8"/>
      <c r="G1641" s="12"/>
      <c r="H1641" s="28"/>
      <c r="I1641" s="28"/>
    </row>
    <row r="1642">
      <c r="A1642" s="22"/>
      <c r="B1642" s="24"/>
      <c r="C1642" s="24"/>
      <c r="D1642" s="24"/>
      <c r="E1642" s="24"/>
      <c r="F1642" s="8"/>
      <c r="G1642" s="12"/>
      <c r="H1642" s="28"/>
      <c r="I1642" s="28"/>
    </row>
    <row r="1643">
      <c r="A1643" s="22"/>
      <c r="B1643" s="24"/>
      <c r="C1643" s="24"/>
      <c r="D1643" s="24"/>
      <c r="E1643" s="24"/>
      <c r="F1643" s="8"/>
      <c r="G1643" s="12"/>
      <c r="H1643" s="28"/>
      <c r="I1643" s="28"/>
    </row>
    <row r="1644">
      <c r="A1644" s="22"/>
      <c r="B1644" s="24"/>
      <c r="C1644" s="24"/>
      <c r="D1644" s="24"/>
      <c r="E1644" s="24"/>
      <c r="F1644" s="8"/>
      <c r="G1644" s="12"/>
      <c r="H1644" s="28"/>
      <c r="I1644" s="28"/>
    </row>
    <row r="1645">
      <c r="A1645" s="22"/>
      <c r="B1645" s="24"/>
      <c r="C1645" s="24"/>
      <c r="D1645" s="24"/>
      <c r="E1645" s="24"/>
      <c r="F1645" s="8"/>
      <c r="G1645" s="12"/>
      <c r="H1645" s="28"/>
      <c r="I1645" s="28"/>
    </row>
    <row r="1646">
      <c r="A1646" s="22"/>
      <c r="B1646" s="24"/>
      <c r="C1646" s="24"/>
      <c r="D1646" s="24"/>
      <c r="E1646" s="24"/>
      <c r="F1646" s="8"/>
      <c r="G1646" s="12"/>
      <c r="H1646" s="28"/>
      <c r="I1646" s="28"/>
    </row>
    <row r="1647">
      <c r="A1647" s="22"/>
      <c r="B1647" s="24"/>
      <c r="C1647" s="24"/>
      <c r="D1647" s="24"/>
      <c r="E1647" s="24"/>
      <c r="F1647" s="8"/>
      <c r="G1647" s="12"/>
      <c r="H1647" s="28"/>
      <c r="I1647" s="28"/>
    </row>
    <row r="1648">
      <c r="A1648" s="22"/>
      <c r="B1648" s="24"/>
      <c r="C1648" s="24"/>
      <c r="D1648" s="24"/>
      <c r="E1648" s="24"/>
      <c r="F1648" s="8"/>
      <c r="G1648" s="12"/>
      <c r="H1648" s="28"/>
      <c r="I1648" s="28"/>
    </row>
    <row r="1649">
      <c r="A1649" s="22"/>
      <c r="B1649" s="24"/>
      <c r="C1649" s="24"/>
      <c r="D1649" s="24"/>
      <c r="E1649" s="24"/>
      <c r="F1649" s="8"/>
      <c r="G1649" s="12"/>
      <c r="H1649" s="28"/>
      <c r="I1649" s="28"/>
    </row>
    <row r="1650">
      <c r="A1650" s="22"/>
      <c r="B1650" s="24"/>
      <c r="C1650" s="24"/>
      <c r="D1650" s="24"/>
      <c r="E1650" s="24"/>
      <c r="F1650" s="8"/>
      <c r="G1650" s="12"/>
      <c r="H1650" s="28"/>
      <c r="I1650" s="28"/>
    </row>
    <row r="1651">
      <c r="A1651" s="22"/>
      <c r="B1651" s="24"/>
      <c r="C1651" s="24"/>
      <c r="D1651" s="24"/>
      <c r="E1651" s="24"/>
      <c r="F1651" s="8"/>
      <c r="G1651" s="12"/>
      <c r="H1651" s="28"/>
      <c r="I1651" s="28"/>
    </row>
    <row r="1652">
      <c r="A1652" s="22"/>
      <c r="B1652" s="24"/>
      <c r="C1652" s="24"/>
      <c r="D1652" s="24"/>
      <c r="E1652" s="24"/>
      <c r="F1652" s="8"/>
      <c r="G1652" s="12"/>
      <c r="H1652" s="28"/>
      <c r="I1652" s="28"/>
    </row>
    <row r="1653">
      <c r="A1653" s="22"/>
      <c r="B1653" s="24"/>
      <c r="C1653" s="24"/>
      <c r="D1653" s="24"/>
      <c r="E1653" s="24"/>
      <c r="F1653" s="8"/>
      <c r="G1653" s="12"/>
      <c r="H1653" s="28"/>
      <c r="I1653" s="28"/>
    </row>
    <row r="1654">
      <c r="A1654" s="22"/>
      <c r="B1654" s="24"/>
      <c r="C1654" s="24"/>
      <c r="D1654" s="24"/>
      <c r="E1654" s="24"/>
      <c r="F1654" s="8"/>
      <c r="G1654" s="12"/>
      <c r="H1654" s="28"/>
      <c r="I1654" s="28"/>
    </row>
    <row r="1655">
      <c r="A1655" s="22"/>
      <c r="B1655" s="24"/>
      <c r="C1655" s="24"/>
      <c r="D1655" s="24"/>
      <c r="E1655" s="24"/>
      <c r="F1655" s="8"/>
      <c r="G1655" s="12"/>
      <c r="H1655" s="28"/>
      <c r="I1655" s="28"/>
    </row>
    <row r="1656">
      <c r="A1656" s="22"/>
      <c r="B1656" s="24"/>
      <c r="C1656" s="24"/>
      <c r="D1656" s="24"/>
      <c r="E1656" s="24"/>
      <c r="F1656" s="8"/>
      <c r="G1656" s="12"/>
      <c r="H1656" s="28"/>
      <c r="I1656" s="28"/>
    </row>
    <row r="1657">
      <c r="A1657" s="22"/>
      <c r="B1657" s="24"/>
      <c r="C1657" s="24"/>
      <c r="D1657" s="24"/>
      <c r="E1657" s="24"/>
      <c r="F1657" s="8"/>
      <c r="G1657" s="12"/>
      <c r="H1657" s="28"/>
      <c r="I1657" s="28"/>
    </row>
    <row r="1658">
      <c r="A1658" s="22"/>
      <c r="B1658" s="24"/>
      <c r="C1658" s="24"/>
      <c r="D1658" s="24"/>
      <c r="E1658" s="24"/>
      <c r="F1658" s="8"/>
      <c r="G1658" s="12"/>
      <c r="H1658" s="28"/>
      <c r="I1658" s="28"/>
    </row>
    <row r="1659">
      <c r="A1659" s="22"/>
      <c r="B1659" s="24"/>
      <c r="C1659" s="24"/>
      <c r="D1659" s="24"/>
      <c r="E1659" s="24"/>
      <c r="F1659" s="8"/>
      <c r="G1659" s="12"/>
      <c r="H1659" s="28"/>
      <c r="I1659" s="28"/>
    </row>
    <row r="1660">
      <c r="A1660" s="22"/>
      <c r="B1660" s="24"/>
      <c r="C1660" s="24"/>
      <c r="D1660" s="24"/>
      <c r="E1660" s="24"/>
      <c r="F1660" s="8"/>
      <c r="G1660" s="12"/>
      <c r="H1660" s="28"/>
      <c r="I1660" s="28"/>
    </row>
    <row r="1661">
      <c r="A1661" s="22"/>
      <c r="B1661" s="24"/>
      <c r="C1661" s="24"/>
      <c r="D1661" s="24"/>
      <c r="E1661" s="24"/>
      <c r="F1661" s="8"/>
      <c r="G1661" s="12"/>
      <c r="H1661" s="28"/>
      <c r="I1661" s="28"/>
    </row>
    <row r="1662">
      <c r="A1662" s="22"/>
      <c r="B1662" s="24"/>
      <c r="C1662" s="24"/>
      <c r="D1662" s="24"/>
      <c r="E1662" s="24"/>
      <c r="F1662" s="8"/>
      <c r="G1662" s="12"/>
      <c r="H1662" s="28"/>
      <c r="I1662" s="28"/>
    </row>
    <row r="1663">
      <c r="A1663" s="22"/>
      <c r="B1663" s="24"/>
      <c r="C1663" s="24"/>
      <c r="D1663" s="24"/>
      <c r="E1663" s="24"/>
      <c r="F1663" s="8"/>
      <c r="G1663" s="12"/>
      <c r="H1663" s="28"/>
      <c r="I1663" s="28"/>
    </row>
    <row r="1664">
      <c r="A1664" s="22"/>
      <c r="B1664" s="24"/>
      <c r="C1664" s="24"/>
      <c r="D1664" s="24"/>
      <c r="E1664" s="24"/>
      <c r="F1664" s="8"/>
      <c r="G1664" s="12"/>
      <c r="H1664" s="28"/>
      <c r="I1664" s="28"/>
    </row>
    <row r="1665">
      <c r="A1665" s="22"/>
      <c r="B1665" s="24"/>
      <c r="C1665" s="24"/>
      <c r="D1665" s="24"/>
      <c r="E1665" s="24"/>
      <c r="F1665" s="8"/>
      <c r="G1665" s="12"/>
      <c r="H1665" s="28"/>
      <c r="I1665" s="28"/>
    </row>
    <row r="1666">
      <c r="A1666" s="22"/>
      <c r="B1666" s="24"/>
      <c r="C1666" s="24"/>
      <c r="D1666" s="24"/>
      <c r="E1666" s="24"/>
      <c r="F1666" s="8"/>
      <c r="G1666" s="12"/>
      <c r="H1666" s="28"/>
      <c r="I1666" s="28"/>
    </row>
    <row r="1667">
      <c r="A1667" s="22"/>
      <c r="B1667" s="24"/>
      <c r="C1667" s="24"/>
      <c r="D1667" s="24"/>
      <c r="E1667" s="24"/>
      <c r="F1667" s="8"/>
      <c r="G1667" s="12"/>
      <c r="H1667" s="28"/>
      <c r="I1667" s="28"/>
    </row>
    <row r="1668">
      <c r="A1668" s="22"/>
      <c r="B1668" s="24"/>
      <c r="C1668" s="24"/>
      <c r="D1668" s="24"/>
      <c r="E1668" s="24"/>
      <c r="F1668" s="8"/>
      <c r="G1668" s="12"/>
      <c r="H1668" s="28"/>
      <c r="I1668" s="28"/>
    </row>
    <row r="1669">
      <c r="A1669" s="22"/>
      <c r="B1669" s="24"/>
      <c r="C1669" s="24"/>
      <c r="D1669" s="24"/>
      <c r="E1669" s="24"/>
      <c r="F1669" s="8"/>
      <c r="G1669" s="12"/>
      <c r="H1669" s="28"/>
      <c r="I1669" s="28"/>
    </row>
    <row r="1670">
      <c r="A1670" s="22"/>
      <c r="B1670" s="24"/>
      <c r="C1670" s="24"/>
      <c r="D1670" s="24"/>
      <c r="E1670" s="24"/>
      <c r="F1670" s="8"/>
      <c r="G1670" s="12"/>
      <c r="H1670" s="28"/>
      <c r="I1670" s="28"/>
    </row>
    <row r="1671">
      <c r="A1671" s="22"/>
      <c r="B1671" s="24"/>
      <c r="C1671" s="24"/>
      <c r="D1671" s="24"/>
      <c r="E1671" s="24"/>
      <c r="F1671" s="8"/>
      <c r="G1671" s="12"/>
      <c r="H1671" s="28"/>
      <c r="I1671" s="28"/>
    </row>
    <row r="1672">
      <c r="A1672" s="22"/>
      <c r="B1672" s="24"/>
      <c r="C1672" s="24"/>
      <c r="D1672" s="24"/>
      <c r="E1672" s="24"/>
      <c r="F1672" s="8"/>
      <c r="G1672" s="12"/>
      <c r="H1672" s="28"/>
      <c r="I1672" s="28"/>
    </row>
    <row r="1673">
      <c r="A1673" s="22"/>
      <c r="B1673" s="24"/>
      <c r="C1673" s="24"/>
      <c r="D1673" s="24"/>
      <c r="E1673" s="24"/>
      <c r="F1673" s="8"/>
      <c r="G1673" s="12"/>
      <c r="H1673" s="28"/>
      <c r="I1673" s="28"/>
    </row>
    <row r="1674">
      <c r="A1674" s="22"/>
      <c r="B1674" s="24"/>
      <c r="C1674" s="24"/>
      <c r="D1674" s="24"/>
      <c r="E1674" s="24"/>
      <c r="F1674" s="8"/>
      <c r="G1674" s="12"/>
      <c r="H1674" s="28"/>
      <c r="I1674" s="28"/>
    </row>
    <row r="1675">
      <c r="A1675" s="22"/>
      <c r="B1675" s="24"/>
      <c r="C1675" s="24"/>
      <c r="D1675" s="24"/>
      <c r="E1675" s="24"/>
      <c r="F1675" s="8"/>
      <c r="G1675" s="12"/>
      <c r="H1675" s="28"/>
      <c r="I1675" s="28"/>
    </row>
    <row r="1676">
      <c r="A1676" s="22"/>
      <c r="B1676" s="24"/>
      <c r="C1676" s="24"/>
      <c r="D1676" s="24"/>
      <c r="E1676" s="24"/>
      <c r="F1676" s="8"/>
      <c r="G1676" s="12"/>
      <c r="H1676" s="28"/>
      <c r="I1676" s="28"/>
    </row>
    <row r="1677">
      <c r="A1677" s="22"/>
      <c r="B1677" s="24"/>
      <c r="C1677" s="24"/>
      <c r="D1677" s="24"/>
      <c r="E1677" s="24"/>
      <c r="F1677" s="8"/>
      <c r="G1677" s="12"/>
      <c r="H1677" s="28"/>
      <c r="I1677" s="28"/>
    </row>
    <row r="1678">
      <c r="A1678" s="22"/>
      <c r="B1678" s="24"/>
      <c r="C1678" s="24"/>
      <c r="D1678" s="24"/>
      <c r="E1678" s="24"/>
      <c r="F1678" s="8"/>
      <c r="G1678" s="12"/>
      <c r="H1678" s="28"/>
      <c r="I1678" s="28"/>
    </row>
    <row r="1679">
      <c r="A1679" s="22"/>
      <c r="B1679" s="24"/>
      <c r="C1679" s="24"/>
      <c r="D1679" s="24"/>
      <c r="E1679" s="24"/>
      <c r="F1679" s="8"/>
      <c r="G1679" s="12"/>
      <c r="H1679" s="28"/>
      <c r="I1679" s="28"/>
    </row>
    <row r="1680">
      <c r="A1680" s="22"/>
      <c r="B1680" s="24"/>
      <c r="C1680" s="24"/>
      <c r="D1680" s="24"/>
      <c r="E1680" s="24"/>
      <c r="F1680" s="8"/>
      <c r="G1680" s="12"/>
      <c r="H1680" s="28"/>
      <c r="I1680" s="28"/>
    </row>
    <row r="1681">
      <c r="A1681" s="22"/>
      <c r="B1681" s="24"/>
      <c r="C1681" s="24"/>
      <c r="D1681" s="24"/>
      <c r="E1681" s="24"/>
      <c r="F1681" s="8"/>
      <c r="G1681" s="12"/>
      <c r="H1681" s="28"/>
      <c r="I1681" s="28"/>
    </row>
    <row r="1682">
      <c r="A1682" s="22"/>
      <c r="B1682" s="24"/>
      <c r="C1682" s="24"/>
      <c r="D1682" s="24"/>
      <c r="E1682" s="24"/>
      <c r="F1682" s="8"/>
      <c r="G1682" s="12"/>
      <c r="H1682" s="28"/>
      <c r="I1682" s="28"/>
    </row>
    <row r="1683">
      <c r="A1683" s="22"/>
      <c r="B1683" s="24"/>
      <c r="C1683" s="24"/>
      <c r="D1683" s="24"/>
      <c r="E1683" s="24"/>
      <c r="F1683" s="8"/>
      <c r="G1683" s="12"/>
      <c r="H1683" s="28"/>
      <c r="I1683" s="28"/>
    </row>
    <row r="1684">
      <c r="A1684" s="22"/>
      <c r="B1684" s="24"/>
      <c r="C1684" s="24"/>
      <c r="D1684" s="24"/>
      <c r="E1684" s="24"/>
      <c r="F1684" s="8"/>
      <c r="G1684" s="12"/>
      <c r="H1684" s="28"/>
      <c r="I1684" s="28"/>
    </row>
    <row r="1685">
      <c r="A1685" s="22"/>
      <c r="B1685" s="24"/>
      <c r="C1685" s="24"/>
      <c r="D1685" s="24"/>
      <c r="E1685" s="24"/>
      <c r="F1685" s="8"/>
      <c r="G1685" s="12"/>
      <c r="H1685" s="28"/>
      <c r="I1685" s="28"/>
    </row>
    <row r="1686">
      <c r="A1686" s="22"/>
      <c r="B1686" s="24"/>
      <c r="C1686" s="24"/>
      <c r="D1686" s="24"/>
      <c r="E1686" s="24"/>
      <c r="F1686" s="8"/>
      <c r="G1686" s="12"/>
      <c r="H1686" s="28"/>
      <c r="I1686" s="28"/>
    </row>
    <row r="1687">
      <c r="A1687" s="22"/>
      <c r="B1687" s="24"/>
      <c r="C1687" s="24"/>
      <c r="D1687" s="24"/>
      <c r="E1687" s="24"/>
      <c r="F1687" s="8"/>
      <c r="G1687" s="12"/>
      <c r="H1687" s="28"/>
      <c r="I1687" s="28"/>
    </row>
    <row r="1688">
      <c r="A1688" s="22"/>
      <c r="B1688" s="24"/>
      <c r="C1688" s="24"/>
      <c r="D1688" s="24"/>
      <c r="E1688" s="24"/>
      <c r="F1688" s="8"/>
      <c r="G1688" s="12"/>
      <c r="H1688" s="28"/>
      <c r="I1688" s="28"/>
    </row>
    <row r="1689">
      <c r="A1689" s="22"/>
      <c r="B1689" s="24"/>
      <c r="C1689" s="24"/>
      <c r="D1689" s="24"/>
      <c r="E1689" s="24"/>
      <c r="F1689" s="8"/>
      <c r="G1689" s="12"/>
      <c r="H1689" s="28"/>
      <c r="I1689" s="28"/>
    </row>
    <row r="1690">
      <c r="A1690" s="22"/>
      <c r="B1690" s="24"/>
      <c r="C1690" s="24"/>
      <c r="D1690" s="24"/>
      <c r="E1690" s="24"/>
      <c r="F1690" s="8"/>
      <c r="G1690" s="12"/>
      <c r="H1690" s="28"/>
      <c r="I1690" s="28"/>
    </row>
    <row r="1691">
      <c r="A1691" s="22"/>
      <c r="B1691" s="24"/>
      <c r="C1691" s="24"/>
      <c r="D1691" s="24"/>
      <c r="E1691" s="24"/>
      <c r="F1691" s="8"/>
      <c r="G1691" s="12"/>
      <c r="H1691" s="28"/>
      <c r="I1691" s="28"/>
    </row>
    <row r="1692">
      <c r="A1692" s="22"/>
      <c r="B1692" s="24"/>
      <c r="C1692" s="24"/>
      <c r="D1692" s="24"/>
      <c r="E1692" s="24"/>
      <c r="F1692" s="8"/>
      <c r="G1692" s="12"/>
      <c r="H1692" s="28"/>
      <c r="I1692" s="28"/>
    </row>
    <row r="1693">
      <c r="A1693" s="22"/>
      <c r="B1693" s="24"/>
      <c r="C1693" s="24"/>
      <c r="D1693" s="24"/>
      <c r="E1693" s="24"/>
      <c r="F1693" s="8"/>
      <c r="G1693" s="12"/>
      <c r="H1693" s="28"/>
      <c r="I1693" s="28"/>
    </row>
    <row r="1694">
      <c r="A1694" s="22"/>
      <c r="B1694" s="24"/>
      <c r="C1694" s="24"/>
      <c r="D1694" s="24"/>
      <c r="E1694" s="24"/>
      <c r="F1694" s="8"/>
      <c r="G1694" s="12"/>
      <c r="H1694" s="28"/>
      <c r="I1694" s="28"/>
    </row>
    <row r="1695">
      <c r="A1695" s="22"/>
      <c r="B1695" s="24"/>
      <c r="C1695" s="24"/>
      <c r="D1695" s="24"/>
      <c r="E1695" s="24"/>
      <c r="F1695" s="8"/>
      <c r="G1695" s="12"/>
      <c r="H1695" s="28"/>
      <c r="I1695" s="28"/>
    </row>
    <row r="1696">
      <c r="A1696" s="22"/>
      <c r="B1696" s="24"/>
      <c r="C1696" s="24"/>
      <c r="D1696" s="24"/>
      <c r="E1696" s="24"/>
      <c r="F1696" s="8"/>
      <c r="G1696" s="12"/>
      <c r="H1696" s="28"/>
      <c r="I1696" s="28"/>
    </row>
    <row r="1697">
      <c r="A1697" s="22"/>
      <c r="B1697" s="24"/>
      <c r="C1697" s="24"/>
      <c r="D1697" s="24"/>
      <c r="E1697" s="24"/>
      <c r="F1697" s="8"/>
      <c r="G1697" s="12"/>
      <c r="H1697" s="28"/>
      <c r="I1697" s="28"/>
    </row>
    <row r="1698">
      <c r="A1698" s="22"/>
      <c r="B1698" s="24"/>
      <c r="C1698" s="24"/>
      <c r="D1698" s="24"/>
      <c r="E1698" s="24"/>
      <c r="F1698" s="8"/>
      <c r="G1698" s="12"/>
      <c r="H1698" s="28"/>
      <c r="I1698" s="28"/>
    </row>
    <row r="1699">
      <c r="A1699" s="22"/>
      <c r="B1699" s="24"/>
      <c r="C1699" s="24"/>
      <c r="D1699" s="24"/>
      <c r="E1699" s="24"/>
      <c r="F1699" s="8"/>
      <c r="G1699" s="12"/>
      <c r="H1699" s="28"/>
      <c r="I1699" s="28"/>
    </row>
    <row r="1700">
      <c r="A1700" s="22"/>
      <c r="B1700" s="24"/>
      <c r="C1700" s="24"/>
      <c r="D1700" s="24"/>
      <c r="E1700" s="24"/>
      <c r="F1700" s="8"/>
      <c r="G1700" s="12"/>
      <c r="H1700" s="28"/>
      <c r="I1700" s="28"/>
    </row>
    <row r="1701">
      <c r="A1701" s="22"/>
      <c r="B1701" s="24"/>
      <c r="C1701" s="24"/>
      <c r="D1701" s="24"/>
      <c r="E1701" s="24"/>
      <c r="F1701" s="8"/>
      <c r="G1701" s="12"/>
      <c r="H1701" s="28"/>
      <c r="I1701" s="28"/>
    </row>
    <row r="1702">
      <c r="A1702" s="22"/>
      <c r="B1702" s="24"/>
      <c r="C1702" s="24"/>
      <c r="D1702" s="24"/>
      <c r="E1702" s="24"/>
      <c r="F1702" s="8"/>
      <c r="G1702" s="12"/>
      <c r="H1702" s="28"/>
      <c r="I1702" s="28"/>
    </row>
    <row r="1703">
      <c r="A1703" s="22"/>
      <c r="B1703" s="24"/>
      <c r="C1703" s="24"/>
      <c r="D1703" s="24"/>
      <c r="E1703" s="24"/>
      <c r="F1703" s="8"/>
      <c r="G1703" s="12"/>
      <c r="H1703" s="28"/>
      <c r="I1703" s="28"/>
    </row>
    <row r="1704">
      <c r="A1704" s="22"/>
      <c r="B1704" s="24"/>
      <c r="C1704" s="24"/>
      <c r="D1704" s="24"/>
      <c r="E1704" s="24"/>
      <c r="F1704" s="8"/>
      <c r="G1704" s="12"/>
      <c r="H1704" s="28"/>
      <c r="I1704" s="28"/>
    </row>
    <row r="1705">
      <c r="A1705" s="22"/>
      <c r="B1705" s="24"/>
      <c r="C1705" s="24"/>
      <c r="D1705" s="24"/>
      <c r="E1705" s="24"/>
      <c r="F1705" s="8"/>
      <c r="G1705" s="12"/>
      <c r="H1705" s="28"/>
      <c r="I1705" s="28"/>
    </row>
    <row r="1706">
      <c r="A1706" s="22"/>
      <c r="B1706" s="24"/>
      <c r="C1706" s="24"/>
      <c r="D1706" s="24"/>
      <c r="E1706" s="24"/>
      <c r="F1706" s="8"/>
      <c r="G1706" s="12"/>
      <c r="H1706" s="28"/>
      <c r="I1706" s="28"/>
    </row>
    <row r="1707">
      <c r="A1707" s="22"/>
      <c r="B1707" s="24"/>
      <c r="C1707" s="24"/>
      <c r="D1707" s="24"/>
      <c r="E1707" s="24"/>
      <c r="F1707" s="8"/>
      <c r="G1707" s="12"/>
      <c r="H1707" s="28"/>
      <c r="I1707" s="28"/>
    </row>
    <row r="1708">
      <c r="A1708" s="22"/>
      <c r="B1708" s="24"/>
      <c r="C1708" s="24"/>
      <c r="D1708" s="24"/>
      <c r="E1708" s="24"/>
      <c r="F1708" s="8"/>
      <c r="G1708" s="12"/>
      <c r="H1708" s="28"/>
      <c r="I1708" s="28"/>
    </row>
    <row r="1709">
      <c r="A1709" s="22"/>
      <c r="B1709" s="24"/>
      <c r="C1709" s="24"/>
      <c r="D1709" s="24"/>
      <c r="E1709" s="24"/>
      <c r="F1709" s="8"/>
      <c r="G1709" s="12"/>
      <c r="H1709" s="28"/>
      <c r="I1709" s="28"/>
    </row>
    <row r="1710">
      <c r="A1710" s="22"/>
      <c r="B1710" s="24"/>
      <c r="C1710" s="24"/>
      <c r="D1710" s="24"/>
      <c r="E1710" s="24"/>
      <c r="F1710" s="8"/>
      <c r="G1710" s="12"/>
      <c r="H1710" s="28"/>
      <c r="I1710" s="28"/>
    </row>
    <row r="1711">
      <c r="A1711" s="22"/>
      <c r="B1711" s="24"/>
      <c r="C1711" s="24"/>
      <c r="D1711" s="24"/>
      <c r="E1711" s="24"/>
      <c r="F1711" s="8"/>
      <c r="G1711" s="12"/>
      <c r="H1711" s="28"/>
      <c r="I1711" s="28"/>
    </row>
    <row r="1712">
      <c r="A1712" s="22"/>
      <c r="B1712" s="24"/>
      <c r="C1712" s="24"/>
      <c r="D1712" s="24"/>
      <c r="E1712" s="24"/>
      <c r="F1712" s="8"/>
      <c r="G1712" s="12"/>
      <c r="H1712" s="28"/>
      <c r="I1712" s="28"/>
    </row>
    <row r="1713">
      <c r="A1713" s="22"/>
      <c r="B1713" s="24"/>
      <c r="C1713" s="24"/>
      <c r="D1713" s="24"/>
      <c r="E1713" s="24"/>
      <c r="F1713" s="8"/>
      <c r="G1713" s="12"/>
      <c r="H1713" s="28"/>
      <c r="I1713" s="28"/>
    </row>
    <row r="1714">
      <c r="A1714" s="22"/>
      <c r="B1714" s="24"/>
      <c r="C1714" s="24"/>
      <c r="D1714" s="24"/>
      <c r="E1714" s="24"/>
      <c r="F1714" s="8"/>
      <c r="G1714" s="12"/>
      <c r="H1714" s="28"/>
      <c r="I1714" s="28"/>
    </row>
    <row r="1715">
      <c r="A1715" s="22"/>
      <c r="B1715" s="24"/>
      <c r="C1715" s="24"/>
      <c r="D1715" s="24"/>
      <c r="E1715" s="24"/>
      <c r="F1715" s="8"/>
      <c r="G1715" s="12"/>
      <c r="H1715" s="28"/>
      <c r="I1715" s="28"/>
    </row>
    <row r="1716">
      <c r="A1716" s="22"/>
      <c r="B1716" s="24"/>
      <c r="C1716" s="24"/>
      <c r="D1716" s="24"/>
      <c r="E1716" s="24"/>
      <c r="F1716" s="8"/>
      <c r="G1716" s="12"/>
      <c r="H1716" s="28"/>
      <c r="I1716" s="28"/>
    </row>
    <row r="1717">
      <c r="A1717" s="22"/>
      <c r="B1717" s="24"/>
      <c r="C1717" s="24"/>
      <c r="D1717" s="24"/>
      <c r="E1717" s="24"/>
      <c r="F1717" s="8"/>
      <c r="G1717" s="12"/>
      <c r="H1717" s="28"/>
      <c r="I1717" s="28"/>
    </row>
    <row r="1718">
      <c r="A1718" s="22"/>
      <c r="B1718" s="24"/>
      <c r="C1718" s="24"/>
      <c r="D1718" s="24"/>
      <c r="E1718" s="24"/>
      <c r="F1718" s="8"/>
      <c r="G1718" s="12"/>
      <c r="H1718" s="28"/>
      <c r="I1718" s="28"/>
    </row>
    <row r="1719">
      <c r="A1719" s="22"/>
      <c r="B1719" s="24"/>
      <c r="C1719" s="24"/>
      <c r="D1719" s="24"/>
      <c r="E1719" s="24"/>
      <c r="F1719" s="8"/>
      <c r="G1719" s="12"/>
      <c r="H1719" s="28"/>
      <c r="I1719" s="28"/>
    </row>
    <row r="1720">
      <c r="A1720" s="22"/>
      <c r="B1720" s="24"/>
      <c r="C1720" s="24"/>
      <c r="D1720" s="24"/>
      <c r="E1720" s="24"/>
      <c r="F1720" s="8"/>
      <c r="G1720" s="12"/>
      <c r="H1720" s="28"/>
      <c r="I1720" s="28"/>
    </row>
    <row r="1721">
      <c r="A1721" s="22"/>
      <c r="B1721" s="24"/>
      <c r="C1721" s="24"/>
      <c r="D1721" s="24"/>
      <c r="E1721" s="24"/>
      <c r="F1721" s="8"/>
      <c r="G1721" s="12"/>
      <c r="H1721" s="28"/>
      <c r="I1721" s="28"/>
    </row>
    <row r="1722">
      <c r="A1722" s="22"/>
      <c r="B1722" s="24"/>
      <c r="C1722" s="24"/>
      <c r="D1722" s="24"/>
      <c r="E1722" s="24"/>
      <c r="F1722" s="8"/>
      <c r="G1722" s="12"/>
      <c r="H1722" s="28"/>
      <c r="I1722" s="28"/>
    </row>
    <row r="1723">
      <c r="A1723" s="22"/>
      <c r="B1723" s="24"/>
      <c r="C1723" s="24"/>
      <c r="D1723" s="24"/>
      <c r="E1723" s="24"/>
      <c r="F1723" s="8"/>
      <c r="G1723" s="12"/>
      <c r="H1723" s="28"/>
      <c r="I1723" s="28"/>
    </row>
    <row r="1724">
      <c r="A1724" s="22"/>
      <c r="B1724" s="24"/>
      <c r="C1724" s="24"/>
      <c r="D1724" s="24"/>
      <c r="E1724" s="24"/>
      <c r="F1724" s="8"/>
      <c r="G1724" s="12"/>
      <c r="H1724" s="28"/>
      <c r="I1724" s="28"/>
    </row>
    <row r="1725">
      <c r="A1725" s="22"/>
      <c r="B1725" s="24"/>
      <c r="C1725" s="24"/>
      <c r="D1725" s="24"/>
      <c r="E1725" s="24"/>
      <c r="F1725" s="8"/>
      <c r="G1725" s="12"/>
      <c r="H1725" s="28"/>
      <c r="I1725" s="28"/>
    </row>
    <row r="1726">
      <c r="A1726" s="22"/>
      <c r="B1726" s="24"/>
      <c r="C1726" s="24"/>
      <c r="D1726" s="24"/>
      <c r="E1726" s="24"/>
      <c r="F1726" s="8"/>
      <c r="G1726" s="12"/>
      <c r="H1726" s="28"/>
      <c r="I1726" s="28"/>
    </row>
    <row r="1727">
      <c r="A1727" s="22"/>
      <c r="B1727" s="24"/>
      <c r="C1727" s="24"/>
      <c r="D1727" s="24"/>
      <c r="E1727" s="24"/>
      <c r="F1727" s="8"/>
      <c r="G1727" s="12"/>
      <c r="H1727" s="28"/>
      <c r="I1727" s="28"/>
    </row>
    <row r="1728">
      <c r="A1728" s="22"/>
      <c r="B1728" s="24"/>
      <c r="C1728" s="24"/>
      <c r="D1728" s="24"/>
      <c r="E1728" s="24"/>
      <c r="F1728" s="8"/>
      <c r="G1728" s="12"/>
      <c r="H1728" s="28"/>
      <c r="I1728" s="28"/>
    </row>
    <row r="1729">
      <c r="A1729" s="22"/>
      <c r="B1729" s="24"/>
      <c r="C1729" s="24"/>
      <c r="D1729" s="24"/>
      <c r="E1729" s="24"/>
      <c r="F1729" s="8"/>
      <c r="G1729" s="12"/>
      <c r="H1729" s="28"/>
      <c r="I1729" s="28"/>
    </row>
    <row r="1730">
      <c r="A1730" s="22"/>
      <c r="B1730" s="24"/>
      <c r="C1730" s="24"/>
      <c r="D1730" s="24"/>
      <c r="E1730" s="24"/>
      <c r="F1730" s="8"/>
      <c r="G1730" s="12"/>
      <c r="H1730" s="28"/>
      <c r="I1730" s="28"/>
    </row>
    <row r="1731">
      <c r="A1731" s="22"/>
      <c r="B1731" s="24"/>
      <c r="C1731" s="24"/>
      <c r="D1731" s="24"/>
      <c r="E1731" s="24"/>
      <c r="F1731" s="8"/>
      <c r="G1731" s="12"/>
      <c r="H1731" s="28"/>
      <c r="I1731" s="28"/>
    </row>
    <row r="1732">
      <c r="A1732" s="22"/>
      <c r="B1732" s="24"/>
      <c r="C1732" s="24"/>
      <c r="D1732" s="24"/>
      <c r="E1732" s="24"/>
      <c r="F1732" s="8"/>
      <c r="G1732" s="12"/>
      <c r="H1732" s="28"/>
      <c r="I1732" s="28"/>
    </row>
    <row r="1733">
      <c r="A1733" s="22"/>
      <c r="B1733" s="24"/>
      <c r="C1733" s="24"/>
      <c r="D1733" s="24"/>
      <c r="E1733" s="24"/>
      <c r="F1733" s="8"/>
      <c r="G1733" s="12"/>
      <c r="H1733" s="28"/>
      <c r="I1733" s="28"/>
    </row>
    <row r="1734">
      <c r="A1734" s="22"/>
      <c r="B1734" s="24"/>
      <c r="C1734" s="24"/>
      <c r="D1734" s="24"/>
      <c r="E1734" s="24"/>
      <c r="F1734" s="8"/>
      <c r="G1734" s="12"/>
      <c r="H1734" s="28"/>
      <c r="I1734" s="28"/>
    </row>
    <row r="1735">
      <c r="A1735" s="22"/>
      <c r="B1735" s="24"/>
      <c r="C1735" s="24"/>
      <c r="D1735" s="24"/>
      <c r="E1735" s="24"/>
      <c r="F1735" s="8"/>
      <c r="G1735" s="12"/>
      <c r="H1735" s="28"/>
      <c r="I1735" s="28"/>
    </row>
    <row r="1736">
      <c r="A1736" s="22"/>
      <c r="B1736" s="24"/>
      <c r="C1736" s="24"/>
      <c r="D1736" s="24"/>
      <c r="E1736" s="24"/>
      <c r="F1736" s="8"/>
      <c r="G1736" s="12"/>
      <c r="H1736" s="28"/>
      <c r="I1736" s="28"/>
    </row>
    <row r="1737">
      <c r="A1737" s="22"/>
      <c r="B1737" s="24"/>
      <c r="C1737" s="24"/>
      <c r="D1737" s="24"/>
      <c r="E1737" s="24"/>
      <c r="F1737" s="8"/>
      <c r="G1737" s="12"/>
      <c r="H1737" s="28"/>
      <c r="I1737" s="28"/>
    </row>
    <row r="1738">
      <c r="A1738" s="22"/>
      <c r="B1738" s="24"/>
      <c r="C1738" s="24"/>
      <c r="D1738" s="24"/>
      <c r="E1738" s="24"/>
      <c r="F1738" s="8"/>
      <c r="G1738" s="12"/>
      <c r="H1738" s="28"/>
      <c r="I1738" s="28"/>
    </row>
    <row r="1739">
      <c r="A1739" s="22"/>
      <c r="B1739" s="24"/>
      <c r="C1739" s="24"/>
      <c r="D1739" s="24"/>
      <c r="E1739" s="24"/>
      <c r="F1739" s="8"/>
      <c r="G1739" s="12"/>
      <c r="H1739" s="28"/>
      <c r="I1739" s="28"/>
    </row>
    <row r="1740">
      <c r="A1740" s="22"/>
      <c r="B1740" s="24"/>
      <c r="C1740" s="24"/>
      <c r="D1740" s="24"/>
      <c r="E1740" s="24"/>
      <c r="F1740" s="8"/>
      <c r="G1740" s="12"/>
      <c r="H1740" s="28"/>
      <c r="I1740" s="28"/>
    </row>
    <row r="1741">
      <c r="A1741" s="22"/>
      <c r="B1741" s="24"/>
      <c r="C1741" s="24"/>
      <c r="D1741" s="24"/>
      <c r="E1741" s="24"/>
      <c r="F1741" s="8"/>
      <c r="G1741" s="12"/>
      <c r="H1741" s="28"/>
      <c r="I1741" s="28"/>
    </row>
    <row r="1742">
      <c r="A1742" s="22"/>
      <c r="B1742" s="24"/>
      <c r="C1742" s="24"/>
      <c r="D1742" s="24"/>
      <c r="E1742" s="24"/>
      <c r="F1742" s="8"/>
      <c r="G1742" s="12"/>
      <c r="H1742" s="28"/>
      <c r="I1742" s="28"/>
    </row>
    <row r="1743">
      <c r="A1743" s="22"/>
      <c r="B1743" s="24"/>
      <c r="C1743" s="24"/>
      <c r="D1743" s="24"/>
      <c r="E1743" s="24"/>
      <c r="F1743" s="8"/>
      <c r="G1743" s="12"/>
      <c r="H1743" s="28"/>
      <c r="I1743" s="28"/>
    </row>
    <row r="1744">
      <c r="A1744" s="22"/>
      <c r="B1744" s="24"/>
      <c r="C1744" s="24"/>
      <c r="D1744" s="24"/>
      <c r="E1744" s="24"/>
      <c r="F1744" s="8"/>
      <c r="G1744" s="12"/>
      <c r="H1744" s="28"/>
      <c r="I1744" s="28"/>
    </row>
    <row r="1745">
      <c r="A1745" s="22"/>
      <c r="B1745" s="24"/>
      <c r="C1745" s="24"/>
      <c r="D1745" s="24"/>
      <c r="E1745" s="24"/>
      <c r="F1745" s="8"/>
      <c r="G1745" s="12"/>
      <c r="H1745" s="28"/>
      <c r="I1745" s="28"/>
    </row>
    <row r="1746">
      <c r="A1746" s="22"/>
      <c r="B1746" s="24"/>
      <c r="C1746" s="24"/>
      <c r="D1746" s="24"/>
      <c r="E1746" s="24"/>
      <c r="F1746" s="8"/>
      <c r="G1746" s="12"/>
      <c r="H1746" s="28"/>
      <c r="I1746" s="28"/>
    </row>
    <row r="1747">
      <c r="A1747" s="22"/>
      <c r="B1747" s="24"/>
      <c r="C1747" s="24"/>
      <c r="D1747" s="24"/>
      <c r="E1747" s="24"/>
      <c r="F1747" s="8"/>
      <c r="G1747" s="12"/>
      <c r="H1747" s="28"/>
      <c r="I1747" s="28"/>
    </row>
    <row r="1748">
      <c r="A1748" s="22"/>
      <c r="B1748" s="24"/>
      <c r="C1748" s="24"/>
      <c r="D1748" s="24"/>
      <c r="E1748" s="24"/>
      <c r="F1748" s="8"/>
      <c r="G1748" s="12"/>
      <c r="H1748" s="28"/>
      <c r="I1748" s="28"/>
    </row>
    <row r="1749">
      <c r="A1749" s="22"/>
      <c r="B1749" s="24"/>
      <c r="C1749" s="24"/>
      <c r="D1749" s="24"/>
      <c r="E1749" s="24"/>
      <c r="F1749" s="8"/>
      <c r="G1749" s="12"/>
      <c r="H1749" s="28"/>
      <c r="I1749" s="28"/>
    </row>
    <row r="1750">
      <c r="A1750" s="22"/>
      <c r="B1750" s="24"/>
      <c r="C1750" s="24"/>
      <c r="D1750" s="24"/>
      <c r="E1750" s="24"/>
      <c r="F1750" s="8"/>
      <c r="G1750" s="12"/>
      <c r="H1750" s="28"/>
      <c r="I1750" s="28"/>
    </row>
    <row r="1751">
      <c r="A1751" s="22"/>
      <c r="B1751" s="24"/>
      <c r="C1751" s="24"/>
      <c r="D1751" s="24"/>
      <c r="E1751" s="24"/>
      <c r="F1751" s="8"/>
      <c r="G1751" s="12"/>
      <c r="H1751" s="28"/>
      <c r="I1751" s="28"/>
    </row>
    <row r="1752">
      <c r="A1752" s="22"/>
      <c r="B1752" s="24"/>
      <c r="C1752" s="24"/>
      <c r="D1752" s="24"/>
      <c r="E1752" s="24"/>
      <c r="F1752" s="8"/>
      <c r="G1752" s="12"/>
      <c r="H1752" s="28"/>
      <c r="I1752" s="28"/>
    </row>
    <row r="1753">
      <c r="A1753" s="22"/>
      <c r="B1753" s="24"/>
      <c r="C1753" s="24"/>
      <c r="D1753" s="24"/>
      <c r="E1753" s="24"/>
      <c r="F1753" s="8"/>
      <c r="G1753" s="12"/>
      <c r="H1753" s="28"/>
      <c r="I1753" s="28"/>
    </row>
    <row r="1754">
      <c r="A1754" s="22"/>
      <c r="B1754" s="24"/>
      <c r="C1754" s="24"/>
      <c r="D1754" s="24"/>
      <c r="E1754" s="24"/>
      <c r="F1754" s="8"/>
      <c r="G1754" s="12"/>
      <c r="H1754" s="28"/>
      <c r="I1754" s="28"/>
    </row>
    <row r="1755">
      <c r="A1755" s="22"/>
      <c r="B1755" s="24"/>
      <c r="C1755" s="24"/>
      <c r="D1755" s="24"/>
      <c r="E1755" s="24"/>
      <c r="F1755" s="8"/>
      <c r="G1755" s="12"/>
      <c r="H1755" s="28"/>
      <c r="I1755" s="28"/>
    </row>
    <row r="1756">
      <c r="A1756" s="22"/>
      <c r="B1756" s="24"/>
      <c r="C1756" s="24"/>
      <c r="D1756" s="24"/>
      <c r="E1756" s="24"/>
      <c r="F1756" s="8"/>
      <c r="G1756" s="12"/>
      <c r="H1756" s="28"/>
      <c r="I1756" s="28"/>
    </row>
    <row r="1757">
      <c r="A1757" s="22"/>
      <c r="B1757" s="24"/>
      <c r="C1757" s="24"/>
      <c r="D1757" s="24"/>
      <c r="E1757" s="24"/>
      <c r="F1757" s="8"/>
      <c r="G1757" s="12"/>
      <c r="H1757" s="28"/>
      <c r="I1757" s="28"/>
    </row>
    <row r="1758">
      <c r="A1758" s="22"/>
      <c r="B1758" s="24"/>
      <c r="C1758" s="24"/>
      <c r="D1758" s="24"/>
      <c r="E1758" s="24"/>
      <c r="F1758" s="8"/>
      <c r="G1758" s="12"/>
      <c r="H1758" s="28"/>
      <c r="I1758" s="28"/>
    </row>
    <row r="1759">
      <c r="A1759" s="22"/>
      <c r="B1759" s="24"/>
      <c r="C1759" s="24"/>
      <c r="D1759" s="24"/>
      <c r="E1759" s="24"/>
      <c r="F1759" s="8"/>
      <c r="G1759" s="12"/>
      <c r="H1759" s="28"/>
      <c r="I1759" s="28"/>
    </row>
    <row r="1760">
      <c r="A1760" s="22"/>
      <c r="B1760" s="24"/>
      <c r="C1760" s="24"/>
      <c r="D1760" s="24"/>
      <c r="E1760" s="24"/>
      <c r="F1760" s="8"/>
      <c r="G1760" s="12"/>
      <c r="H1760" s="28"/>
      <c r="I1760" s="28"/>
    </row>
    <row r="1761">
      <c r="A1761" s="22"/>
      <c r="B1761" s="24"/>
      <c r="C1761" s="24"/>
      <c r="D1761" s="24"/>
      <c r="E1761" s="24"/>
      <c r="F1761" s="8"/>
      <c r="G1761" s="12"/>
      <c r="H1761" s="28"/>
      <c r="I1761" s="28"/>
    </row>
    <row r="1762">
      <c r="A1762" s="22"/>
      <c r="B1762" s="24"/>
      <c r="C1762" s="24"/>
      <c r="D1762" s="24"/>
      <c r="E1762" s="24"/>
      <c r="F1762" s="8"/>
      <c r="G1762" s="12"/>
      <c r="H1762" s="28"/>
      <c r="I1762" s="28"/>
    </row>
    <row r="1763">
      <c r="A1763" s="22"/>
      <c r="B1763" s="24"/>
      <c r="C1763" s="24"/>
      <c r="D1763" s="24"/>
      <c r="E1763" s="24"/>
      <c r="F1763" s="8"/>
      <c r="G1763" s="12"/>
      <c r="H1763" s="28"/>
      <c r="I1763" s="28"/>
    </row>
    <row r="1764">
      <c r="A1764" s="22"/>
      <c r="B1764" s="24"/>
      <c r="C1764" s="24"/>
      <c r="D1764" s="24"/>
      <c r="E1764" s="24"/>
      <c r="F1764" s="8"/>
      <c r="G1764" s="12"/>
      <c r="H1764" s="28"/>
      <c r="I1764" s="28"/>
    </row>
    <row r="1765">
      <c r="A1765" s="22"/>
      <c r="B1765" s="24"/>
      <c r="C1765" s="24"/>
      <c r="D1765" s="24"/>
      <c r="E1765" s="24"/>
      <c r="F1765" s="8"/>
      <c r="G1765" s="12"/>
      <c r="H1765" s="28"/>
      <c r="I1765" s="28"/>
    </row>
    <row r="1766">
      <c r="A1766" s="22"/>
      <c r="B1766" s="24"/>
      <c r="C1766" s="24"/>
      <c r="D1766" s="24"/>
      <c r="E1766" s="24"/>
      <c r="F1766" s="8"/>
      <c r="G1766" s="12"/>
      <c r="H1766" s="28"/>
      <c r="I1766" s="28"/>
    </row>
    <row r="1767">
      <c r="A1767" s="22"/>
      <c r="B1767" s="24"/>
      <c r="C1767" s="24"/>
      <c r="D1767" s="24"/>
      <c r="E1767" s="24"/>
      <c r="F1767" s="8"/>
      <c r="G1767" s="12"/>
      <c r="H1767" s="28"/>
      <c r="I1767" s="28"/>
    </row>
    <row r="1768">
      <c r="A1768" s="22"/>
      <c r="B1768" s="24"/>
      <c r="C1768" s="24"/>
      <c r="D1768" s="24"/>
      <c r="E1768" s="24"/>
      <c r="F1768" s="8"/>
      <c r="G1768" s="12"/>
      <c r="H1768" s="28"/>
      <c r="I1768" s="28"/>
    </row>
    <row r="1769">
      <c r="A1769" s="22"/>
      <c r="B1769" s="24"/>
      <c r="C1769" s="24"/>
      <c r="D1769" s="24"/>
      <c r="E1769" s="24"/>
      <c r="F1769" s="8"/>
      <c r="G1769" s="12"/>
      <c r="H1769" s="28"/>
      <c r="I1769" s="28"/>
    </row>
    <row r="1770">
      <c r="A1770" s="22"/>
      <c r="B1770" s="24"/>
      <c r="C1770" s="24"/>
      <c r="D1770" s="24"/>
      <c r="E1770" s="24"/>
      <c r="F1770" s="8"/>
      <c r="G1770" s="12"/>
      <c r="H1770" s="28"/>
      <c r="I1770" s="28"/>
    </row>
    <row r="1771">
      <c r="A1771" s="22"/>
      <c r="B1771" s="24"/>
      <c r="C1771" s="24"/>
      <c r="D1771" s="24"/>
      <c r="E1771" s="24"/>
      <c r="F1771" s="8"/>
      <c r="G1771" s="12"/>
      <c r="H1771" s="28"/>
      <c r="I1771" s="28"/>
    </row>
    <row r="1772">
      <c r="A1772" s="22"/>
      <c r="B1772" s="24"/>
      <c r="C1772" s="24"/>
      <c r="D1772" s="24"/>
      <c r="E1772" s="24"/>
      <c r="F1772" s="8"/>
      <c r="G1772" s="12"/>
      <c r="H1772" s="28"/>
      <c r="I1772" s="28"/>
    </row>
    <row r="1773">
      <c r="A1773" s="22"/>
      <c r="B1773" s="24"/>
      <c r="C1773" s="24"/>
      <c r="D1773" s="24"/>
      <c r="E1773" s="24"/>
      <c r="F1773" s="8"/>
      <c r="G1773" s="12"/>
      <c r="H1773" s="28"/>
      <c r="I1773" s="28"/>
    </row>
    <row r="1774">
      <c r="A1774" s="22"/>
      <c r="B1774" s="24"/>
      <c r="C1774" s="24"/>
      <c r="D1774" s="24"/>
      <c r="E1774" s="24"/>
      <c r="F1774" s="8"/>
      <c r="G1774" s="12"/>
      <c r="H1774" s="28"/>
      <c r="I1774" s="28"/>
    </row>
    <row r="1775">
      <c r="A1775" s="22"/>
      <c r="B1775" s="24"/>
      <c r="C1775" s="24"/>
      <c r="D1775" s="24"/>
      <c r="E1775" s="24"/>
      <c r="F1775" s="8"/>
      <c r="G1775" s="12"/>
      <c r="H1775" s="28"/>
      <c r="I1775" s="28"/>
    </row>
    <row r="1776">
      <c r="A1776" s="22"/>
      <c r="B1776" s="24"/>
      <c r="C1776" s="24"/>
      <c r="D1776" s="24"/>
      <c r="E1776" s="24"/>
      <c r="F1776" s="8"/>
      <c r="G1776" s="12"/>
      <c r="H1776" s="28"/>
      <c r="I1776" s="28"/>
    </row>
    <row r="1777">
      <c r="A1777" s="22"/>
      <c r="B1777" s="24"/>
      <c r="C1777" s="24"/>
      <c r="D1777" s="24"/>
      <c r="E1777" s="24"/>
      <c r="F1777" s="8"/>
      <c r="G1777" s="12"/>
      <c r="H1777" s="28"/>
      <c r="I1777" s="28"/>
    </row>
    <row r="1778">
      <c r="A1778" s="22"/>
      <c r="B1778" s="24"/>
      <c r="C1778" s="24"/>
      <c r="D1778" s="24"/>
      <c r="E1778" s="24"/>
      <c r="F1778" s="8"/>
      <c r="G1778" s="12"/>
      <c r="H1778" s="28"/>
      <c r="I1778" s="28"/>
    </row>
    <row r="1779">
      <c r="A1779" s="22"/>
      <c r="B1779" s="24"/>
      <c r="C1779" s="24"/>
      <c r="D1779" s="24"/>
      <c r="E1779" s="24"/>
      <c r="F1779" s="8"/>
      <c r="G1779" s="12"/>
      <c r="H1779" s="28"/>
      <c r="I1779" s="28"/>
    </row>
    <row r="1780">
      <c r="A1780" s="22"/>
      <c r="B1780" s="24"/>
      <c r="C1780" s="24"/>
      <c r="D1780" s="24"/>
      <c r="E1780" s="24"/>
      <c r="F1780" s="8"/>
      <c r="G1780" s="12"/>
      <c r="H1780" s="28"/>
      <c r="I1780" s="28"/>
    </row>
    <row r="1781">
      <c r="A1781" s="22"/>
      <c r="B1781" s="24"/>
      <c r="C1781" s="24"/>
      <c r="D1781" s="24"/>
      <c r="E1781" s="24"/>
      <c r="F1781" s="8"/>
      <c r="G1781" s="12"/>
      <c r="H1781" s="28"/>
      <c r="I1781" s="28"/>
    </row>
    <row r="1782">
      <c r="A1782" s="22"/>
      <c r="B1782" s="24"/>
      <c r="C1782" s="24"/>
      <c r="D1782" s="24"/>
      <c r="E1782" s="24"/>
      <c r="F1782" s="8"/>
      <c r="G1782" s="12"/>
      <c r="H1782" s="28"/>
      <c r="I1782" s="28"/>
    </row>
    <row r="1783">
      <c r="A1783" s="22"/>
      <c r="B1783" s="24"/>
      <c r="C1783" s="24"/>
      <c r="D1783" s="24"/>
      <c r="E1783" s="24"/>
      <c r="F1783" s="8"/>
      <c r="G1783" s="12"/>
      <c r="H1783" s="28"/>
      <c r="I1783" s="28"/>
    </row>
    <row r="1784">
      <c r="A1784" s="22"/>
      <c r="B1784" s="24"/>
      <c r="C1784" s="24"/>
      <c r="D1784" s="24"/>
      <c r="E1784" s="24"/>
      <c r="F1784" s="8"/>
      <c r="G1784" s="12"/>
      <c r="H1784" s="28"/>
      <c r="I1784" s="28"/>
    </row>
    <row r="1785">
      <c r="A1785" s="22"/>
      <c r="B1785" s="24"/>
      <c r="C1785" s="24"/>
      <c r="D1785" s="24"/>
      <c r="E1785" s="24"/>
      <c r="F1785" s="8"/>
      <c r="G1785" s="12"/>
      <c r="H1785" s="28"/>
      <c r="I1785" s="28"/>
    </row>
    <row r="1786">
      <c r="A1786" s="22"/>
      <c r="B1786" s="24"/>
      <c r="C1786" s="24"/>
      <c r="D1786" s="24"/>
      <c r="E1786" s="24"/>
      <c r="F1786" s="8"/>
      <c r="G1786" s="12"/>
      <c r="H1786" s="28"/>
      <c r="I1786" s="28"/>
    </row>
    <row r="1787">
      <c r="A1787" s="22"/>
      <c r="B1787" s="24"/>
      <c r="C1787" s="24"/>
      <c r="D1787" s="24"/>
      <c r="E1787" s="24"/>
      <c r="F1787" s="8"/>
      <c r="G1787" s="12"/>
      <c r="H1787" s="28"/>
      <c r="I1787" s="28"/>
    </row>
    <row r="1788">
      <c r="A1788" s="22"/>
      <c r="B1788" s="24"/>
      <c r="C1788" s="24"/>
      <c r="D1788" s="24"/>
      <c r="E1788" s="24"/>
      <c r="F1788" s="8"/>
      <c r="G1788" s="12"/>
      <c r="H1788" s="28"/>
      <c r="I1788" s="28"/>
    </row>
    <row r="1789">
      <c r="A1789" s="22"/>
      <c r="B1789" s="24"/>
      <c r="C1789" s="24"/>
      <c r="D1789" s="24"/>
      <c r="E1789" s="24"/>
      <c r="F1789" s="8"/>
      <c r="G1789" s="12"/>
      <c r="H1789" s="28"/>
      <c r="I1789" s="28"/>
    </row>
    <row r="1790">
      <c r="A1790" s="22"/>
      <c r="B1790" s="24"/>
      <c r="C1790" s="24"/>
      <c r="D1790" s="24"/>
      <c r="E1790" s="24"/>
      <c r="F1790" s="8"/>
      <c r="G1790" s="12"/>
      <c r="H1790" s="28"/>
      <c r="I1790" s="28"/>
    </row>
    <row r="1791">
      <c r="A1791" s="22"/>
      <c r="B1791" s="24"/>
      <c r="C1791" s="24"/>
      <c r="D1791" s="24"/>
      <c r="E1791" s="24"/>
      <c r="F1791" s="8"/>
      <c r="G1791" s="12"/>
      <c r="H1791" s="28"/>
      <c r="I1791" s="28"/>
    </row>
    <row r="1792">
      <c r="A1792" s="22"/>
      <c r="B1792" s="24"/>
      <c r="C1792" s="24"/>
      <c r="D1792" s="24"/>
      <c r="E1792" s="24"/>
      <c r="F1792" s="8"/>
      <c r="G1792" s="12"/>
      <c r="H1792" s="28"/>
      <c r="I1792" s="28"/>
    </row>
    <row r="1793">
      <c r="A1793" s="22"/>
      <c r="B1793" s="24"/>
      <c r="C1793" s="24"/>
      <c r="D1793" s="24"/>
      <c r="E1793" s="24"/>
      <c r="F1793" s="8"/>
      <c r="G1793" s="12"/>
      <c r="H1793" s="28"/>
      <c r="I1793" s="28"/>
    </row>
    <row r="1794">
      <c r="A1794" s="22"/>
      <c r="B1794" s="24"/>
      <c r="C1794" s="24"/>
      <c r="D1794" s="24"/>
      <c r="E1794" s="24"/>
      <c r="F1794" s="8"/>
      <c r="G1794" s="12"/>
      <c r="H1794" s="28"/>
      <c r="I1794" s="28"/>
    </row>
    <row r="1795">
      <c r="A1795" s="22"/>
      <c r="B1795" s="24"/>
      <c r="C1795" s="24"/>
      <c r="D1795" s="24"/>
      <c r="E1795" s="24"/>
      <c r="F1795" s="8"/>
      <c r="G1795" s="12"/>
      <c r="H1795" s="28"/>
      <c r="I1795" s="28"/>
    </row>
    <row r="1796">
      <c r="A1796" s="22"/>
      <c r="B1796" s="24"/>
      <c r="C1796" s="24"/>
      <c r="D1796" s="24"/>
      <c r="E1796" s="24"/>
      <c r="F1796" s="8"/>
      <c r="G1796" s="12"/>
      <c r="H1796" s="28"/>
      <c r="I1796" s="28"/>
    </row>
    <row r="1797">
      <c r="A1797" s="22"/>
      <c r="B1797" s="24"/>
      <c r="C1797" s="24"/>
      <c r="D1797" s="24"/>
      <c r="E1797" s="24"/>
      <c r="F1797" s="8"/>
      <c r="G1797" s="12"/>
      <c r="H1797" s="28"/>
      <c r="I1797" s="28"/>
    </row>
    <row r="1798">
      <c r="A1798" s="22"/>
      <c r="B1798" s="24"/>
      <c r="C1798" s="24"/>
      <c r="D1798" s="24"/>
      <c r="E1798" s="24"/>
      <c r="F1798" s="8"/>
      <c r="G1798" s="12"/>
      <c r="H1798" s="28"/>
      <c r="I1798" s="28"/>
    </row>
    <row r="1799">
      <c r="A1799" s="22"/>
      <c r="B1799" s="24"/>
      <c r="C1799" s="24"/>
      <c r="D1799" s="24"/>
      <c r="E1799" s="24"/>
      <c r="F1799" s="8"/>
      <c r="G1799" s="12"/>
      <c r="H1799" s="28"/>
      <c r="I1799" s="28"/>
    </row>
    <row r="1800">
      <c r="A1800" s="22"/>
      <c r="B1800" s="24"/>
      <c r="C1800" s="24"/>
      <c r="D1800" s="24"/>
      <c r="E1800" s="24"/>
      <c r="F1800" s="8"/>
      <c r="G1800" s="12"/>
      <c r="H1800" s="28"/>
      <c r="I1800" s="28"/>
    </row>
    <row r="1801">
      <c r="A1801" s="22"/>
      <c r="B1801" s="24"/>
      <c r="C1801" s="24"/>
      <c r="D1801" s="24"/>
      <c r="E1801" s="24"/>
      <c r="F1801" s="8"/>
      <c r="G1801" s="12"/>
      <c r="H1801" s="28"/>
      <c r="I1801" s="28"/>
    </row>
    <row r="1802">
      <c r="A1802" s="22"/>
      <c r="B1802" s="24"/>
      <c r="C1802" s="24"/>
      <c r="D1802" s="24"/>
      <c r="E1802" s="24"/>
      <c r="F1802" s="8"/>
      <c r="G1802" s="12"/>
      <c r="H1802" s="28"/>
      <c r="I1802" s="28"/>
    </row>
    <row r="1803">
      <c r="A1803" s="22"/>
      <c r="B1803" s="24"/>
      <c r="C1803" s="24"/>
      <c r="D1803" s="24"/>
      <c r="E1803" s="24"/>
      <c r="F1803" s="8"/>
      <c r="G1803" s="12"/>
      <c r="H1803" s="28"/>
      <c r="I1803" s="28"/>
    </row>
    <row r="1804">
      <c r="A1804" s="22"/>
      <c r="B1804" s="24"/>
      <c r="C1804" s="24"/>
      <c r="D1804" s="24"/>
      <c r="E1804" s="24"/>
      <c r="F1804" s="8"/>
      <c r="G1804" s="12"/>
      <c r="H1804" s="28"/>
      <c r="I1804" s="28"/>
    </row>
    <row r="1805">
      <c r="A1805" s="22"/>
      <c r="B1805" s="24"/>
      <c r="C1805" s="24"/>
      <c r="D1805" s="24"/>
      <c r="E1805" s="24"/>
      <c r="F1805" s="8"/>
      <c r="G1805" s="12"/>
      <c r="H1805" s="28"/>
      <c r="I1805" s="28"/>
    </row>
    <row r="1806">
      <c r="A1806" s="22"/>
      <c r="B1806" s="24"/>
      <c r="C1806" s="24"/>
      <c r="D1806" s="24"/>
      <c r="E1806" s="24"/>
      <c r="F1806" s="8"/>
      <c r="G1806" s="12"/>
      <c r="H1806" s="28"/>
      <c r="I1806" s="28"/>
    </row>
    <row r="1807">
      <c r="A1807" s="22"/>
      <c r="B1807" s="24"/>
      <c r="C1807" s="24"/>
      <c r="D1807" s="24"/>
      <c r="E1807" s="24"/>
      <c r="F1807" s="8"/>
      <c r="G1807" s="12"/>
      <c r="H1807" s="28"/>
      <c r="I1807" s="28"/>
    </row>
    <row r="1808">
      <c r="A1808" s="22"/>
      <c r="B1808" s="24"/>
      <c r="C1808" s="24"/>
      <c r="D1808" s="24"/>
      <c r="E1808" s="24"/>
      <c r="F1808" s="8"/>
      <c r="G1808" s="12"/>
      <c r="H1808" s="28"/>
      <c r="I1808" s="28"/>
    </row>
    <row r="1809">
      <c r="A1809" s="22"/>
      <c r="B1809" s="24"/>
      <c r="C1809" s="24"/>
      <c r="D1809" s="24"/>
      <c r="E1809" s="24"/>
      <c r="F1809" s="8"/>
      <c r="G1809" s="12"/>
      <c r="H1809" s="28"/>
      <c r="I1809" s="28"/>
    </row>
    <row r="1810">
      <c r="A1810" s="22"/>
      <c r="B1810" s="24"/>
      <c r="C1810" s="24"/>
      <c r="D1810" s="24"/>
      <c r="E1810" s="24"/>
      <c r="F1810" s="8"/>
      <c r="G1810" s="12"/>
      <c r="H1810" s="28"/>
      <c r="I1810" s="28"/>
    </row>
    <row r="1811">
      <c r="A1811" s="22"/>
      <c r="B1811" s="24"/>
      <c r="C1811" s="24"/>
      <c r="D1811" s="24"/>
      <c r="E1811" s="24"/>
      <c r="F1811" s="8"/>
      <c r="G1811" s="12"/>
      <c r="H1811" s="28"/>
      <c r="I1811" s="28"/>
    </row>
    <row r="1812">
      <c r="A1812" s="22"/>
      <c r="B1812" s="24"/>
      <c r="C1812" s="24"/>
      <c r="D1812" s="24"/>
      <c r="E1812" s="24"/>
      <c r="F1812" s="8"/>
      <c r="G1812" s="12"/>
      <c r="H1812" s="28"/>
      <c r="I1812" s="28"/>
    </row>
    <row r="1813">
      <c r="A1813" s="22"/>
      <c r="B1813" s="24"/>
      <c r="C1813" s="24"/>
      <c r="D1813" s="24"/>
      <c r="E1813" s="24"/>
      <c r="F1813" s="8"/>
      <c r="G1813" s="12"/>
      <c r="H1813" s="28"/>
      <c r="I1813" s="28"/>
    </row>
    <row r="1814">
      <c r="A1814" s="22"/>
      <c r="B1814" s="24"/>
      <c r="C1814" s="24"/>
      <c r="D1814" s="24"/>
      <c r="E1814" s="24"/>
      <c r="F1814" s="8"/>
      <c r="G1814" s="12"/>
      <c r="H1814" s="28"/>
      <c r="I1814" s="28"/>
    </row>
    <row r="1815">
      <c r="A1815" s="22"/>
      <c r="B1815" s="24"/>
      <c r="C1815" s="24"/>
      <c r="D1815" s="24"/>
      <c r="E1815" s="24"/>
      <c r="F1815" s="8"/>
      <c r="G1815" s="12"/>
      <c r="H1815" s="28"/>
      <c r="I1815" s="28"/>
    </row>
    <row r="1816">
      <c r="A1816" s="22"/>
      <c r="B1816" s="24"/>
      <c r="C1816" s="24"/>
      <c r="D1816" s="24"/>
      <c r="E1816" s="24"/>
      <c r="F1816" s="8"/>
      <c r="G1816" s="12"/>
      <c r="H1816" s="28"/>
      <c r="I1816" s="28"/>
    </row>
    <row r="1817">
      <c r="A1817" s="22"/>
      <c r="B1817" s="24"/>
      <c r="C1817" s="24"/>
      <c r="D1817" s="24"/>
      <c r="E1817" s="24"/>
      <c r="F1817" s="8"/>
      <c r="G1817" s="12"/>
      <c r="H1817" s="28"/>
      <c r="I1817" s="28"/>
    </row>
    <row r="1818">
      <c r="A1818" s="22"/>
      <c r="B1818" s="24"/>
      <c r="C1818" s="24"/>
      <c r="D1818" s="24"/>
      <c r="E1818" s="24"/>
      <c r="F1818" s="8"/>
      <c r="G1818" s="12"/>
      <c r="H1818" s="28"/>
      <c r="I1818" s="28"/>
    </row>
    <row r="1819">
      <c r="A1819" s="22"/>
      <c r="B1819" s="24"/>
      <c r="C1819" s="24"/>
      <c r="D1819" s="24"/>
      <c r="E1819" s="24"/>
      <c r="F1819" s="8"/>
      <c r="G1819" s="12"/>
      <c r="H1819" s="28"/>
      <c r="I1819" s="28"/>
    </row>
    <row r="1820">
      <c r="A1820" s="22"/>
      <c r="B1820" s="24"/>
      <c r="C1820" s="24"/>
      <c r="D1820" s="24"/>
      <c r="E1820" s="24"/>
      <c r="F1820" s="8"/>
      <c r="G1820" s="12"/>
      <c r="H1820" s="28"/>
      <c r="I1820" s="28"/>
    </row>
    <row r="1821">
      <c r="A1821" s="22"/>
      <c r="B1821" s="24"/>
      <c r="C1821" s="24"/>
      <c r="D1821" s="24"/>
      <c r="E1821" s="24"/>
      <c r="F1821" s="8"/>
      <c r="G1821" s="12"/>
      <c r="H1821" s="28"/>
      <c r="I1821" s="28"/>
    </row>
    <row r="1822">
      <c r="A1822" s="22"/>
      <c r="B1822" s="24"/>
      <c r="C1822" s="24"/>
      <c r="D1822" s="24"/>
      <c r="E1822" s="24"/>
      <c r="F1822" s="8"/>
      <c r="G1822" s="12"/>
      <c r="H1822" s="28"/>
      <c r="I1822" s="28"/>
    </row>
    <row r="1823">
      <c r="A1823" s="22"/>
      <c r="B1823" s="24"/>
      <c r="C1823" s="24"/>
      <c r="D1823" s="24"/>
      <c r="E1823" s="24"/>
      <c r="F1823" s="8"/>
      <c r="G1823" s="12"/>
      <c r="H1823" s="28"/>
      <c r="I1823" s="28"/>
    </row>
    <row r="1824">
      <c r="A1824" s="22"/>
      <c r="B1824" s="24"/>
      <c r="C1824" s="24"/>
      <c r="D1824" s="24"/>
      <c r="E1824" s="24"/>
      <c r="F1824" s="8"/>
      <c r="G1824" s="12"/>
      <c r="H1824" s="28"/>
      <c r="I1824" s="28"/>
    </row>
    <row r="1825">
      <c r="A1825" s="22"/>
      <c r="B1825" s="24"/>
      <c r="C1825" s="24"/>
      <c r="D1825" s="24"/>
      <c r="E1825" s="24"/>
      <c r="F1825" s="8"/>
      <c r="G1825" s="12"/>
      <c r="H1825" s="28"/>
      <c r="I1825" s="28"/>
    </row>
    <row r="1826">
      <c r="A1826" s="22"/>
      <c r="B1826" s="24"/>
      <c r="C1826" s="24"/>
      <c r="D1826" s="24"/>
      <c r="E1826" s="24"/>
      <c r="F1826" s="8"/>
      <c r="G1826" s="12"/>
      <c r="H1826" s="28"/>
      <c r="I1826" s="28"/>
    </row>
    <row r="1827">
      <c r="A1827" s="22"/>
      <c r="B1827" s="24"/>
      <c r="C1827" s="24"/>
      <c r="D1827" s="24"/>
      <c r="E1827" s="24"/>
      <c r="F1827" s="8"/>
      <c r="G1827" s="12"/>
      <c r="H1827" s="28"/>
      <c r="I1827" s="28"/>
    </row>
    <row r="1828">
      <c r="A1828" s="22"/>
      <c r="B1828" s="24"/>
      <c r="C1828" s="24"/>
      <c r="D1828" s="24"/>
      <c r="E1828" s="24"/>
      <c r="F1828" s="8"/>
      <c r="G1828" s="12"/>
      <c r="H1828" s="28"/>
      <c r="I1828" s="28"/>
    </row>
    <row r="1829">
      <c r="A1829" s="22"/>
      <c r="B1829" s="24"/>
      <c r="C1829" s="24"/>
      <c r="D1829" s="24"/>
      <c r="E1829" s="24"/>
      <c r="F1829" s="8"/>
      <c r="G1829" s="12"/>
      <c r="H1829" s="28"/>
      <c r="I1829" s="28"/>
    </row>
    <row r="1830">
      <c r="A1830" s="22"/>
      <c r="B1830" s="24"/>
      <c r="C1830" s="24"/>
      <c r="D1830" s="24"/>
      <c r="E1830" s="24"/>
      <c r="F1830" s="8"/>
      <c r="G1830" s="12"/>
      <c r="H1830" s="28"/>
      <c r="I1830" s="28"/>
    </row>
    <row r="1831">
      <c r="A1831" s="22"/>
      <c r="B1831" s="24"/>
      <c r="C1831" s="24"/>
      <c r="D1831" s="24"/>
      <c r="E1831" s="24"/>
      <c r="F1831" s="8"/>
      <c r="G1831" s="12"/>
      <c r="H1831" s="28"/>
      <c r="I1831" s="28"/>
    </row>
    <row r="1832">
      <c r="A1832" s="22"/>
      <c r="B1832" s="24"/>
      <c r="C1832" s="24"/>
      <c r="D1832" s="24"/>
      <c r="E1832" s="24"/>
      <c r="F1832" s="8"/>
      <c r="G1832" s="12"/>
      <c r="H1832" s="28"/>
      <c r="I1832" s="28"/>
    </row>
    <row r="1833">
      <c r="A1833" s="22"/>
      <c r="B1833" s="24"/>
      <c r="C1833" s="24"/>
      <c r="D1833" s="24"/>
      <c r="E1833" s="24"/>
      <c r="F1833" s="8"/>
      <c r="G1833" s="12"/>
      <c r="H1833" s="28"/>
      <c r="I1833" s="28"/>
    </row>
    <row r="1834">
      <c r="A1834" s="22"/>
      <c r="B1834" s="24"/>
      <c r="C1834" s="24"/>
      <c r="D1834" s="24"/>
      <c r="E1834" s="24"/>
      <c r="F1834" s="8"/>
      <c r="G1834" s="12"/>
      <c r="H1834" s="28"/>
      <c r="I1834" s="28"/>
    </row>
    <row r="1835">
      <c r="A1835" s="22"/>
      <c r="B1835" s="24"/>
      <c r="C1835" s="24"/>
      <c r="D1835" s="24"/>
      <c r="E1835" s="24"/>
      <c r="F1835" s="8"/>
      <c r="G1835" s="12"/>
      <c r="H1835" s="28"/>
      <c r="I1835" s="28"/>
    </row>
    <row r="1836">
      <c r="A1836" s="22"/>
      <c r="B1836" s="24"/>
      <c r="C1836" s="24"/>
      <c r="D1836" s="24"/>
      <c r="E1836" s="24"/>
      <c r="F1836" s="8"/>
      <c r="G1836" s="12"/>
      <c r="H1836" s="28"/>
      <c r="I1836" s="28"/>
    </row>
    <row r="1837">
      <c r="A1837" s="22"/>
      <c r="B1837" s="24"/>
      <c r="C1837" s="24"/>
      <c r="D1837" s="24"/>
      <c r="E1837" s="24"/>
      <c r="F1837" s="8"/>
      <c r="G1837" s="12"/>
      <c r="H1837" s="28"/>
      <c r="I1837" s="28"/>
    </row>
    <row r="1838">
      <c r="A1838" s="22"/>
      <c r="B1838" s="24"/>
      <c r="C1838" s="24"/>
      <c r="D1838" s="24"/>
      <c r="E1838" s="24"/>
      <c r="F1838" s="8"/>
      <c r="G1838" s="12"/>
      <c r="H1838" s="28"/>
      <c r="I1838" s="28"/>
    </row>
    <row r="1839">
      <c r="A1839" s="22"/>
      <c r="B1839" s="24"/>
      <c r="C1839" s="24"/>
      <c r="D1839" s="24"/>
      <c r="E1839" s="24"/>
      <c r="F1839" s="8"/>
      <c r="G1839" s="12"/>
      <c r="H1839" s="28"/>
      <c r="I1839" s="28"/>
    </row>
    <row r="1840">
      <c r="A1840" s="22"/>
      <c r="B1840" s="24"/>
      <c r="C1840" s="24"/>
      <c r="D1840" s="24"/>
      <c r="E1840" s="24"/>
      <c r="F1840" s="8"/>
      <c r="G1840" s="12"/>
      <c r="H1840" s="28"/>
      <c r="I1840" s="28"/>
    </row>
    <row r="1841">
      <c r="A1841" s="22"/>
      <c r="B1841" s="24"/>
      <c r="C1841" s="24"/>
      <c r="D1841" s="24"/>
      <c r="E1841" s="24"/>
      <c r="F1841" s="8"/>
      <c r="G1841" s="12"/>
      <c r="H1841" s="28"/>
      <c r="I1841" s="28"/>
    </row>
    <row r="1842">
      <c r="A1842" s="22"/>
      <c r="B1842" s="24"/>
      <c r="C1842" s="24"/>
      <c r="D1842" s="24"/>
      <c r="E1842" s="24"/>
      <c r="F1842" s="8"/>
      <c r="G1842" s="12"/>
      <c r="H1842" s="28"/>
      <c r="I1842" s="28"/>
    </row>
    <row r="1843">
      <c r="A1843" s="22"/>
      <c r="B1843" s="24"/>
      <c r="C1843" s="24"/>
      <c r="D1843" s="24"/>
      <c r="E1843" s="24"/>
      <c r="F1843" s="8"/>
      <c r="G1843" s="12"/>
      <c r="H1843" s="28"/>
      <c r="I1843" s="28"/>
    </row>
    <row r="1844">
      <c r="A1844" s="22"/>
      <c r="B1844" s="24"/>
      <c r="C1844" s="24"/>
      <c r="D1844" s="24"/>
      <c r="E1844" s="24"/>
      <c r="F1844" s="8"/>
      <c r="G1844" s="12"/>
      <c r="H1844" s="28"/>
      <c r="I1844" s="28"/>
    </row>
    <row r="1845">
      <c r="A1845" s="22"/>
      <c r="B1845" s="24"/>
      <c r="C1845" s="24"/>
      <c r="D1845" s="24"/>
      <c r="E1845" s="24"/>
      <c r="F1845" s="8"/>
      <c r="G1845" s="12"/>
      <c r="H1845" s="28"/>
      <c r="I1845" s="28"/>
    </row>
    <row r="1846">
      <c r="A1846" s="22"/>
      <c r="B1846" s="24"/>
      <c r="C1846" s="24"/>
      <c r="D1846" s="24"/>
      <c r="E1846" s="24"/>
      <c r="F1846" s="8"/>
      <c r="G1846" s="12"/>
      <c r="H1846" s="28"/>
      <c r="I1846" s="28"/>
    </row>
    <row r="1847">
      <c r="A1847" s="22"/>
      <c r="B1847" s="24"/>
      <c r="C1847" s="24"/>
      <c r="D1847" s="24"/>
      <c r="E1847" s="24"/>
      <c r="F1847" s="8"/>
      <c r="G1847" s="12"/>
      <c r="H1847" s="28"/>
      <c r="I1847" s="28"/>
    </row>
    <row r="1848">
      <c r="A1848" s="22"/>
      <c r="B1848" s="24"/>
      <c r="C1848" s="24"/>
      <c r="D1848" s="24"/>
      <c r="E1848" s="24"/>
      <c r="F1848" s="8"/>
      <c r="G1848" s="12"/>
      <c r="H1848" s="28"/>
      <c r="I1848" s="28"/>
    </row>
    <row r="1849">
      <c r="A1849" s="22"/>
      <c r="B1849" s="24"/>
      <c r="C1849" s="24"/>
      <c r="D1849" s="24"/>
      <c r="E1849" s="24"/>
      <c r="F1849" s="8"/>
      <c r="G1849" s="12"/>
      <c r="H1849" s="28"/>
      <c r="I1849" s="28"/>
    </row>
    <row r="1850">
      <c r="A1850" s="22"/>
      <c r="B1850" s="24"/>
      <c r="C1850" s="24"/>
      <c r="D1850" s="24"/>
      <c r="E1850" s="24"/>
      <c r="F1850" s="8"/>
      <c r="G1850" s="12"/>
      <c r="H1850" s="28"/>
      <c r="I1850" s="28"/>
    </row>
    <row r="1851">
      <c r="A1851" s="22"/>
      <c r="B1851" s="24"/>
      <c r="C1851" s="24"/>
      <c r="D1851" s="24"/>
      <c r="E1851" s="24"/>
      <c r="F1851" s="8"/>
      <c r="G1851" s="12"/>
      <c r="H1851" s="28"/>
      <c r="I1851" s="28"/>
    </row>
    <row r="1852">
      <c r="A1852" s="22"/>
      <c r="B1852" s="24"/>
      <c r="C1852" s="24"/>
      <c r="D1852" s="24"/>
      <c r="E1852" s="24"/>
      <c r="F1852" s="8"/>
      <c r="G1852" s="12"/>
      <c r="H1852" s="28"/>
      <c r="I1852" s="28"/>
    </row>
    <row r="1853">
      <c r="A1853" s="22"/>
      <c r="B1853" s="24"/>
      <c r="C1853" s="24"/>
      <c r="D1853" s="24"/>
      <c r="E1853" s="24"/>
      <c r="F1853" s="8"/>
      <c r="G1853" s="12"/>
      <c r="H1853" s="28"/>
      <c r="I1853" s="28"/>
    </row>
    <row r="1854">
      <c r="A1854" s="22"/>
      <c r="B1854" s="24"/>
      <c r="C1854" s="24"/>
      <c r="D1854" s="24"/>
      <c r="E1854" s="24"/>
      <c r="F1854" s="8"/>
      <c r="G1854" s="12"/>
      <c r="H1854" s="28"/>
      <c r="I1854" s="28"/>
    </row>
    <row r="1855">
      <c r="A1855" s="22"/>
      <c r="B1855" s="24"/>
      <c r="C1855" s="24"/>
      <c r="D1855" s="24"/>
      <c r="E1855" s="24"/>
      <c r="F1855" s="8"/>
      <c r="G1855" s="12"/>
      <c r="H1855" s="28"/>
      <c r="I1855" s="28"/>
    </row>
    <row r="1856">
      <c r="A1856" s="22"/>
      <c r="B1856" s="24"/>
      <c r="C1856" s="24"/>
      <c r="D1856" s="24"/>
      <c r="E1856" s="24"/>
      <c r="F1856" s="8"/>
      <c r="G1856" s="12"/>
      <c r="H1856" s="28"/>
      <c r="I1856" s="28"/>
    </row>
    <row r="1857">
      <c r="A1857" s="22"/>
      <c r="B1857" s="24"/>
      <c r="C1857" s="24"/>
      <c r="D1857" s="24"/>
      <c r="E1857" s="24"/>
      <c r="F1857" s="8"/>
      <c r="G1857" s="12"/>
      <c r="H1857" s="28"/>
      <c r="I1857" s="28"/>
    </row>
    <row r="1858">
      <c r="A1858" s="22"/>
      <c r="B1858" s="24"/>
      <c r="C1858" s="24"/>
      <c r="D1858" s="24"/>
      <c r="E1858" s="24"/>
      <c r="F1858" s="8"/>
      <c r="G1858" s="12"/>
      <c r="H1858" s="28"/>
      <c r="I1858" s="28"/>
    </row>
    <row r="1859">
      <c r="A1859" s="22"/>
      <c r="B1859" s="24"/>
      <c r="C1859" s="24"/>
      <c r="D1859" s="24"/>
      <c r="E1859" s="24"/>
      <c r="F1859" s="8"/>
      <c r="G1859" s="12"/>
      <c r="H1859" s="28"/>
      <c r="I1859" s="28"/>
    </row>
    <row r="1860">
      <c r="A1860" s="22"/>
      <c r="B1860" s="24"/>
      <c r="C1860" s="24"/>
      <c r="D1860" s="24"/>
      <c r="E1860" s="24"/>
      <c r="F1860" s="8"/>
      <c r="G1860" s="12"/>
      <c r="H1860" s="28"/>
      <c r="I1860" s="28"/>
    </row>
    <row r="1861">
      <c r="A1861" s="22"/>
      <c r="B1861" s="24"/>
      <c r="C1861" s="24"/>
      <c r="D1861" s="24"/>
      <c r="E1861" s="24"/>
      <c r="F1861" s="8"/>
      <c r="G1861" s="12"/>
      <c r="H1861" s="28"/>
      <c r="I1861" s="28"/>
    </row>
    <row r="1862">
      <c r="A1862" s="22"/>
      <c r="B1862" s="24"/>
      <c r="C1862" s="24"/>
      <c r="D1862" s="24"/>
      <c r="E1862" s="24"/>
      <c r="F1862" s="8"/>
      <c r="G1862" s="12"/>
      <c r="H1862" s="28"/>
      <c r="I1862" s="28"/>
    </row>
    <row r="1863">
      <c r="A1863" s="22"/>
      <c r="B1863" s="24"/>
      <c r="C1863" s="24"/>
      <c r="D1863" s="24"/>
      <c r="E1863" s="24"/>
      <c r="F1863" s="8"/>
      <c r="G1863" s="12"/>
      <c r="H1863" s="28"/>
      <c r="I1863" s="28"/>
    </row>
    <row r="1864">
      <c r="A1864" s="22"/>
      <c r="B1864" s="24"/>
      <c r="C1864" s="24"/>
      <c r="D1864" s="24"/>
      <c r="E1864" s="24"/>
      <c r="F1864" s="8"/>
      <c r="G1864" s="12"/>
      <c r="H1864" s="28"/>
      <c r="I1864" s="28"/>
    </row>
    <row r="1865">
      <c r="A1865" s="22"/>
      <c r="B1865" s="24"/>
      <c r="C1865" s="24"/>
      <c r="D1865" s="24"/>
      <c r="E1865" s="24"/>
      <c r="F1865" s="8"/>
      <c r="G1865" s="12"/>
      <c r="H1865" s="28"/>
      <c r="I1865" s="28"/>
    </row>
    <row r="1866">
      <c r="A1866" s="22"/>
      <c r="B1866" s="24"/>
      <c r="C1866" s="24"/>
      <c r="D1866" s="24"/>
      <c r="E1866" s="24"/>
      <c r="F1866" s="8"/>
      <c r="G1866" s="12"/>
      <c r="H1866" s="28"/>
      <c r="I1866" s="28"/>
    </row>
    <row r="1867">
      <c r="A1867" s="22"/>
      <c r="B1867" s="24"/>
      <c r="C1867" s="24"/>
      <c r="D1867" s="24"/>
      <c r="E1867" s="24"/>
      <c r="F1867" s="8"/>
      <c r="G1867" s="12"/>
      <c r="H1867" s="28"/>
      <c r="I1867" s="28"/>
    </row>
    <row r="1868">
      <c r="A1868" s="22"/>
      <c r="B1868" s="24"/>
      <c r="C1868" s="24"/>
      <c r="D1868" s="24"/>
      <c r="E1868" s="24"/>
      <c r="F1868" s="8"/>
      <c r="G1868" s="12"/>
      <c r="H1868" s="28"/>
      <c r="I1868" s="28"/>
    </row>
    <row r="1869">
      <c r="A1869" s="22"/>
      <c r="B1869" s="24"/>
      <c r="C1869" s="24"/>
      <c r="D1869" s="24"/>
      <c r="E1869" s="24"/>
      <c r="F1869" s="8"/>
      <c r="G1869" s="12"/>
      <c r="H1869" s="28"/>
      <c r="I1869" s="28"/>
    </row>
    <row r="1870">
      <c r="A1870" s="22"/>
      <c r="B1870" s="24"/>
      <c r="C1870" s="24"/>
      <c r="D1870" s="24"/>
      <c r="E1870" s="24"/>
      <c r="F1870" s="8"/>
      <c r="G1870" s="12"/>
      <c r="H1870" s="28"/>
      <c r="I1870" s="28"/>
    </row>
    <row r="1871">
      <c r="A1871" s="22"/>
      <c r="B1871" s="24"/>
      <c r="C1871" s="24"/>
      <c r="D1871" s="24"/>
      <c r="E1871" s="24"/>
      <c r="F1871" s="8"/>
      <c r="G1871" s="12"/>
      <c r="H1871" s="28"/>
      <c r="I1871" s="28"/>
    </row>
    <row r="1872">
      <c r="A1872" s="22"/>
      <c r="B1872" s="24"/>
      <c r="C1872" s="24"/>
      <c r="D1872" s="24"/>
      <c r="E1872" s="24"/>
      <c r="F1872" s="8"/>
      <c r="G1872" s="12"/>
      <c r="H1872" s="28"/>
      <c r="I1872" s="28"/>
    </row>
    <row r="1873">
      <c r="A1873" s="22"/>
      <c r="B1873" s="24"/>
      <c r="C1873" s="24"/>
      <c r="D1873" s="24"/>
      <c r="E1873" s="24"/>
      <c r="F1873" s="8"/>
      <c r="G1873" s="12"/>
      <c r="H1873" s="28"/>
      <c r="I1873" s="28"/>
    </row>
    <row r="1874">
      <c r="A1874" s="22"/>
      <c r="B1874" s="24"/>
      <c r="C1874" s="24"/>
      <c r="D1874" s="24"/>
      <c r="E1874" s="24"/>
      <c r="F1874" s="8"/>
      <c r="G1874" s="12"/>
      <c r="H1874" s="28"/>
      <c r="I1874" s="28"/>
    </row>
    <row r="1875">
      <c r="A1875" s="22"/>
      <c r="B1875" s="24"/>
      <c r="C1875" s="24"/>
      <c r="D1875" s="24"/>
      <c r="E1875" s="24"/>
      <c r="F1875" s="8"/>
      <c r="G1875" s="12"/>
      <c r="H1875" s="28"/>
      <c r="I1875" s="28"/>
    </row>
    <row r="1876">
      <c r="A1876" s="22"/>
      <c r="B1876" s="24"/>
      <c r="C1876" s="24"/>
      <c r="D1876" s="24"/>
      <c r="E1876" s="24"/>
      <c r="F1876" s="8"/>
      <c r="G1876" s="12"/>
      <c r="H1876" s="28"/>
      <c r="I1876" s="28"/>
    </row>
    <row r="1877">
      <c r="A1877" s="22"/>
      <c r="B1877" s="24"/>
      <c r="C1877" s="24"/>
      <c r="D1877" s="24"/>
      <c r="E1877" s="24"/>
      <c r="F1877" s="8"/>
      <c r="G1877" s="12"/>
      <c r="H1877" s="28"/>
      <c r="I1877" s="28"/>
    </row>
    <row r="1878">
      <c r="A1878" s="22"/>
      <c r="B1878" s="24"/>
      <c r="C1878" s="24"/>
      <c r="D1878" s="24"/>
      <c r="E1878" s="24"/>
      <c r="F1878" s="8"/>
      <c r="G1878" s="12"/>
      <c r="H1878" s="28"/>
      <c r="I1878" s="28"/>
    </row>
    <row r="1879">
      <c r="A1879" s="22"/>
      <c r="B1879" s="24"/>
      <c r="C1879" s="24"/>
      <c r="D1879" s="24"/>
      <c r="E1879" s="24"/>
      <c r="F1879" s="8"/>
      <c r="G1879" s="12"/>
      <c r="H1879" s="28"/>
      <c r="I1879" s="28"/>
    </row>
    <row r="1880">
      <c r="A1880" s="22"/>
      <c r="B1880" s="24"/>
      <c r="C1880" s="24"/>
      <c r="D1880" s="24"/>
      <c r="E1880" s="24"/>
      <c r="F1880" s="8"/>
      <c r="G1880" s="12"/>
      <c r="H1880" s="28"/>
      <c r="I1880" s="28"/>
    </row>
    <row r="1881">
      <c r="A1881" s="22"/>
      <c r="B1881" s="24"/>
      <c r="C1881" s="24"/>
      <c r="D1881" s="24"/>
      <c r="E1881" s="24"/>
      <c r="F1881" s="8"/>
      <c r="G1881" s="12"/>
      <c r="H1881" s="28"/>
      <c r="I1881" s="28"/>
    </row>
    <row r="1882">
      <c r="A1882" s="22"/>
      <c r="B1882" s="24"/>
      <c r="C1882" s="24"/>
      <c r="D1882" s="24"/>
      <c r="E1882" s="24"/>
      <c r="F1882" s="8"/>
      <c r="G1882" s="12"/>
      <c r="H1882" s="28"/>
      <c r="I1882" s="28"/>
    </row>
    <row r="1883">
      <c r="A1883" s="22"/>
      <c r="B1883" s="24"/>
      <c r="C1883" s="24"/>
      <c r="D1883" s="24"/>
      <c r="E1883" s="24"/>
      <c r="F1883" s="8"/>
      <c r="G1883" s="12"/>
      <c r="H1883" s="28"/>
      <c r="I1883" s="28"/>
    </row>
    <row r="1884">
      <c r="A1884" s="22"/>
      <c r="B1884" s="24"/>
      <c r="C1884" s="24"/>
      <c r="D1884" s="24"/>
      <c r="E1884" s="24"/>
      <c r="F1884" s="8"/>
      <c r="G1884" s="12"/>
      <c r="H1884" s="28"/>
      <c r="I1884" s="28"/>
    </row>
    <row r="1885">
      <c r="A1885" s="22"/>
      <c r="B1885" s="24"/>
      <c r="C1885" s="24"/>
      <c r="D1885" s="24"/>
      <c r="E1885" s="24"/>
      <c r="F1885" s="8"/>
      <c r="G1885" s="12"/>
      <c r="H1885" s="28"/>
      <c r="I1885" s="28"/>
    </row>
    <row r="1886">
      <c r="A1886" s="22"/>
      <c r="B1886" s="24"/>
      <c r="C1886" s="24"/>
      <c r="D1886" s="24"/>
      <c r="E1886" s="24"/>
      <c r="F1886" s="8"/>
      <c r="G1886" s="12"/>
      <c r="H1886" s="28"/>
      <c r="I1886" s="28"/>
    </row>
    <row r="1887">
      <c r="A1887" s="22"/>
      <c r="B1887" s="24"/>
      <c r="C1887" s="24"/>
      <c r="D1887" s="24"/>
      <c r="E1887" s="24"/>
      <c r="F1887" s="8"/>
      <c r="G1887" s="12"/>
      <c r="H1887" s="28"/>
      <c r="I1887" s="28"/>
    </row>
    <row r="1888">
      <c r="A1888" s="22"/>
      <c r="B1888" s="24"/>
      <c r="C1888" s="24"/>
      <c r="D1888" s="24"/>
      <c r="E1888" s="24"/>
      <c r="F1888" s="8"/>
      <c r="G1888" s="12"/>
      <c r="H1888" s="28"/>
      <c r="I1888" s="28"/>
    </row>
    <row r="1889">
      <c r="A1889" s="22"/>
      <c r="B1889" s="24"/>
      <c r="C1889" s="24"/>
      <c r="D1889" s="24"/>
      <c r="E1889" s="24"/>
      <c r="F1889" s="8"/>
      <c r="G1889" s="12"/>
      <c r="H1889" s="28"/>
      <c r="I1889" s="28"/>
    </row>
    <row r="1890">
      <c r="A1890" s="22"/>
      <c r="B1890" s="24"/>
      <c r="C1890" s="24"/>
      <c r="D1890" s="24"/>
      <c r="E1890" s="24"/>
      <c r="F1890" s="8"/>
      <c r="G1890" s="12"/>
      <c r="H1890" s="28"/>
      <c r="I1890" s="28"/>
    </row>
    <row r="1891">
      <c r="A1891" s="22"/>
      <c r="B1891" s="24"/>
      <c r="C1891" s="24"/>
      <c r="D1891" s="24"/>
      <c r="E1891" s="24"/>
      <c r="F1891" s="8"/>
      <c r="G1891" s="12"/>
      <c r="H1891" s="28"/>
      <c r="I1891" s="28"/>
    </row>
    <row r="1892">
      <c r="A1892" s="22"/>
      <c r="B1892" s="24"/>
      <c r="C1892" s="24"/>
      <c r="D1892" s="24"/>
      <c r="E1892" s="24"/>
      <c r="F1892" s="8"/>
      <c r="G1892" s="12"/>
      <c r="H1892" s="28"/>
      <c r="I1892" s="28"/>
    </row>
    <row r="1893">
      <c r="A1893" s="22"/>
      <c r="B1893" s="24"/>
      <c r="C1893" s="24"/>
      <c r="D1893" s="24"/>
      <c r="E1893" s="24"/>
      <c r="F1893" s="8"/>
      <c r="G1893" s="12"/>
      <c r="H1893" s="28"/>
      <c r="I1893" s="28"/>
    </row>
    <row r="1894">
      <c r="A1894" s="22"/>
      <c r="B1894" s="24"/>
      <c r="C1894" s="24"/>
      <c r="D1894" s="24"/>
      <c r="E1894" s="24"/>
      <c r="F1894" s="8"/>
      <c r="G1894" s="12"/>
      <c r="H1894" s="28"/>
      <c r="I1894" s="28"/>
    </row>
    <row r="1895">
      <c r="A1895" s="22"/>
      <c r="B1895" s="24"/>
      <c r="C1895" s="24"/>
      <c r="D1895" s="24"/>
      <c r="E1895" s="24"/>
      <c r="F1895" s="8"/>
      <c r="G1895" s="12"/>
      <c r="H1895" s="28"/>
      <c r="I1895" s="28"/>
    </row>
    <row r="1896">
      <c r="A1896" s="22"/>
      <c r="B1896" s="24"/>
      <c r="C1896" s="24"/>
      <c r="D1896" s="24"/>
      <c r="E1896" s="24"/>
      <c r="F1896" s="8"/>
      <c r="G1896" s="12"/>
      <c r="H1896" s="28"/>
      <c r="I1896" s="28"/>
    </row>
    <row r="1897">
      <c r="A1897" s="22"/>
      <c r="B1897" s="24"/>
      <c r="C1897" s="24"/>
      <c r="D1897" s="24"/>
      <c r="E1897" s="24"/>
      <c r="F1897" s="8"/>
      <c r="G1897" s="12"/>
      <c r="H1897" s="28"/>
      <c r="I1897" s="28"/>
    </row>
    <row r="1898">
      <c r="A1898" s="22"/>
      <c r="B1898" s="24"/>
      <c r="C1898" s="24"/>
      <c r="D1898" s="24"/>
      <c r="E1898" s="24"/>
      <c r="F1898" s="8"/>
      <c r="G1898" s="12"/>
      <c r="H1898" s="28"/>
      <c r="I1898" s="28"/>
    </row>
    <row r="1899">
      <c r="A1899" s="22"/>
      <c r="B1899" s="24"/>
      <c r="C1899" s="24"/>
      <c r="D1899" s="24"/>
      <c r="E1899" s="24"/>
      <c r="F1899" s="8"/>
      <c r="G1899" s="12"/>
      <c r="H1899" s="28"/>
      <c r="I1899" s="28"/>
    </row>
    <row r="1900">
      <c r="A1900" s="22"/>
      <c r="B1900" s="24"/>
      <c r="C1900" s="24"/>
      <c r="D1900" s="24"/>
      <c r="E1900" s="24"/>
      <c r="F1900" s="8"/>
      <c r="G1900" s="12"/>
      <c r="H1900" s="28"/>
      <c r="I1900" s="28"/>
    </row>
    <row r="1901">
      <c r="A1901" s="22"/>
      <c r="B1901" s="24"/>
      <c r="C1901" s="24"/>
      <c r="D1901" s="24"/>
      <c r="E1901" s="24"/>
      <c r="F1901" s="8"/>
      <c r="G1901" s="12"/>
      <c r="H1901" s="28"/>
      <c r="I1901" s="28"/>
    </row>
    <row r="1902">
      <c r="A1902" s="22"/>
      <c r="B1902" s="24"/>
      <c r="C1902" s="24"/>
      <c r="D1902" s="24"/>
      <c r="E1902" s="24"/>
      <c r="F1902" s="8"/>
      <c r="G1902" s="12"/>
      <c r="H1902" s="28"/>
      <c r="I1902" s="28"/>
    </row>
    <row r="1903">
      <c r="A1903" s="22"/>
      <c r="B1903" s="24"/>
      <c r="C1903" s="24"/>
      <c r="D1903" s="24"/>
      <c r="E1903" s="24"/>
      <c r="F1903" s="8"/>
      <c r="G1903" s="12"/>
      <c r="H1903" s="28"/>
      <c r="I1903" s="28"/>
    </row>
    <row r="1904">
      <c r="A1904" s="22"/>
      <c r="B1904" s="24"/>
      <c r="C1904" s="24"/>
      <c r="D1904" s="24"/>
      <c r="E1904" s="24"/>
      <c r="F1904" s="8"/>
      <c r="G1904" s="12"/>
      <c r="H1904" s="28"/>
      <c r="I1904" s="28"/>
    </row>
    <row r="1905">
      <c r="A1905" s="22"/>
      <c r="B1905" s="24"/>
      <c r="C1905" s="24"/>
      <c r="D1905" s="24"/>
      <c r="E1905" s="24"/>
      <c r="F1905" s="8"/>
      <c r="G1905" s="12"/>
      <c r="H1905" s="28"/>
      <c r="I1905" s="28"/>
    </row>
    <row r="1906">
      <c r="A1906" s="22"/>
      <c r="B1906" s="24"/>
      <c r="C1906" s="24"/>
      <c r="D1906" s="24"/>
      <c r="E1906" s="24"/>
      <c r="F1906" s="8"/>
      <c r="G1906" s="12"/>
      <c r="H1906" s="28"/>
      <c r="I1906" s="28"/>
    </row>
    <row r="1907">
      <c r="A1907" s="22"/>
      <c r="B1907" s="24"/>
      <c r="C1907" s="24"/>
      <c r="D1907" s="24"/>
      <c r="E1907" s="24"/>
      <c r="F1907" s="8"/>
      <c r="G1907" s="12"/>
      <c r="H1907" s="28"/>
      <c r="I1907" s="28"/>
    </row>
    <row r="1908">
      <c r="A1908" s="22"/>
      <c r="B1908" s="24"/>
      <c r="C1908" s="24"/>
      <c r="D1908" s="24"/>
      <c r="E1908" s="24"/>
      <c r="F1908" s="8"/>
      <c r="G1908" s="12"/>
      <c r="H1908" s="28"/>
      <c r="I1908" s="28"/>
    </row>
    <row r="1909">
      <c r="A1909" s="22"/>
      <c r="B1909" s="24"/>
      <c r="C1909" s="24"/>
      <c r="D1909" s="24"/>
      <c r="E1909" s="24"/>
      <c r="F1909" s="8"/>
      <c r="G1909" s="12"/>
      <c r="H1909" s="28"/>
      <c r="I1909" s="28"/>
    </row>
    <row r="1910">
      <c r="A1910" s="22"/>
      <c r="B1910" s="24"/>
      <c r="C1910" s="24"/>
      <c r="D1910" s="24"/>
      <c r="E1910" s="24"/>
      <c r="F1910" s="8"/>
      <c r="G1910" s="12"/>
      <c r="H1910" s="28"/>
      <c r="I1910" s="28"/>
    </row>
    <row r="1911">
      <c r="A1911" s="22"/>
      <c r="B1911" s="24"/>
      <c r="C1911" s="24"/>
      <c r="D1911" s="24"/>
      <c r="E1911" s="24"/>
      <c r="F1911" s="8"/>
      <c r="G1911" s="12"/>
      <c r="H1911" s="28"/>
      <c r="I1911" s="28"/>
    </row>
    <row r="1912">
      <c r="A1912" s="22"/>
      <c r="B1912" s="24"/>
      <c r="C1912" s="24"/>
      <c r="D1912" s="24"/>
      <c r="E1912" s="24"/>
      <c r="F1912" s="8"/>
      <c r="G1912" s="12"/>
      <c r="H1912" s="28"/>
      <c r="I1912" s="28"/>
    </row>
    <row r="1913">
      <c r="A1913" s="22"/>
      <c r="B1913" s="24"/>
      <c r="C1913" s="24"/>
      <c r="D1913" s="24"/>
      <c r="E1913" s="24"/>
      <c r="F1913" s="8"/>
      <c r="G1913" s="12"/>
      <c r="H1913" s="28"/>
      <c r="I1913" s="28"/>
    </row>
    <row r="1914">
      <c r="A1914" s="22"/>
      <c r="B1914" s="24"/>
      <c r="C1914" s="24"/>
      <c r="D1914" s="24"/>
      <c r="E1914" s="24"/>
      <c r="F1914" s="8"/>
      <c r="G1914" s="12"/>
      <c r="H1914" s="28"/>
      <c r="I1914" s="28"/>
    </row>
    <row r="1915">
      <c r="A1915" s="22"/>
      <c r="B1915" s="24"/>
      <c r="C1915" s="24"/>
      <c r="D1915" s="24"/>
      <c r="E1915" s="24"/>
      <c r="F1915" s="8"/>
      <c r="G1915" s="12"/>
      <c r="H1915" s="28"/>
      <c r="I1915" s="28"/>
    </row>
    <row r="1916">
      <c r="A1916" s="22"/>
      <c r="B1916" s="24"/>
      <c r="C1916" s="24"/>
      <c r="D1916" s="24"/>
      <c r="E1916" s="24"/>
      <c r="F1916" s="8"/>
      <c r="G1916" s="12"/>
      <c r="H1916" s="28"/>
      <c r="I1916" s="28"/>
    </row>
    <row r="1917">
      <c r="A1917" s="22"/>
      <c r="B1917" s="24"/>
      <c r="C1917" s="24"/>
      <c r="D1917" s="24"/>
      <c r="E1917" s="24"/>
      <c r="F1917" s="8"/>
      <c r="G1917" s="12"/>
      <c r="H1917" s="28"/>
      <c r="I1917" s="28"/>
    </row>
    <row r="1918">
      <c r="A1918" s="22"/>
      <c r="B1918" s="24"/>
      <c r="C1918" s="24"/>
      <c r="D1918" s="24"/>
      <c r="E1918" s="24"/>
      <c r="F1918" s="8"/>
      <c r="G1918" s="12"/>
      <c r="H1918" s="28"/>
      <c r="I1918" s="28"/>
    </row>
    <row r="1919">
      <c r="A1919" s="22"/>
      <c r="B1919" s="24"/>
      <c r="C1919" s="24"/>
      <c r="D1919" s="24"/>
      <c r="E1919" s="24"/>
      <c r="F1919" s="8"/>
      <c r="G1919" s="12"/>
      <c r="H1919" s="28"/>
      <c r="I1919" s="28"/>
    </row>
    <row r="1920">
      <c r="A1920" s="22"/>
      <c r="B1920" s="24"/>
      <c r="C1920" s="24"/>
      <c r="D1920" s="24"/>
      <c r="E1920" s="24"/>
      <c r="F1920" s="8"/>
      <c r="G1920" s="12"/>
      <c r="H1920" s="28"/>
      <c r="I1920" s="28"/>
    </row>
    <row r="1921">
      <c r="A1921" s="22"/>
      <c r="B1921" s="24"/>
      <c r="C1921" s="24"/>
      <c r="D1921" s="24"/>
      <c r="E1921" s="24"/>
      <c r="F1921" s="8"/>
      <c r="G1921" s="12"/>
      <c r="H1921" s="28"/>
      <c r="I1921" s="28"/>
    </row>
    <row r="1922">
      <c r="A1922" s="22"/>
      <c r="B1922" s="24"/>
      <c r="C1922" s="24"/>
      <c r="D1922" s="24"/>
      <c r="E1922" s="24"/>
      <c r="F1922" s="8"/>
      <c r="G1922" s="12"/>
      <c r="H1922" s="28"/>
      <c r="I1922" s="28"/>
    </row>
    <row r="1923">
      <c r="A1923" s="22"/>
      <c r="B1923" s="24"/>
      <c r="C1923" s="24"/>
      <c r="D1923" s="24"/>
      <c r="E1923" s="24"/>
      <c r="F1923" s="8"/>
      <c r="G1923" s="12"/>
      <c r="H1923" s="28"/>
      <c r="I1923" s="28"/>
    </row>
    <row r="1924">
      <c r="A1924" s="22"/>
      <c r="B1924" s="24"/>
      <c r="C1924" s="24"/>
      <c r="D1924" s="24"/>
      <c r="E1924" s="24"/>
      <c r="F1924" s="8"/>
      <c r="G1924" s="12"/>
      <c r="H1924" s="28"/>
      <c r="I1924" s="28"/>
    </row>
    <row r="1925">
      <c r="A1925" s="22"/>
      <c r="B1925" s="24"/>
      <c r="C1925" s="24"/>
      <c r="D1925" s="24"/>
      <c r="E1925" s="24"/>
      <c r="F1925" s="8"/>
      <c r="G1925" s="12"/>
      <c r="H1925" s="28"/>
      <c r="I1925" s="28"/>
    </row>
    <row r="1926">
      <c r="A1926" s="22"/>
      <c r="B1926" s="24"/>
      <c r="C1926" s="24"/>
      <c r="D1926" s="24"/>
      <c r="E1926" s="24"/>
      <c r="F1926" s="8"/>
      <c r="G1926" s="12"/>
      <c r="H1926" s="28"/>
      <c r="I1926" s="28"/>
    </row>
    <row r="1927">
      <c r="A1927" s="22"/>
      <c r="B1927" s="24"/>
      <c r="C1927" s="24"/>
      <c r="D1927" s="24"/>
      <c r="E1927" s="24"/>
      <c r="F1927" s="8"/>
      <c r="G1927" s="12"/>
      <c r="H1927" s="28"/>
      <c r="I1927" s="28"/>
    </row>
    <row r="1928">
      <c r="A1928" s="22"/>
      <c r="B1928" s="24"/>
      <c r="C1928" s="24"/>
      <c r="D1928" s="24"/>
      <c r="E1928" s="24"/>
      <c r="F1928" s="8"/>
      <c r="G1928" s="12"/>
      <c r="H1928" s="28"/>
      <c r="I1928" s="28"/>
    </row>
    <row r="1929">
      <c r="A1929" s="22"/>
      <c r="B1929" s="24"/>
      <c r="C1929" s="24"/>
      <c r="D1929" s="24"/>
      <c r="E1929" s="24"/>
      <c r="F1929" s="8"/>
      <c r="G1929" s="12"/>
      <c r="H1929" s="28"/>
      <c r="I1929" s="28"/>
    </row>
    <row r="1930">
      <c r="A1930" s="22"/>
      <c r="B1930" s="24"/>
      <c r="C1930" s="24"/>
      <c r="D1930" s="24"/>
      <c r="E1930" s="24"/>
      <c r="F1930" s="8"/>
      <c r="G1930" s="12"/>
      <c r="H1930" s="28"/>
      <c r="I1930" s="28"/>
    </row>
    <row r="1931">
      <c r="A1931" s="22"/>
      <c r="B1931" s="24"/>
      <c r="C1931" s="24"/>
      <c r="D1931" s="24"/>
      <c r="E1931" s="24"/>
      <c r="F1931" s="8"/>
      <c r="G1931" s="12"/>
      <c r="H1931" s="28"/>
      <c r="I1931" s="28"/>
    </row>
    <row r="1932">
      <c r="A1932" s="22"/>
      <c r="B1932" s="24"/>
      <c r="C1932" s="24"/>
      <c r="D1932" s="24"/>
      <c r="E1932" s="24"/>
      <c r="F1932" s="8"/>
      <c r="G1932" s="12"/>
      <c r="H1932" s="28"/>
      <c r="I1932" s="28"/>
    </row>
    <row r="1933">
      <c r="A1933" s="22"/>
      <c r="B1933" s="24"/>
      <c r="C1933" s="24"/>
      <c r="D1933" s="24"/>
      <c r="E1933" s="24"/>
      <c r="F1933" s="8"/>
      <c r="G1933" s="12"/>
      <c r="H1933" s="28"/>
      <c r="I1933" s="28"/>
    </row>
    <row r="1934">
      <c r="A1934" s="22"/>
      <c r="B1934" s="24"/>
      <c r="C1934" s="24"/>
      <c r="D1934" s="24"/>
      <c r="E1934" s="24"/>
      <c r="F1934" s="8"/>
      <c r="G1934" s="12"/>
      <c r="H1934" s="28"/>
      <c r="I1934" s="28"/>
    </row>
    <row r="1935">
      <c r="A1935" s="22"/>
      <c r="B1935" s="24"/>
      <c r="C1935" s="24"/>
      <c r="D1935" s="24"/>
      <c r="E1935" s="24"/>
      <c r="F1935" s="8"/>
      <c r="G1935" s="12"/>
      <c r="H1935" s="28"/>
      <c r="I1935" s="28"/>
    </row>
    <row r="1936">
      <c r="A1936" s="22"/>
      <c r="B1936" s="24"/>
      <c r="C1936" s="24"/>
      <c r="D1936" s="24"/>
      <c r="E1936" s="24"/>
      <c r="F1936" s="8"/>
      <c r="G1936" s="12"/>
      <c r="H1936" s="28"/>
      <c r="I1936" s="28"/>
    </row>
    <row r="1937">
      <c r="A1937" s="22"/>
      <c r="B1937" s="24"/>
      <c r="C1937" s="24"/>
      <c r="D1937" s="24"/>
      <c r="E1937" s="24"/>
      <c r="F1937" s="8"/>
      <c r="G1937" s="12"/>
      <c r="H1937" s="28"/>
      <c r="I1937" s="28"/>
    </row>
    <row r="1938">
      <c r="A1938" s="22"/>
      <c r="B1938" s="24"/>
      <c r="C1938" s="24"/>
      <c r="D1938" s="24"/>
      <c r="E1938" s="24"/>
      <c r="F1938" s="8"/>
      <c r="G1938" s="12"/>
      <c r="H1938" s="28"/>
      <c r="I1938" s="28"/>
    </row>
    <row r="1939">
      <c r="A1939" s="22"/>
      <c r="B1939" s="24"/>
      <c r="C1939" s="24"/>
      <c r="D1939" s="24"/>
      <c r="E1939" s="24"/>
      <c r="F1939" s="8"/>
      <c r="G1939" s="12"/>
      <c r="H1939" s="28"/>
      <c r="I1939" s="28"/>
    </row>
    <row r="1940">
      <c r="A1940" s="22"/>
      <c r="B1940" s="24"/>
      <c r="C1940" s="24"/>
      <c r="D1940" s="24"/>
      <c r="E1940" s="24"/>
      <c r="F1940" s="8"/>
      <c r="G1940" s="12"/>
      <c r="H1940" s="28"/>
      <c r="I1940" s="28"/>
    </row>
    <row r="1941">
      <c r="A1941" s="22"/>
      <c r="B1941" s="24"/>
      <c r="C1941" s="24"/>
      <c r="D1941" s="24"/>
      <c r="E1941" s="24"/>
      <c r="F1941" s="8"/>
      <c r="G1941" s="12"/>
      <c r="H1941" s="28"/>
      <c r="I1941" s="28"/>
    </row>
    <row r="1942">
      <c r="A1942" s="22"/>
      <c r="B1942" s="24"/>
      <c r="C1942" s="24"/>
      <c r="D1942" s="24"/>
      <c r="E1942" s="24"/>
      <c r="F1942" s="8"/>
      <c r="G1942" s="12"/>
      <c r="H1942" s="28"/>
      <c r="I1942" s="28"/>
    </row>
    <row r="1943">
      <c r="A1943" s="22"/>
      <c r="B1943" s="24"/>
      <c r="C1943" s="24"/>
      <c r="D1943" s="24"/>
      <c r="E1943" s="24"/>
      <c r="F1943" s="8"/>
      <c r="G1943" s="12"/>
      <c r="H1943" s="28"/>
      <c r="I1943" s="28"/>
    </row>
    <row r="1944">
      <c r="A1944" s="22"/>
      <c r="B1944" s="24"/>
      <c r="C1944" s="24"/>
      <c r="D1944" s="24"/>
      <c r="E1944" s="24"/>
      <c r="F1944" s="8"/>
      <c r="G1944" s="12"/>
      <c r="H1944" s="28"/>
      <c r="I1944" s="28"/>
    </row>
    <row r="1945">
      <c r="A1945" s="22"/>
      <c r="B1945" s="24"/>
      <c r="C1945" s="24"/>
      <c r="D1945" s="24"/>
      <c r="E1945" s="24"/>
      <c r="F1945" s="8"/>
      <c r="G1945" s="12"/>
      <c r="H1945" s="28"/>
      <c r="I1945" s="28"/>
    </row>
    <row r="1946">
      <c r="A1946" s="22"/>
      <c r="B1946" s="24"/>
      <c r="C1946" s="24"/>
      <c r="D1946" s="24"/>
      <c r="E1946" s="24"/>
      <c r="F1946" s="8"/>
      <c r="G1946" s="12"/>
      <c r="H1946" s="28"/>
      <c r="I1946" s="28"/>
    </row>
    <row r="1947">
      <c r="A1947" s="22"/>
      <c r="B1947" s="24"/>
      <c r="C1947" s="24"/>
      <c r="D1947" s="24"/>
      <c r="E1947" s="24"/>
      <c r="F1947" s="8"/>
      <c r="G1947" s="12"/>
      <c r="H1947" s="28"/>
      <c r="I1947" s="28"/>
    </row>
    <row r="1948">
      <c r="A1948" s="22"/>
      <c r="B1948" s="24"/>
      <c r="C1948" s="24"/>
      <c r="D1948" s="24"/>
      <c r="E1948" s="24"/>
      <c r="F1948" s="8"/>
      <c r="G1948" s="12"/>
      <c r="H1948" s="28"/>
      <c r="I1948" s="28"/>
    </row>
    <row r="1949">
      <c r="A1949" s="22"/>
      <c r="B1949" s="24"/>
      <c r="C1949" s="24"/>
      <c r="D1949" s="24"/>
      <c r="E1949" s="24"/>
      <c r="F1949" s="8"/>
      <c r="G1949" s="12"/>
      <c r="H1949" s="28"/>
      <c r="I1949" s="28"/>
    </row>
    <row r="1950">
      <c r="A1950" s="22"/>
      <c r="B1950" s="24"/>
      <c r="C1950" s="24"/>
      <c r="D1950" s="24"/>
      <c r="E1950" s="24"/>
      <c r="F1950" s="8"/>
      <c r="G1950" s="12"/>
      <c r="H1950" s="28"/>
      <c r="I1950" s="28"/>
    </row>
    <row r="1951">
      <c r="A1951" s="22"/>
      <c r="B1951" s="24"/>
      <c r="C1951" s="24"/>
      <c r="D1951" s="24"/>
      <c r="E1951" s="24"/>
      <c r="F1951" s="8"/>
      <c r="G1951" s="12"/>
      <c r="H1951" s="28"/>
      <c r="I1951" s="28"/>
    </row>
    <row r="1952">
      <c r="A1952" s="22"/>
      <c r="B1952" s="24"/>
      <c r="C1952" s="24"/>
      <c r="D1952" s="24"/>
      <c r="E1952" s="24"/>
      <c r="F1952" s="8"/>
      <c r="G1952" s="12"/>
      <c r="H1952" s="28"/>
      <c r="I1952" s="28"/>
    </row>
    <row r="1953">
      <c r="A1953" s="22"/>
      <c r="B1953" s="24"/>
      <c r="C1953" s="24"/>
      <c r="D1953" s="24"/>
      <c r="E1953" s="24"/>
      <c r="F1953" s="8"/>
      <c r="G1953" s="12"/>
      <c r="H1953" s="28"/>
      <c r="I1953" s="28"/>
    </row>
    <row r="1954">
      <c r="A1954" s="22"/>
      <c r="B1954" s="24"/>
      <c r="C1954" s="24"/>
      <c r="D1954" s="24"/>
      <c r="E1954" s="24"/>
      <c r="F1954" s="8"/>
      <c r="G1954" s="12"/>
      <c r="H1954" s="28"/>
      <c r="I1954" s="28"/>
    </row>
    <row r="1955">
      <c r="A1955" s="22"/>
      <c r="B1955" s="24"/>
      <c r="C1955" s="24"/>
      <c r="D1955" s="24"/>
      <c r="E1955" s="24"/>
      <c r="F1955" s="8"/>
      <c r="G1955" s="12"/>
      <c r="H1955" s="28"/>
      <c r="I1955" s="28"/>
    </row>
    <row r="1956">
      <c r="A1956" s="22"/>
      <c r="B1956" s="24"/>
      <c r="C1956" s="24"/>
      <c r="D1956" s="24"/>
      <c r="E1956" s="24"/>
      <c r="F1956" s="8"/>
      <c r="G1956" s="12"/>
      <c r="H1956" s="28"/>
      <c r="I1956" s="28"/>
    </row>
    <row r="1957">
      <c r="A1957" s="22"/>
      <c r="B1957" s="24"/>
      <c r="C1957" s="24"/>
      <c r="D1957" s="24"/>
      <c r="E1957" s="24"/>
      <c r="F1957" s="8"/>
      <c r="G1957" s="12"/>
      <c r="H1957" s="28"/>
      <c r="I1957" s="28"/>
    </row>
    <row r="1958">
      <c r="A1958" s="22"/>
      <c r="B1958" s="24"/>
      <c r="C1958" s="24"/>
      <c r="D1958" s="24"/>
      <c r="E1958" s="24"/>
      <c r="F1958" s="8"/>
      <c r="G1958" s="12"/>
      <c r="H1958" s="28"/>
      <c r="I1958" s="28"/>
    </row>
    <row r="1959">
      <c r="A1959" s="22"/>
      <c r="B1959" s="24"/>
      <c r="C1959" s="24"/>
      <c r="D1959" s="24"/>
      <c r="E1959" s="24"/>
      <c r="F1959" s="8"/>
      <c r="G1959" s="12"/>
      <c r="H1959" s="28"/>
      <c r="I1959" s="28"/>
    </row>
    <row r="1960">
      <c r="A1960" s="22"/>
      <c r="B1960" s="24"/>
      <c r="C1960" s="24"/>
      <c r="D1960" s="24"/>
      <c r="E1960" s="24"/>
      <c r="F1960" s="8"/>
      <c r="G1960" s="12"/>
      <c r="H1960" s="28"/>
      <c r="I1960" s="28"/>
    </row>
    <row r="1961">
      <c r="A1961" s="22"/>
      <c r="B1961" s="24"/>
      <c r="C1961" s="24"/>
      <c r="D1961" s="24"/>
      <c r="E1961" s="24"/>
      <c r="F1961" s="8"/>
      <c r="G1961" s="12"/>
      <c r="H1961" s="28"/>
      <c r="I1961" s="28"/>
    </row>
    <row r="1962">
      <c r="A1962" s="22"/>
      <c r="B1962" s="24"/>
      <c r="C1962" s="24"/>
      <c r="D1962" s="24"/>
      <c r="E1962" s="24"/>
      <c r="F1962" s="8"/>
      <c r="G1962" s="12"/>
      <c r="H1962" s="28"/>
      <c r="I1962" s="28"/>
    </row>
    <row r="1963">
      <c r="A1963" s="22"/>
      <c r="B1963" s="24"/>
      <c r="C1963" s="24"/>
      <c r="D1963" s="24"/>
      <c r="E1963" s="24"/>
      <c r="F1963" s="8"/>
      <c r="G1963" s="12"/>
      <c r="H1963" s="28"/>
      <c r="I1963" s="28"/>
    </row>
    <row r="1964">
      <c r="A1964" s="22"/>
      <c r="B1964" s="24"/>
      <c r="C1964" s="24"/>
      <c r="D1964" s="24"/>
      <c r="E1964" s="24"/>
      <c r="F1964" s="8"/>
      <c r="G1964" s="12"/>
      <c r="H1964" s="28"/>
      <c r="I1964" s="28"/>
    </row>
    <row r="1965">
      <c r="A1965" s="22"/>
      <c r="B1965" s="24"/>
      <c r="C1965" s="24"/>
      <c r="D1965" s="24"/>
      <c r="E1965" s="24"/>
      <c r="F1965" s="8"/>
      <c r="G1965" s="12"/>
      <c r="H1965" s="28"/>
      <c r="I1965" s="28"/>
    </row>
    <row r="1966">
      <c r="A1966" s="22"/>
      <c r="B1966" s="24"/>
      <c r="C1966" s="24"/>
      <c r="D1966" s="24"/>
      <c r="E1966" s="24"/>
      <c r="F1966" s="8"/>
      <c r="G1966" s="12"/>
      <c r="H1966" s="28"/>
      <c r="I1966" s="28"/>
    </row>
    <row r="1967">
      <c r="A1967" s="22"/>
      <c r="B1967" s="24"/>
      <c r="C1967" s="24"/>
      <c r="D1967" s="24"/>
      <c r="E1967" s="24"/>
      <c r="F1967" s="8"/>
      <c r="G1967" s="12"/>
      <c r="H1967" s="28"/>
      <c r="I1967" s="28"/>
    </row>
    <row r="1968">
      <c r="A1968" s="22"/>
      <c r="B1968" s="24"/>
      <c r="C1968" s="24"/>
      <c r="D1968" s="24"/>
      <c r="E1968" s="24"/>
      <c r="F1968" s="8"/>
      <c r="G1968" s="12"/>
      <c r="H1968" s="28"/>
      <c r="I1968" s="28"/>
    </row>
    <row r="1969">
      <c r="A1969" s="22"/>
      <c r="B1969" s="24"/>
      <c r="C1969" s="24"/>
      <c r="D1969" s="24"/>
      <c r="E1969" s="24"/>
      <c r="F1969" s="8"/>
      <c r="G1969" s="12"/>
      <c r="H1969" s="28"/>
      <c r="I1969" s="28"/>
    </row>
    <row r="1970">
      <c r="A1970" s="22"/>
      <c r="B1970" s="24"/>
      <c r="C1970" s="24"/>
      <c r="D1970" s="24"/>
      <c r="E1970" s="24"/>
      <c r="F1970" s="8"/>
      <c r="G1970" s="12"/>
      <c r="H1970" s="28"/>
      <c r="I1970" s="28"/>
    </row>
    <row r="1971">
      <c r="A1971" s="22"/>
      <c r="B1971" s="24"/>
      <c r="C1971" s="24"/>
      <c r="D1971" s="24"/>
      <c r="E1971" s="24"/>
      <c r="F1971" s="8"/>
      <c r="G1971" s="12"/>
      <c r="H1971" s="28"/>
      <c r="I1971" s="28"/>
    </row>
    <row r="1972">
      <c r="A1972" s="22"/>
      <c r="B1972" s="24"/>
      <c r="C1972" s="24"/>
      <c r="D1972" s="24"/>
      <c r="E1972" s="24"/>
      <c r="F1972" s="8"/>
      <c r="G1972" s="12"/>
      <c r="H1972" s="28"/>
      <c r="I1972" s="28"/>
    </row>
    <row r="1973">
      <c r="A1973" s="22"/>
      <c r="B1973" s="24"/>
      <c r="C1973" s="24"/>
      <c r="D1973" s="24"/>
      <c r="E1973" s="24"/>
      <c r="F1973" s="8"/>
      <c r="G1973" s="12"/>
      <c r="H1973" s="28"/>
      <c r="I1973" s="28"/>
    </row>
    <row r="1974">
      <c r="A1974" s="22"/>
      <c r="B1974" s="24"/>
      <c r="C1974" s="24"/>
      <c r="D1974" s="24"/>
      <c r="E1974" s="24"/>
      <c r="F1974" s="8"/>
      <c r="G1974" s="12"/>
      <c r="H1974" s="28"/>
      <c r="I1974" s="28"/>
    </row>
    <row r="1975">
      <c r="A1975" s="22"/>
      <c r="B1975" s="24"/>
      <c r="C1975" s="24"/>
      <c r="D1975" s="24"/>
      <c r="E1975" s="24"/>
      <c r="F1975" s="8"/>
      <c r="G1975" s="12"/>
      <c r="H1975" s="28"/>
      <c r="I1975" s="28"/>
    </row>
    <row r="1976">
      <c r="A1976" s="22"/>
      <c r="B1976" s="24"/>
      <c r="C1976" s="24"/>
      <c r="D1976" s="24"/>
      <c r="E1976" s="24"/>
      <c r="F1976" s="8"/>
      <c r="G1976" s="12"/>
      <c r="H1976" s="28"/>
      <c r="I1976" s="28"/>
    </row>
    <row r="1977">
      <c r="A1977" s="22"/>
      <c r="B1977" s="24"/>
      <c r="C1977" s="24"/>
      <c r="D1977" s="24"/>
      <c r="E1977" s="24"/>
      <c r="F1977" s="8"/>
      <c r="G1977" s="12"/>
      <c r="H1977" s="28"/>
      <c r="I1977" s="28"/>
    </row>
    <row r="1978">
      <c r="A1978" s="22"/>
      <c r="B1978" s="24"/>
      <c r="C1978" s="24"/>
      <c r="D1978" s="24"/>
      <c r="E1978" s="24"/>
      <c r="F1978" s="8"/>
      <c r="G1978" s="12"/>
      <c r="H1978" s="28"/>
      <c r="I1978" s="28"/>
    </row>
    <row r="1979">
      <c r="A1979" s="22"/>
      <c r="B1979" s="24"/>
      <c r="C1979" s="24"/>
      <c r="D1979" s="24"/>
      <c r="E1979" s="24"/>
      <c r="F1979" s="8"/>
      <c r="G1979" s="12"/>
      <c r="H1979" s="28"/>
      <c r="I1979" s="28"/>
    </row>
    <row r="1980">
      <c r="A1980" s="22"/>
      <c r="B1980" s="24"/>
      <c r="C1980" s="24"/>
      <c r="D1980" s="24"/>
      <c r="E1980" s="24"/>
      <c r="F1980" s="8"/>
      <c r="G1980" s="12"/>
      <c r="H1980" s="28"/>
      <c r="I1980" s="28"/>
    </row>
    <row r="1981">
      <c r="A1981" s="22"/>
      <c r="B1981" s="24"/>
      <c r="C1981" s="24"/>
      <c r="D1981" s="24"/>
      <c r="E1981" s="24"/>
      <c r="F1981" s="8"/>
      <c r="G1981" s="12"/>
      <c r="H1981" s="28"/>
      <c r="I1981" s="28"/>
    </row>
    <row r="1982">
      <c r="A1982" s="22"/>
      <c r="B1982" s="24"/>
      <c r="C1982" s="24"/>
      <c r="D1982" s="24"/>
      <c r="E1982" s="24"/>
      <c r="F1982" s="8"/>
      <c r="G1982" s="12"/>
      <c r="H1982" s="28"/>
      <c r="I1982" s="28"/>
    </row>
    <row r="1983">
      <c r="A1983" s="22"/>
      <c r="B1983" s="24"/>
      <c r="C1983" s="24"/>
      <c r="D1983" s="24"/>
      <c r="E1983" s="24"/>
      <c r="F1983" s="8"/>
      <c r="G1983" s="12"/>
      <c r="H1983" s="28"/>
      <c r="I1983" s="28"/>
    </row>
    <row r="1984">
      <c r="A1984" s="22"/>
      <c r="B1984" s="24"/>
      <c r="C1984" s="24"/>
      <c r="D1984" s="24"/>
      <c r="E1984" s="24"/>
      <c r="F1984" s="8"/>
      <c r="G1984" s="12"/>
      <c r="H1984" s="28"/>
      <c r="I1984" s="28"/>
    </row>
    <row r="1985">
      <c r="A1985" s="22"/>
      <c r="B1985" s="24"/>
      <c r="C1985" s="24"/>
      <c r="D1985" s="24"/>
      <c r="E1985" s="24"/>
      <c r="F1985" s="8"/>
      <c r="G1985" s="12"/>
      <c r="H1985" s="28"/>
      <c r="I1985" s="28"/>
    </row>
    <row r="1986">
      <c r="A1986" s="22"/>
      <c r="B1986" s="24"/>
      <c r="C1986" s="24"/>
      <c r="D1986" s="24"/>
      <c r="E1986" s="24"/>
      <c r="F1986" s="8"/>
      <c r="G1986" s="12"/>
      <c r="H1986" s="28"/>
      <c r="I1986" s="28"/>
    </row>
    <row r="1987">
      <c r="A1987" s="22"/>
      <c r="B1987" s="24"/>
      <c r="C1987" s="24"/>
      <c r="D1987" s="24"/>
      <c r="E1987" s="24"/>
      <c r="F1987" s="8"/>
      <c r="G1987" s="12"/>
      <c r="H1987" s="28"/>
      <c r="I1987" s="28"/>
    </row>
    <row r="1988">
      <c r="A1988" s="22"/>
      <c r="B1988" s="24"/>
      <c r="C1988" s="24"/>
      <c r="D1988" s="24"/>
      <c r="E1988" s="24"/>
      <c r="F1988" s="8"/>
      <c r="G1988" s="12"/>
      <c r="H1988" s="28"/>
      <c r="I1988" s="28"/>
    </row>
    <row r="1989">
      <c r="A1989" s="22"/>
      <c r="B1989" s="24"/>
      <c r="C1989" s="24"/>
      <c r="D1989" s="24"/>
      <c r="E1989" s="24"/>
      <c r="F1989" s="8"/>
      <c r="G1989" s="12"/>
      <c r="H1989" s="28"/>
      <c r="I1989" s="28"/>
    </row>
    <row r="1990">
      <c r="A1990" s="22"/>
      <c r="B1990" s="24"/>
      <c r="C1990" s="24"/>
      <c r="D1990" s="24"/>
      <c r="E1990" s="24"/>
      <c r="F1990" s="8"/>
      <c r="G1990" s="12"/>
      <c r="H1990" s="28"/>
      <c r="I1990" s="28"/>
    </row>
    <row r="1991">
      <c r="A1991" s="22"/>
      <c r="B1991" s="24"/>
      <c r="C1991" s="24"/>
      <c r="D1991" s="24"/>
      <c r="E1991" s="24"/>
      <c r="F1991" s="8"/>
      <c r="G1991" s="12"/>
      <c r="H1991" s="28"/>
      <c r="I1991" s="28"/>
    </row>
    <row r="1992">
      <c r="A1992" s="22"/>
      <c r="B1992" s="24"/>
      <c r="C1992" s="24"/>
      <c r="D1992" s="24"/>
      <c r="E1992" s="24"/>
      <c r="F1992" s="8"/>
      <c r="G1992" s="12"/>
      <c r="H1992" s="28"/>
      <c r="I1992" s="28"/>
    </row>
    <row r="1993">
      <c r="A1993" s="22"/>
      <c r="B1993" s="24"/>
      <c r="C1993" s="24"/>
      <c r="D1993" s="24"/>
      <c r="E1993" s="24"/>
      <c r="F1993" s="8"/>
      <c r="G1993" s="12"/>
      <c r="H1993" s="28"/>
      <c r="I1993" s="28"/>
    </row>
    <row r="1994">
      <c r="A1994" s="22"/>
      <c r="B1994" s="24"/>
      <c r="C1994" s="24"/>
      <c r="D1994" s="24"/>
      <c r="E1994" s="24"/>
      <c r="F1994" s="8"/>
      <c r="G1994" s="12"/>
      <c r="H1994" s="28"/>
      <c r="I1994" s="28"/>
    </row>
    <row r="1995">
      <c r="A1995" s="22"/>
      <c r="B1995" s="24"/>
      <c r="C1995" s="24"/>
      <c r="D1995" s="24"/>
      <c r="E1995" s="24"/>
      <c r="F1995" s="8"/>
      <c r="G1995" s="12"/>
      <c r="H1995" s="28"/>
      <c r="I1995" s="28"/>
    </row>
    <row r="1996">
      <c r="A1996" s="22"/>
      <c r="B1996" s="24"/>
      <c r="C1996" s="24"/>
      <c r="D1996" s="24"/>
      <c r="E1996" s="24"/>
      <c r="F1996" s="8"/>
      <c r="G1996" s="12"/>
      <c r="H1996" s="28"/>
      <c r="I1996" s="28"/>
    </row>
    <row r="1997">
      <c r="A1997" s="22"/>
      <c r="B1997" s="24"/>
      <c r="C1997" s="24"/>
      <c r="D1997" s="24"/>
      <c r="E1997" s="24"/>
      <c r="F1997" s="8"/>
      <c r="G1997" s="12"/>
      <c r="H1997" s="28"/>
      <c r="I1997" s="28"/>
    </row>
    <row r="1998">
      <c r="A1998" s="22"/>
      <c r="B1998" s="24"/>
      <c r="C1998" s="24"/>
      <c r="D1998" s="24"/>
      <c r="E1998" s="24"/>
      <c r="F1998" s="8"/>
      <c r="G1998" s="12"/>
      <c r="H1998" s="28"/>
      <c r="I1998" s="28"/>
    </row>
    <row r="1999">
      <c r="A1999" s="22"/>
      <c r="B1999" s="24"/>
      <c r="C1999" s="24"/>
      <c r="D1999" s="24"/>
      <c r="E1999" s="24"/>
      <c r="F1999" s="8"/>
      <c r="G1999" s="12"/>
      <c r="H1999" s="28"/>
      <c r="I1999" s="28"/>
    </row>
    <row r="2000">
      <c r="A2000" s="22"/>
      <c r="B2000" s="24"/>
      <c r="C2000" s="24"/>
      <c r="D2000" s="24"/>
      <c r="E2000" s="24"/>
      <c r="F2000" s="8"/>
      <c r="G2000" s="12"/>
      <c r="H2000" s="28"/>
      <c r="I2000" s="28"/>
    </row>
    <row r="2001">
      <c r="A2001" s="22"/>
      <c r="B2001" s="24"/>
      <c r="C2001" s="24"/>
      <c r="D2001" s="24"/>
      <c r="E2001" s="24"/>
      <c r="F2001" s="8"/>
      <c r="G2001" s="12"/>
      <c r="H2001" s="28"/>
      <c r="I2001" s="28"/>
    </row>
    <row r="2002">
      <c r="A2002" s="22"/>
      <c r="B2002" s="24"/>
      <c r="C2002" s="24"/>
      <c r="D2002" s="24"/>
      <c r="E2002" s="24"/>
      <c r="F2002" s="8"/>
      <c r="G2002" s="12"/>
      <c r="H2002" s="28"/>
      <c r="I2002" s="28"/>
    </row>
    <row r="2003">
      <c r="A2003" s="22"/>
      <c r="B2003" s="24"/>
      <c r="C2003" s="24"/>
      <c r="D2003" s="24"/>
      <c r="E2003" s="24"/>
      <c r="F2003" s="8"/>
      <c r="G2003" s="12"/>
      <c r="H2003" s="28"/>
      <c r="I2003" s="28"/>
    </row>
    <row r="2004">
      <c r="A2004" s="22"/>
      <c r="B2004" s="24"/>
      <c r="C2004" s="24"/>
      <c r="D2004" s="24"/>
      <c r="E2004" s="24"/>
      <c r="F2004" s="8"/>
      <c r="G2004" s="12"/>
      <c r="H2004" s="28"/>
      <c r="I2004" s="28"/>
    </row>
    <row r="2005">
      <c r="A2005" s="22"/>
      <c r="B2005" s="24"/>
      <c r="C2005" s="24"/>
      <c r="D2005" s="24"/>
      <c r="E2005" s="24"/>
      <c r="F2005" s="8"/>
      <c r="G2005" s="12"/>
      <c r="H2005" s="28"/>
      <c r="I2005" s="28"/>
    </row>
    <row r="2006">
      <c r="A2006" s="22"/>
      <c r="B2006" s="24"/>
      <c r="C2006" s="24"/>
      <c r="D2006" s="24"/>
      <c r="E2006" s="24"/>
      <c r="F2006" s="8"/>
      <c r="G2006" s="12"/>
      <c r="H2006" s="28"/>
      <c r="I2006" s="28"/>
    </row>
    <row r="2007">
      <c r="A2007" s="22"/>
      <c r="B2007" s="24"/>
      <c r="C2007" s="24"/>
      <c r="D2007" s="24"/>
      <c r="E2007" s="24"/>
      <c r="F2007" s="8"/>
      <c r="G2007" s="12"/>
      <c r="H2007" s="28"/>
      <c r="I2007" s="28"/>
    </row>
    <row r="2008">
      <c r="A2008" s="22"/>
      <c r="B2008" s="24"/>
      <c r="C2008" s="24"/>
      <c r="D2008" s="24"/>
      <c r="E2008" s="24"/>
      <c r="F2008" s="8"/>
      <c r="G2008" s="12"/>
      <c r="H2008" s="28"/>
      <c r="I2008" s="28"/>
    </row>
    <row r="2009">
      <c r="A2009" s="22"/>
      <c r="B2009" s="24"/>
      <c r="C2009" s="24"/>
      <c r="D2009" s="24"/>
      <c r="E2009" s="24"/>
      <c r="F2009" s="8"/>
      <c r="G2009" s="12"/>
      <c r="H2009" s="28"/>
      <c r="I2009" s="28"/>
    </row>
    <row r="2010">
      <c r="A2010" s="22"/>
      <c r="B2010" s="24"/>
      <c r="C2010" s="24"/>
      <c r="D2010" s="24"/>
      <c r="E2010" s="24"/>
      <c r="F2010" s="8"/>
      <c r="G2010" s="12"/>
      <c r="H2010" s="28"/>
      <c r="I2010" s="28"/>
    </row>
  </sheetData>
  <mergeCells count="293">
    <mergeCell ref="A35:A36"/>
    <mergeCell ref="B35:E35"/>
    <mergeCell ref="B48:E48"/>
    <mergeCell ref="A51:A52"/>
    <mergeCell ref="B51:E51"/>
    <mergeCell ref="B64:E64"/>
    <mergeCell ref="A67:A68"/>
    <mergeCell ref="B67:E67"/>
    <mergeCell ref="B80:E80"/>
    <mergeCell ref="A83:A84"/>
    <mergeCell ref="B83:E83"/>
    <mergeCell ref="B96:E96"/>
    <mergeCell ref="A99:A100"/>
    <mergeCell ref="B99:E99"/>
    <mergeCell ref="B112:E112"/>
    <mergeCell ref="A115:A116"/>
    <mergeCell ref="B115:E115"/>
    <mergeCell ref="B129:E129"/>
    <mergeCell ref="A132:A133"/>
    <mergeCell ref="B132:E132"/>
    <mergeCell ref="B145:E145"/>
    <mergeCell ref="A148:A149"/>
    <mergeCell ref="B148:E148"/>
    <mergeCell ref="B161:E161"/>
    <mergeCell ref="A164:A165"/>
    <mergeCell ref="B164:E164"/>
    <mergeCell ref="B177:E177"/>
    <mergeCell ref="A180:A181"/>
    <mergeCell ref="B180:E180"/>
    <mergeCell ref="B193:E193"/>
    <mergeCell ref="A196:A197"/>
    <mergeCell ref="B196:E196"/>
    <mergeCell ref="B210:E210"/>
    <mergeCell ref="A213:A214"/>
    <mergeCell ref="B213:E213"/>
    <mergeCell ref="B226:E226"/>
    <mergeCell ref="A229:A230"/>
    <mergeCell ref="B229:E229"/>
    <mergeCell ref="B242:E242"/>
    <mergeCell ref="A245:A246"/>
    <mergeCell ref="B245:E245"/>
    <mergeCell ref="B258:E258"/>
    <mergeCell ref="A261:A262"/>
    <mergeCell ref="B261:E261"/>
    <mergeCell ref="B274:E274"/>
    <mergeCell ref="A277:A278"/>
    <mergeCell ref="B277:E277"/>
    <mergeCell ref="B290:E290"/>
    <mergeCell ref="A293:A294"/>
    <mergeCell ref="B293:E293"/>
    <mergeCell ref="B307:E307"/>
    <mergeCell ref="A310:A311"/>
    <mergeCell ref="B310:E310"/>
    <mergeCell ref="B339:C339"/>
    <mergeCell ref="D339:E339"/>
    <mergeCell ref="A342:A343"/>
    <mergeCell ref="B342:E342"/>
    <mergeCell ref="B355:C355"/>
    <mergeCell ref="D355:E355"/>
    <mergeCell ref="A358:A359"/>
    <mergeCell ref="B358:E358"/>
    <mergeCell ref="B372:C372"/>
    <mergeCell ref="D372:E372"/>
    <mergeCell ref="A375:A376"/>
    <mergeCell ref="B375:E375"/>
    <mergeCell ref="B388:C388"/>
    <mergeCell ref="D388:E388"/>
    <mergeCell ref="A391:A392"/>
    <mergeCell ref="B391:E391"/>
    <mergeCell ref="B403:C403"/>
    <mergeCell ref="D403:E403"/>
    <mergeCell ref="A406:A407"/>
    <mergeCell ref="B406:E406"/>
    <mergeCell ref="B418:C418"/>
    <mergeCell ref="D418:E418"/>
    <mergeCell ref="A421:A422"/>
    <mergeCell ref="B421:E421"/>
    <mergeCell ref="B434:C434"/>
    <mergeCell ref="D434:E434"/>
    <mergeCell ref="A437:A438"/>
    <mergeCell ref="B437:E437"/>
    <mergeCell ref="B450:C450"/>
    <mergeCell ref="D450:E450"/>
    <mergeCell ref="A453:A454"/>
    <mergeCell ref="B453:E453"/>
    <mergeCell ref="B466:C466"/>
    <mergeCell ref="D466:E466"/>
    <mergeCell ref="A469:A470"/>
    <mergeCell ref="B469:E469"/>
    <mergeCell ref="B482:C482"/>
    <mergeCell ref="D482:E482"/>
    <mergeCell ref="A485:A486"/>
    <mergeCell ref="B485:E485"/>
    <mergeCell ref="B498:C498"/>
    <mergeCell ref="D498:E498"/>
    <mergeCell ref="A501:A502"/>
    <mergeCell ref="B501:E501"/>
    <mergeCell ref="B515:C515"/>
    <mergeCell ref="D515:E515"/>
    <mergeCell ref="A517:A518"/>
    <mergeCell ref="B517:E517"/>
    <mergeCell ref="B530:C530"/>
    <mergeCell ref="D530:E530"/>
    <mergeCell ref="A532:A533"/>
    <mergeCell ref="B532:E532"/>
    <mergeCell ref="B545:C545"/>
    <mergeCell ref="D545:E545"/>
    <mergeCell ref="A547:A548"/>
    <mergeCell ref="B547:E547"/>
    <mergeCell ref="B560:C560"/>
    <mergeCell ref="D560:E560"/>
    <mergeCell ref="A563:A564"/>
    <mergeCell ref="B563:E563"/>
    <mergeCell ref="B576:C576"/>
    <mergeCell ref="D576:E576"/>
    <mergeCell ref="A1063:A1064"/>
    <mergeCell ref="B1063:E1063"/>
    <mergeCell ref="B1077:C1077"/>
    <mergeCell ref="D1077:E1077"/>
    <mergeCell ref="A1080:A1081"/>
    <mergeCell ref="B1080:E1080"/>
    <mergeCell ref="D1094:E1094"/>
    <mergeCell ref="B1094:C1094"/>
    <mergeCell ref="A1097:A1098"/>
    <mergeCell ref="B1097:E1097"/>
    <mergeCell ref="B1111:C1111"/>
    <mergeCell ref="D1111:E1111"/>
    <mergeCell ref="A1114:A1115"/>
    <mergeCell ref="B1114:E1114"/>
    <mergeCell ref="B1128:C1128"/>
    <mergeCell ref="D1128:E1128"/>
    <mergeCell ref="A1131:A1132"/>
    <mergeCell ref="B1131:E1131"/>
    <mergeCell ref="D1145:E1145"/>
    <mergeCell ref="A1148:A1149"/>
    <mergeCell ref="B1148:E1148"/>
    <mergeCell ref="B1145:C1145"/>
    <mergeCell ref="B1162:C1162"/>
    <mergeCell ref="D1162:E1162"/>
    <mergeCell ref="A1165:A1166"/>
    <mergeCell ref="B1165:E1165"/>
    <mergeCell ref="B1179:C1179"/>
    <mergeCell ref="D1179:E1179"/>
    <mergeCell ref="A1182:A1183"/>
    <mergeCell ref="B1182:E1182"/>
    <mergeCell ref="B1196:C1196"/>
    <mergeCell ref="D1196:E1196"/>
    <mergeCell ref="A1199:A1200"/>
    <mergeCell ref="B1199:E1199"/>
    <mergeCell ref="D1213:E1213"/>
    <mergeCell ref="B1213:C1213"/>
    <mergeCell ref="A1216:A1217"/>
    <mergeCell ref="B1216:E1216"/>
    <mergeCell ref="B1230:C1230"/>
    <mergeCell ref="D1230:E1230"/>
    <mergeCell ref="A1234:A1235"/>
    <mergeCell ref="B1234:E1234"/>
    <mergeCell ref="B323:E323"/>
    <mergeCell ref="A326:A327"/>
    <mergeCell ref="B326:E326"/>
    <mergeCell ref="B992:C992"/>
    <mergeCell ref="D992:E992"/>
    <mergeCell ref="A995:A996"/>
    <mergeCell ref="B995:E995"/>
    <mergeCell ref="A1:A2"/>
    <mergeCell ref="B1:E1"/>
    <mergeCell ref="F1:F1003"/>
    <mergeCell ref="B15:E15"/>
    <mergeCell ref="A18:A19"/>
    <mergeCell ref="B18:E18"/>
    <mergeCell ref="B32:E32"/>
    <mergeCell ref="B1009:C1009"/>
    <mergeCell ref="D1009:E1009"/>
    <mergeCell ref="A1012:A1013"/>
    <mergeCell ref="B1012:E1012"/>
    <mergeCell ref="D1026:E1026"/>
    <mergeCell ref="A1029:A1030"/>
    <mergeCell ref="B1029:E1029"/>
    <mergeCell ref="B1026:C1026"/>
    <mergeCell ref="B1043:C1043"/>
    <mergeCell ref="D1043:E1043"/>
    <mergeCell ref="A1046:A1047"/>
    <mergeCell ref="B1046:E1046"/>
    <mergeCell ref="B1060:C1060"/>
    <mergeCell ref="D1060:E1060"/>
    <mergeCell ref="B1265:C1265"/>
    <mergeCell ref="B1282:C1282"/>
    <mergeCell ref="D1282:E1282"/>
    <mergeCell ref="B1248:C1248"/>
    <mergeCell ref="D1248:E1248"/>
    <mergeCell ref="A1251:A1252"/>
    <mergeCell ref="B1251:E1251"/>
    <mergeCell ref="D1265:E1265"/>
    <mergeCell ref="A1268:A1269"/>
    <mergeCell ref="B1268:E1268"/>
    <mergeCell ref="A579:A580"/>
    <mergeCell ref="B579:E579"/>
    <mergeCell ref="B592:C592"/>
    <mergeCell ref="D592:E592"/>
    <mergeCell ref="A595:A596"/>
    <mergeCell ref="B595:E595"/>
    <mergeCell ref="B608:C608"/>
    <mergeCell ref="D608:E608"/>
    <mergeCell ref="A611:A612"/>
    <mergeCell ref="B611:E611"/>
    <mergeCell ref="B624:C624"/>
    <mergeCell ref="D624:E624"/>
    <mergeCell ref="A627:A628"/>
    <mergeCell ref="B627:E627"/>
    <mergeCell ref="B640:C640"/>
    <mergeCell ref="D640:E640"/>
    <mergeCell ref="A643:A644"/>
    <mergeCell ref="B643:E643"/>
    <mergeCell ref="B656:C656"/>
    <mergeCell ref="D656:E656"/>
    <mergeCell ref="A659:A660"/>
    <mergeCell ref="B659:E659"/>
    <mergeCell ref="B672:C672"/>
    <mergeCell ref="D672:E672"/>
    <mergeCell ref="A675:A676"/>
    <mergeCell ref="B675:E675"/>
    <mergeCell ref="B688:C688"/>
    <mergeCell ref="D688:E688"/>
    <mergeCell ref="A691:A692"/>
    <mergeCell ref="B691:E691"/>
    <mergeCell ref="B704:C704"/>
    <mergeCell ref="D704:E704"/>
    <mergeCell ref="A707:A708"/>
    <mergeCell ref="B707:E707"/>
    <mergeCell ref="B720:C720"/>
    <mergeCell ref="D720:E720"/>
    <mergeCell ref="A723:A724"/>
    <mergeCell ref="B723:E723"/>
    <mergeCell ref="B737:C737"/>
    <mergeCell ref="D737:E737"/>
    <mergeCell ref="A740:A741"/>
    <mergeCell ref="B740:E740"/>
    <mergeCell ref="B754:C754"/>
    <mergeCell ref="D754:E754"/>
    <mergeCell ref="A757:A758"/>
    <mergeCell ref="B757:E757"/>
    <mergeCell ref="B771:C771"/>
    <mergeCell ref="D771:E771"/>
    <mergeCell ref="A774:A775"/>
    <mergeCell ref="B774:E774"/>
    <mergeCell ref="B788:C788"/>
    <mergeCell ref="D788:E788"/>
    <mergeCell ref="A791:A792"/>
    <mergeCell ref="B791:E791"/>
    <mergeCell ref="B805:C805"/>
    <mergeCell ref="D805:E805"/>
    <mergeCell ref="A808:A809"/>
    <mergeCell ref="B808:E808"/>
    <mergeCell ref="B822:C822"/>
    <mergeCell ref="D822:E822"/>
    <mergeCell ref="A825:A826"/>
    <mergeCell ref="B825:E825"/>
    <mergeCell ref="B839:C839"/>
    <mergeCell ref="D839:E839"/>
    <mergeCell ref="A842:A843"/>
    <mergeCell ref="B842:E842"/>
    <mergeCell ref="B856:C856"/>
    <mergeCell ref="D856:E856"/>
    <mergeCell ref="A859:A860"/>
    <mergeCell ref="B859:E859"/>
    <mergeCell ref="B873:C873"/>
    <mergeCell ref="D873:E873"/>
    <mergeCell ref="A876:A877"/>
    <mergeCell ref="B876:E876"/>
    <mergeCell ref="B890:C890"/>
    <mergeCell ref="D890:E890"/>
    <mergeCell ref="A893:A894"/>
    <mergeCell ref="B893:E893"/>
    <mergeCell ref="B907:C907"/>
    <mergeCell ref="D907:E907"/>
    <mergeCell ref="A910:A911"/>
    <mergeCell ref="B910:E910"/>
    <mergeCell ref="B924:C924"/>
    <mergeCell ref="D924:E924"/>
    <mergeCell ref="A927:A928"/>
    <mergeCell ref="B927:E927"/>
    <mergeCell ref="B941:C941"/>
    <mergeCell ref="D941:E941"/>
    <mergeCell ref="A944:A945"/>
    <mergeCell ref="B944:E944"/>
    <mergeCell ref="B958:C958"/>
    <mergeCell ref="D958:E958"/>
    <mergeCell ref="A961:A962"/>
    <mergeCell ref="B961:E961"/>
    <mergeCell ref="B975:C975"/>
    <mergeCell ref="D975:E975"/>
    <mergeCell ref="A978:A979"/>
    <mergeCell ref="B978:E97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7" max="7" width="22.25"/>
  </cols>
  <sheetData>
    <row r="1">
      <c r="A1" s="31" t="s">
        <v>50</v>
      </c>
      <c r="B1" s="29">
        <v>45666.0</v>
      </c>
    </row>
    <row r="2">
      <c r="B2" s="21" t="s">
        <v>4</v>
      </c>
      <c r="C2" s="21" t="s">
        <v>5</v>
      </c>
      <c r="D2" s="21" t="s">
        <v>6</v>
      </c>
      <c r="E2" s="21" t="s">
        <v>7</v>
      </c>
    </row>
    <row r="3">
      <c r="A3" s="22" t="s">
        <v>91</v>
      </c>
      <c r="B3" s="24">
        <v>57.5</v>
      </c>
      <c r="C3" s="24">
        <v>56.3</v>
      </c>
      <c r="D3" s="24">
        <v>62.3</v>
      </c>
      <c r="E3" s="24">
        <v>60.1</v>
      </c>
    </row>
    <row r="4">
      <c r="A4" s="22" t="s">
        <v>92</v>
      </c>
      <c r="B4" s="24">
        <v>0.0</v>
      </c>
      <c r="C4" s="24">
        <v>5.0</v>
      </c>
      <c r="D4" s="24">
        <v>4.0</v>
      </c>
      <c r="E4" s="24">
        <v>3.0</v>
      </c>
    </row>
    <row r="5">
      <c r="A5" s="22" t="s">
        <v>93</v>
      </c>
      <c r="B5" s="24">
        <v>21188.0</v>
      </c>
      <c r="C5" s="24">
        <v>21028.0</v>
      </c>
      <c r="D5" s="24">
        <v>20860.0</v>
      </c>
      <c r="E5" s="24">
        <v>21147.0</v>
      </c>
    </row>
    <row r="6">
      <c r="A6" s="22" t="s">
        <v>94</v>
      </c>
      <c r="B6" s="23">
        <f t="shared" ref="B6:E6" si="1">B13*30</f>
        <v>19410</v>
      </c>
      <c r="C6" s="23">
        <f t="shared" si="1"/>
        <v>18930</v>
      </c>
      <c r="D6" s="23">
        <f t="shared" si="1"/>
        <v>18540</v>
      </c>
      <c r="E6" s="23">
        <f t="shared" si="1"/>
        <v>18960</v>
      </c>
    </row>
    <row r="7">
      <c r="A7" s="22" t="s">
        <v>95</v>
      </c>
      <c r="B7" s="24">
        <v>15.0</v>
      </c>
      <c r="C7" s="24">
        <v>10.0</v>
      </c>
      <c r="D7" s="24">
        <v>12.0</v>
      </c>
      <c r="E7" s="24">
        <v>15.0</v>
      </c>
    </row>
    <row r="8">
      <c r="A8" s="22" t="s">
        <v>96</v>
      </c>
      <c r="B8" s="24">
        <v>6.0</v>
      </c>
      <c r="C8" s="24">
        <v>3.0</v>
      </c>
      <c r="D8" s="24">
        <v>5.0</v>
      </c>
      <c r="E8" s="24">
        <v>4.0</v>
      </c>
    </row>
    <row r="9">
      <c r="A9" s="22" t="s">
        <v>111</v>
      </c>
      <c r="B9" s="24" t="s">
        <v>470</v>
      </c>
      <c r="C9" s="24" t="s">
        <v>210</v>
      </c>
      <c r="D9" s="24" t="s">
        <v>210</v>
      </c>
      <c r="E9" s="24" t="s">
        <v>210</v>
      </c>
    </row>
    <row r="10">
      <c r="A10" s="22" t="s">
        <v>98</v>
      </c>
      <c r="B10" s="24">
        <v>1.0</v>
      </c>
      <c r="C10" s="24">
        <v>1.0</v>
      </c>
      <c r="D10" s="24">
        <v>1.0</v>
      </c>
      <c r="E10" s="24">
        <v>1.0</v>
      </c>
    </row>
    <row r="11">
      <c r="A11" s="22" t="s">
        <v>112</v>
      </c>
      <c r="B11" s="26">
        <f t="shared" ref="B11:E11" si="2">round(((B6/B5)*100),2)</f>
        <v>91.61</v>
      </c>
      <c r="C11" s="26">
        <f t="shared" si="2"/>
        <v>90.02</v>
      </c>
      <c r="D11" s="26">
        <f t="shared" si="2"/>
        <v>88.88</v>
      </c>
      <c r="E11" s="26">
        <f t="shared" si="2"/>
        <v>89.66</v>
      </c>
    </row>
    <row r="12">
      <c r="A12" s="22" t="s">
        <v>215</v>
      </c>
      <c r="B12" s="24" t="s">
        <v>411</v>
      </c>
      <c r="C12" s="24" t="s">
        <v>440</v>
      </c>
      <c r="D12" s="18"/>
      <c r="E12" s="18"/>
    </row>
    <row r="13">
      <c r="A13" s="22" t="s">
        <v>100</v>
      </c>
      <c r="B13" s="24">
        <v>647.0</v>
      </c>
      <c r="C13" s="24">
        <v>631.0</v>
      </c>
      <c r="D13" s="24">
        <v>618.0</v>
      </c>
      <c r="E13" s="24">
        <v>632.0</v>
      </c>
    </row>
    <row r="14">
      <c r="A14" s="25" t="s">
        <v>319</v>
      </c>
      <c r="B14" s="24">
        <v>2529.0</v>
      </c>
      <c r="C14" s="24"/>
      <c r="D14" s="24"/>
      <c r="E14" s="24"/>
    </row>
    <row r="15">
      <c r="A15" s="22" t="s">
        <v>103</v>
      </c>
      <c r="B15" s="24" t="s">
        <v>441</v>
      </c>
      <c r="D15" s="24" t="s">
        <v>442</v>
      </c>
    </row>
    <row r="16">
      <c r="A16" s="12"/>
      <c r="B16" s="28"/>
      <c r="C16" s="28"/>
    </row>
    <row r="17">
      <c r="A17" s="12"/>
      <c r="B17" s="28"/>
      <c r="C17" s="28"/>
    </row>
    <row r="18">
      <c r="A18" s="17"/>
      <c r="B18" s="45">
        <v>45697.0</v>
      </c>
    </row>
    <row r="19">
      <c r="B19" s="9" t="s">
        <v>4</v>
      </c>
      <c r="C19" s="9" t="s">
        <v>5</v>
      </c>
      <c r="D19" s="9" t="s">
        <v>6</v>
      </c>
      <c r="E19" s="9" t="s">
        <v>7</v>
      </c>
    </row>
    <row r="20">
      <c r="A20" s="10" t="s">
        <v>91</v>
      </c>
      <c r="B20" s="11">
        <f t="shared" ref="B20:E20" si="3">B3+0.1</f>
        <v>57.6</v>
      </c>
      <c r="C20" s="11">
        <f t="shared" si="3"/>
        <v>56.4</v>
      </c>
      <c r="D20" s="11">
        <f t="shared" si="3"/>
        <v>62.4</v>
      </c>
      <c r="E20" s="11">
        <f t="shared" si="3"/>
        <v>60.2</v>
      </c>
    </row>
    <row r="21">
      <c r="A21" s="10" t="s">
        <v>92</v>
      </c>
      <c r="B21" s="11">
        <v>4.0</v>
      </c>
      <c r="C21" s="11">
        <v>5.0</v>
      </c>
      <c r="D21" s="11">
        <v>2.0</v>
      </c>
      <c r="E21" s="11">
        <v>6.0</v>
      </c>
    </row>
    <row r="22">
      <c r="A22" s="10" t="s">
        <v>93</v>
      </c>
      <c r="B22" s="11">
        <f t="shared" ref="B22:E22" si="4">B5-B21</f>
        <v>21184</v>
      </c>
      <c r="C22" s="11">
        <f t="shared" si="4"/>
        <v>21023</v>
      </c>
      <c r="D22" s="11">
        <f t="shared" si="4"/>
        <v>20858</v>
      </c>
      <c r="E22" s="11">
        <f t="shared" si="4"/>
        <v>21141</v>
      </c>
    </row>
    <row r="23">
      <c r="A23" s="10" t="s">
        <v>94</v>
      </c>
      <c r="B23" s="12">
        <f t="shared" ref="B23:E23" si="5">B29*30</f>
        <v>19140</v>
      </c>
      <c r="C23" s="12">
        <f t="shared" si="5"/>
        <v>18870</v>
      </c>
      <c r="D23" s="12">
        <f t="shared" si="5"/>
        <v>18510</v>
      </c>
      <c r="E23" s="12">
        <f t="shared" si="5"/>
        <v>18750</v>
      </c>
    </row>
    <row r="24">
      <c r="A24" s="10" t="s">
        <v>95</v>
      </c>
      <c r="B24" s="11">
        <v>7.0</v>
      </c>
      <c r="C24" s="11">
        <v>20.0</v>
      </c>
      <c r="D24" s="11">
        <v>0.0</v>
      </c>
      <c r="E24" s="11">
        <v>8.0</v>
      </c>
    </row>
    <row r="25">
      <c r="A25" s="10" t="s">
        <v>96</v>
      </c>
      <c r="B25" s="11">
        <v>10.0</v>
      </c>
      <c r="C25" s="11">
        <v>6.0</v>
      </c>
      <c r="D25" s="11">
        <v>0.0</v>
      </c>
      <c r="E25" s="11">
        <v>6.0</v>
      </c>
    </row>
    <row r="26">
      <c r="A26" s="10" t="s">
        <v>97</v>
      </c>
      <c r="B26" s="11">
        <v>0.0</v>
      </c>
      <c r="C26" s="11">
        <v>0.0</v>
      </c>
      <c r="D26" s="11">
        <v>0.0</v>
      </c>
      <c r="E26" s="11">
        <v>0.0</v>
      </c>
    </row>
    <row r="27">
      <c r="A27" s="10" t="s">
        <v>98</v>
      </c>
      <c r="B27" s="11">
        <v>1.0</v>
      </c>
      <c r="C27" s="11">
        <v>1.0</v>
      </c>
      <c r="D27" s="11">
        <v>1.0</v>
      </c>
      <c r="E27" s="11">
        <v>1.0</v>
      </c>
    </row>
    <row r="28">
      <c r="A28" s="10" t="s">
        <v>99</v>
      </c>
      <c r="B28" s="13">
        <f t="shared" ref="B28:E28" si="6">round(((B23/B22)*100),2)</f>
        <v>90.35</v>
      </c>
      <c r="C28" s="13">
        <f t="shared" si="6"/>
        <v>89.76</v>
      </c>
      <c r="D28" s="13">
        <f t="shared" si="6"/>
        <v>88.74</v>
      </c>
      <c r="E28" s="13">
        <f t="shared" si="6"/>
        <v>88.69</v>
      </c>
    </row>
    <row r="29">
      <c r="A29" s="10" t="s">
        <v>100</v>
      </c>
      <c r="B29" s="11">
        <v>638.0</v>
      </c>
      <c r="C29" s="11">
        <v>629.0</v>
      </c>
      <c r="D29" s="11">
        <v>617.0</v>
      </c>
      <c r="E29" s="11">
        <v>625.0</v>
      </c>
    </row>
    <row r="30">
      <c r="A30" s="11" t="s">
        <v>471</v>
      </c>
      <c r="B30" s="3">
        <v>-27.0</v>
      </c>
      <c r="C30" s="3">
        <v>-12.0</v>
      </c>
      <c r="D30" s="11">
        <v>-5.0</v>
      </c>
      <c r="E30" s="12"/>
    </row>
    <row r="31">
      <c r="A31" s="10" t="s">
        <v>178</v>
      </c>
      <c r="B31" s="11" t="s">
        <v>472</v>
      </c>
      <c r="C31" s="11" t="s">
        <v>473</v>
      </c>
      <c r="D31" s="15"/>
      <c r="E31" s="16"/>
    </row>
    <row r="32">
      <c r="A32" s="10" t="s">
        <v>103</v>
      </c>
      <c r="B32" s="16" t="s">
        <v>474</v>
      </c>
    </row>
    <row r="33">
      <c r="A33" s="12"/>
      <c r="B33" s="28"/>
      <c r="C33" s="28"/>
    </row>
    <row r="34">
      <c r="A34" s="12"/>
      <c r="B34" s="28"/>
      <c r="C34" s="28"/>
    </row>
    <row r="35">
      <c r="A35" s="17"/>
      <c r="B35" s="45">
        <v>45725.0</v>
      </c>
    </row>
    <row r="36">
      <c r="B36" s="9" t="s">
        <v>4</v>
      </c>
      <c r="C36" s="9" t="s">
        <v>5</v>
      </c>
      <c r="D36" s="9" t="s">
        <v>6</v>
      </c>
      <c r="E36" s="9" t="s">
        <v>7</v>
      </c>
    </row>
    <row r="37">
      <c r="A37" s="10" t="s">
        <v>91</v>
      </c>
      <c r="B37" s="11">
        <f t="shared" ref="B37:E37" si="7">B20+0.1</f>
        <v>57.7</v>
      </c>
      <c r="C37" s="11">
        <f t="shared" si="7"/>
        <v>56.5</v>
      </c>
      <c r="D37" s="11">
        <f t="shared" si="7"/>
        <v>62.5</v>
      </c>
      <c r="E37" s="11">
        <f t="shared" si="7"/>
        <v>60.3</v>
      </c>
    </row>
    <row r="38">
      <c r="A38" s="10" t="s">
        <v>92</v>
      </c>
      <c r="B38" s="11">
        <v>6.0</v>
      </c>
      <c r="C38" s="11">
        <v>8.0</v>
      </c>
      <c r="D38" s="11">
        <v>0.0</v>
      </c>
      <c r="E38" s="11">
        <v>8.0</v>
      </c>
    </row>
    <row r="39">
      <c r="A39" s="10" t="s">
        <v>93</v>
      </c>
      <c r="B39" s="11">
        <f>B22-B38-27</f>
        <v>21151</v>
      </c>
      <c r="C39" s="11">
        <f>C22-C38-12</f>
        <v>21003</v>
      </c>
      <c r="D39" s="11">
        <f>D22-D38-5</f>
        <v>20853</v>
      </c>
      <c r="E39" s="11">
        <f>E22-E38</f>
        <v>21133</v>
      </c>
    </row>
    <row r="40">
      <c r="A40" s="10" t="s">
        <v>94</v>
      </c>
      <c r="B40" s="12">
        <f t="shared" ref="B40:E40" si="8">B46*30</f>
        <v>18990</v>
      </c>
      <c r="C40" s="12">
        <f t="shared" si="8"/>
        <v>19110</v>
      </c>
      <c r="D40" s="12">
        <f t="shared" si="8"/>
        <v>18300</v>
      </c>
      <c r="E40" s="12">
        <f t="shared" si="8"/>
        <v>18780</v>
      </c>
    </row>
    <row r="41">
      <c r="A41" s="10" t="s">
        <v>95</v>
      </c>
      <c r="B41" s="11">
        <v>10.0</v>
      </c>
      <c r="C41" s="11">
        <v>20.0</v>
      </c>
      <c r="D41" s="11">
        <v>19.0</v>
      </c>
      <c r="E41" s="11">
        <v>21.0</v>
      </c>
    </row>
    <row r="42">
      <c r="A42" s="10" t="s">
        <v>96</v>
      </c>
      <c r="B42" s="11">
        <v>12.0</v>
      </c>
      <c r="C42" s="11">
        <v>12.0</v>
      </c>
      <c r="D42" s="11">
        <v>5.0</v>
      </c>
      <c r="E42" s="11">
        <v>9.0</v>
      </c>
    </row>
    <row r="43">
      <c r="A43" s="10" t="s">
        <v>97</v>
      </c>
      <c r="B43" s="11">
        <v>0.0</v>
      </c>
      <c r="C43" s="11">
        <v>0.0</v>
      </c>
      <c r="D43" s="11">
        <v>0.0</v>
      </c>
      <c r="E43" s="11">
        <v>0.0</v>
      </c>
    </row>
    <row r="44">
      <c r="A44" s="10" t="s">
        <v>98</v>
      </c>
      <c r="B44" s="11">
        <v>1.0</v>
      </c>
      <c r="C44" s="11">
        <v>1.0</v>
      </c>
      <c r="D44" s="11">
        <v>1.0</v>
      </c>
      <c r="E44" s="11">
        <v>3.0</v>
      </c>
    </row>
    <row r="45">
      <c r="A45" s="10" t="s">
        <v>99</v>
      </c>
      <c r="B45" s="13">
        <f t="shared" ref="B45:E45" si="9">round(((B40/B39)*100),2)</f>
        <v>89.78</v>
      </c>
      <c r="C45" s="13">
        <f t="shared" si="9"/>
        <v>90.99</v>
      </c>
      <c r="D45" s="13">
        <f t="shared" si="9"/>
        <v>87.76</v>
      </c>
      <c r="E45" s="13">
        <f t="shared" si="9"/>
        <v>88.87</v>
      </c>
    </row>
    <row r="46">
      <c r="A46" s="10" t="s">
        <v>100</v>
      </c>
      <c r="B46" s="11">
        <v>633.0</v>
      </c>
      <c r="C46" s="11">
        <v>637.0</v>
      </c>
      <c r="D46" s="11">
        <v>610.0</v>
      </c>
      <c r="E46" s="11">
        <v>626.0</v>
      </c>
    </row>
    <row r="47">
      <c r="A47" s="11" t="s">
        <v>471</v>
      </c>
      <c r="B47" s="3">
        <v>-11.0</v>
      </c>
      <c r="D47" s="11"/>
      <c r="E47" s="12"/>
    </row>
    <row r="48">
      <c r="A48" s="10" t="s">
        <v>178</v>
      </c>
      <c r="B48" s="11" t="s">
        <v>475</v>
      </c>
      <c r="C48" s="11" t="s">
        <v>476</v>
      </c>
      <c r="D48" s="15"/>
      <c r="E48" s="16"/>
    </row>
    <row r="49">
      <c r="A49" s="10" t="s">
        <v>103</v>
      </c>
      <c r="B49" s="16" t="s">
        <v>477</v>
      </c>
    </row>
    <row r="50">
      <c r="A50" s="12"/>
      <c r="B50" s="28"/>
      <c r="C50" s="28"/>
    </row>
    <row r="51">
      <c r="A51" s="12"/>
      <c r="B51" s="28"/>
      <c r="C51" s="28"/>
    </row>
    <row r="52">
      <c r="A52" s="17"/>
      <c r="B52" s="45">
        <v>45756.0</v>
      </c>
    </row>
    <row r="53">
      <c r="B53" s="9" t="s">
        <v>4</v>
      </c>
      <c r="C53" s="9" t="s">
        <v>5</v>
      </c>
      <c r="D53" s="9" t="s">
        <v>6</v>
      </c>
      <c r="E53" s="9" t="s">
        <v>7</v>
      </c>
    </row>
    <row r="54">
      <c r="A54" s="10" t="s">
        <v>91</v>
      </c>
      <c r="B54" s="11">
        <v>58.1</v>
      </c>
      <c r="C54" s="11">
        <f t="shared" ref="C54:E54" si="10">C37+0.1</f>
        <v>56.6</v>
      </c>
      <c r="D54" s="11">
        <f t="shared" si="10"/>
        <v>62.6</v>
      </c>
      <c r="E54" s="11">
        <f t="shared" si="10"/>
        <v>60.4</v>
      </c>
    </row>
    <row r="55">
      <c r="A55" s="10" t="s">
        <v>92</v>
      </c>
      <c r="B55" s="11">
        <v>7.0</v>
      </c>
      <c r="C55" s="11">
        <v>8.0</v>
      </c>
      <c r="D55" s="11">
        <v>5.0</v>
      </c>
      <c r="E55" s="11">
        <v>6.0</v>
      </c>
    </row>
    <row r="56">
      <c r="A56" s="10" t="s">
        <v>93</v>
      </c>
      <c r="B56" s="11">
        <f>B39-B55-11</f>
        <v>21133</v>
      </c>
      <c r="C56" s="11">
        <f t="shared" ref="C56:E56" si="11">C39-C55</f>
        <v>20995</v>
      </c>
      <c r="D56" s="11">
        <f t="shared" si="11"/>
        <v>20848</v>
      </c>
      <c r="E56" s="11">
        <f t="shared" si="11"/>
        <v>21127</v>
      </c>
    </row>
    <row r="57">
      <c r="A57" s="10" t="s">
        <v>94</v>
      </c>
      <c r="B57" s="12">
        <f t="shared" ref="B57:E57" si="12">B63*30</f>
        <v>19200</v>
      </c>
      <c r="C57" s="12">
        <f t="shared" si="12"/>
        <v>19050</v>
      </c>
      <c r="D57" s="12">
        <f t="shared" si="12"/>
        <v>18570</v>
      </c>
      <c r="E57" s="12">
        <f t="shared" si="12"/>
        <v>19110</v>
      </c>
    </row>
    <row r="58">
      <c r="A58" s="10" t="s">
        <v>95</v>
      </c>
      <c r="B58" s="11">
        <v>16.0</v>
      </c>
      <c r="C58" s="11">
        <v>25.0</v>
      </c>
      <c r="D58" s="11">
        <v>16.0</v>
      </c>
      <c r="E58" s="11">
        <v>8.0</v>
      </c>
    </row>
    <row r="59">
      <c r="A59" s="10" t="s">
        <v>96</v>
      </c>
      <c r="B59" s="11">
        <v>10.0</v>
      </c>
      <c r="C59" s="11">
        <v>6.0</v>
      </c>
      <c r="D59" s="11">
        <v>3.0</v>
      </c>
      <c r="E59" s="11">
        <v>3.0</v>
      </c>
    </row>
    <row r="60">
      <c r="A60" s="10" t="s">
        <v>97</v>
      </c>
      <c r="B60" s="11">
        <v>110.0</v>
      </c>
      <c r="C60" s="11">
        <v>110.0</v>
      </c>
      <c r="D60" s="11">
        <v>110.0</v>
      </c>
      <c r="E60" s="11">
        <v>110.0</v>
      </c>
    </row>
    <row r="61">
      <c r="A61" s="10" t="s">
        <v>98</v>
      </c>
      <c r="B61" s="11">
        <v>1.0</v>
      </c>
      <c r="C61" s="11" t="s">
        <v>478</v>
      </c>
      <c r="D61" s="11">
        <v>1.0</v>
      </c>
      <c r="E61" s="11">
        <v>1.0</v>
      </c>
    </row>
    <row r="62">
      <c r="A62" s="10" t="s">
        <v>99</v>
      </c>
      <c r="B62" s="13">
        <f t="shared" ref="B62:E62" si="13">round(((B57/B56)*100),2)</f>
        <v>90.85</v>
      </c>
      <c r="C62" s="13">
        <f t="shared" si="13"/>
        <v>90.74</v>
      </c>
      <c r="D62" s="13">
        <f t="shared" si="13"/>
        <v>89.07</v>
      </c>
      <c r="E62" s="13">
        <f t="shared" si="13"/>
        <v>90.45</v>
      </c>
    </row>
    <row r="63">
      <c r="A63" s="10" t="s">
        <v>100</v>
      </c>
      <c r="B63" s="11">
        <v>640.0</v>
      </c>
      <c r="C63" s="11">
        <v>635.0</v>
      </c>
      <c r="D63" s="11">
        <v>619.0</v>
      </c>
      <c r="E63" s="11">
        <v>637.0</v>
      </c>
    </row>
    <row r="64">
      <c r="A64" s="11" t="s">
        <v>471</v>
      </c>
      <c r="C64" s="3">
        <v>-15.0</v>
      </c>
      <c r="D64" s="11"/>
      <c r="E64" s="11">
        <v>-3.0</v>
      </c>
    </row>
    <row r="65">
      <c r="A65" s="10" t="s">
        <v>178</v>
      </c>
      <c r="B65" s="11" t="s">
        <v>479</v>
      </c>
      <c r="C65" s="11" t="s">
        <v>480</v>
      </c>
      <c r="D65" s="15"/>
      <c r="E65" s="16"/>
    </row>
    <row r="66">
      <c r="A66" s="10" t="s">
        <v>103</v>
      </c>
      <c r="B66" s="16" t="s">
        <v>481</v>
      </c>
    </row>
    <row r="67">
      <c r="A67" s="12"/>
      <c r="B67" s="28"/>
      <c r="C67" s="28"/>
    </row>
    <row r="68">
      <c r="A68" s="12"/>
      <c r="B68" s="28"/>
      <c r="C68" s="28"/>
    </row>
    <row r="69">
      <c r="A69" s="17"/>
      <c r="B69" s="45">
        <v>45786.0</v>
      </c>
    </row>
    <row r="70">
      <c r="B70" s="9" t="s">
        <v>4</v>
      </c>
      <c r="C70" s="9" t="s">
        <v>5</v>
      </c>
      <c r="D70" s="9" t="s">
        <v>6</v>
      </c>
      <c r="E70" s="9" t="s">
        <v>7</v>
      </c>
    </row>
    <row r="71">
      <c r="A71" s="10" t="s">
        <v>91</v>
      </c>
      <c r="B71" s="11">
        <f t="shared" ref="B71:E71" si="14">B54+0.1</f>
        <v>58.2</v>
      </c>
      <c r="C71" s="11">
        <f t="shared" si="14"/>
        <v>56.7</v>
      </c>
      <c r="D71" s="11">
        <f t="shared" si="14"/>
        <v>62.7</v>
      </c>
      <c r="E71" s="11">
        <f t="shared" si="14"/>
        <v>60.5</v>
      </c>
    </row>
    <row r="72">
      <c r="A72" s="10" t="s">
        <v>92</v>
      </c>
      <c r="B72" s="11">
        <v>5.0</v>
      </c>
      <c r="C72" s="11">
        <v>8.0</v>
      </c>
      <c r="D72" s="11">
        <v>9.0</v>
      </c>
      <c r="E72" s="11">
        <v>9.0</v>
      </c>
    </row>
    <row r="73">
      <c r="A73" s="10" t="s">
        <v>93</v>
      </c>
      <c r="B73" s="11">
        <f>B56-B72</f>
        <v>21128</v>
      </c>
      <c r="C73" s="11">
        <f>C56-C72-15</f>
        <v>20972</v>
      </c>
      <c r="D73" s="11">
        <f>D56-D72</f>
        <v>20839</v>
      </c>
      <c r="E73" s="11">
        <f>E56-E72-3</f>
        <v>21115</v>
      </c>
    </row>
    <row r="74">
      <c r="A74" s="10" t="s">
        <v>94</v>
      </c>
      <c r="B74" s="12">
        <f t="shared" ref="B74:E74" si="15">B80*30</f>
        <v>19410</v>
      </c>
      <c r="C74" s="12">
        <f t="shared" si="15"/>
        <v>19290</v>
      </c>
      <c r="D74" s="12">
        <f t="shared" si="15"/>
        <v>19110</v>
      </c>
      <c r="E74" s="12">
        <f t="shared" si="15"/>
        <v>19410</v>
      </c>
    </row>
    <row r="75">
      <c r="A75" s="10" t="s">
        <v>95</v>
      </c>
      <c r="B75" s="11">
        <v>11.0</v>
      </c>
      <c r="C75" s="11">
        <v>15.0</v>
      </c>
      <c r="D75" s="11">
        <v>25.0</v>
      </c>
      <c r="E75" s="11">
        <v>11.0</v>
      </c>
    </row>
    <row r="76">
      <c r="A76" s="10" t="s">
        <v>96</v>
      </c>
      <c r="B76" s="11">
        <v>15.0</v>
      </c>
      <c r="C76" s="11">
        <v>6.0</v>
      </c>
      <c r="D76" s="11">
        <v>3.0</v>
      </c>
      <c r="E76" s="11">
        <v>1.0</v>
      </c>
    </row>
    <row r="77">
      <c r="A77" s="10" t="s">
        <v>97</v>
      </c>
      <c r="B77" s="11">
        <v>0.0</v>
      </c>
      <c r="C77" s="11">
        <v>0.0</v>
      </c>
      <c r="D77" s="11">
        <v>0.0</v>
      </c>
      <c r="E77" s="11">
        <v>0.0</v>
      </c>
    </row>
    <row r="78">
      <c r="A78" s="10" t="s">
        <v>98</v>
      </c>
      <c r="B78" s="11">
        <v>1.0</v>
      </c>
      <c r="C78" s="11">
        <v>1.0</v>
      </c>
      <c r="D78" s="11">
        <v>1.0</v>
      </c>
      <c r="E78" s="11">
        <v>1.0</v>
      </c>
    </row>
    <row r="79">
      <c r="A79" s="10" t="s">
        <v>99</v>
      </c>
      <c r="B79" s="13">
        <f t="shared" ref="B79:E79" si="16">round(((B74/B73)*100),2)</f>
        <v>91.87</v>
      </c>
      <c r="C79" s="13">
        <f t="shared" si="16"/>
        <v>91.98</v>
      </c>
      <c r="D79" s="13">
        <f t="shared" si="16"/>
        <v>91.7</v>
      </c>
      <c r="E79" s="13">
        <f t="shared" si="16"/>
        <v>91.93</v>
      </c>
    </row>
    <row r="80">
      <c r="A80" s="10" t="s">
        <v>100</v>
      </c>
      <c r="B80" s="11">
        <v>647.0</v>
      </c>
      <c r="C80" s="11">
        <v>643.0</v>
      </c>
      <c r="D80" s="11">
        <v>637.0</v>
      </c>
      <c r="E80" s="11">
        <v>647.0</v>
      </c>
    </row>
    <row r="81">
      <c r="A81" s="11" t="s">
        <v>471</v>
      </c>
      <c r="D81" s="11"/>
      <c r="E81" s="11">
        <v>-9.0</v>
      </c>
    </row>
    <row r="82">
      <c r="A82" s="10" t="s">
        <v>178</v>
      </c>
      <c r="B82" s="11" t="s">
        <v>181</v>
      </c>
      <c r="C82" s="11" t="s">
        <v>480</v>
      </c>
      <c r="D82" s="15"/>
      <c r="E82" s="16"/>
    </row>
    <row r="83">
      <c r="A83" s="10" t="s">
        <v>103</v>
      </c>
      <c r="B83" s="16" t="s">
        <v>482</v>
      </c>
    </row>
    <row r="84">
      <c r="A84" s="12"/>
      <c r="B84" s="28"/>
      <c r="C84" s="28"/>
    </row>
    <row r="85">
      <c r="A85" s="12"/>
      <c r="B85" s="28"/>
      <c r="C85" s="28"/>
    </row>
    <row r="86">
      <c r="A86" s="44" t="s">
        <v>50</v>
      </c>
      <c r="B86" s="29">
        <v>45817.0</v>
      </c>
    </row>
    <row r="87">
      <c r="B87" s="21" t="s">
        <v>4</v>
      </c>
      <c r="C87" s="21" t="s">
        <v>5</v>
      </c>
      <c r="D87" s="21" t="s">
        <v>6</v>
      </c>
      <c r="E87" s="21" t="s">
        <v>7</v>
      </c>
    </row>
    <row r="88">
      <c r="A88" s="22" t="s">
        <v>91</v>
      </c>
      <c r="B88" s="11">
        <f>B71+0.1</f>
        <v>58.3</v>
      </c>
      <c r="C88" s="11">
        <v>57.1</v>
      </c>
      <c r="D88" s="11">
        <v>63.1</v>
      </c>
      <c r="E88" s="11">
        <f>E71+0.1</f>
        <v>60.6</v>
      </c>
    </row>
    <row r="89">
      <c r="A89" s="22" t="s">
        <v>92</v>
      </c>
      <c r="B89" s="24">
        <v>4.0</v>
      </c>
      <c r="C89" s="24">
        <v>9.0</v>
      </c>
      <c r="D89" s="24">
        <v>3.0</v>
      </c>
      <c r="E89" s="24">
        <v>4.0</v>
      </c>
    </row>
    <row r="90">
      <c r="A90" s="22" t="s">
        <v>93</v>
      </c>
      <c r="B90" s="24">
        <f t="shared" ref="B90:D90" si="17">B73-B89</f>
        <v>21124</v>
      </c>
      <c r="C90" s="24">
        <f t="shared" si="17"/>
        <v>20963</v>
      </c>
      <c r="D90" s="24">
        <f t="shared" si="17"/>
        <v>20836</v>
      </c>
      <c r="E90" s="24">
        <f>E73-E89-9</f>
        <v>21102</v>
      </c>
    </row>
    <row r="91">
      <c r="A91" s="22" t="s">
        <v>94</v>
      </c>
      <c r="B91" s="23">
        <f t="shared" ref="B91:E91" si="18">B97*30</f>
        <v>19410</v>
      </c>
      <c r="C91" s="23">
        <f t="shared" si="18"/>
        <v>19020</v>
      </c>
      <c r="D91" s="23">
        <f t="shared" si="18"/>
        <v>18600</v>
      </c>
      <c r="E91" s="23">
        <f t="shared" si="18"/>
        <v>18600</v>
      </c>
    </row>
    <row r="92">
      <c r="A92" s="22" t="s">
        <v>95</v>
      </c>
      <c r="B92" s="24">
        <v>20.0</v>
      </c>
      <c r="C92" s="24">
        <v>25.0</v>
      </c>
      <c r="D92" s="24">
        <v>14.0</v>
      </c>
      <c r="E92" s="24">
        <v>9.0</v>
      </c>
    </row>
    <row r="93">
      <c r="A93" s="22" t="s">
        <v>96</v>
      </c>
      <c r="B93" s="24">
        <v>10.0</v>
      </c>
      <c r="C93" s="24">
        <v>12.0</v>
      </c>
      <c r="D93" s="24">
        <v>4.0</v>
      </c>
      <c r="E93" s="24">
        <v>3.0</v>
      </c>
    </row>
    <row r="94">
      <c r="A94" s="22" t="s">
        <v>111</v>
      </c>
      <c r="B94" s="24">
        <v>55.0</v>
      </c>
      <c r="C94" s="24">
        <v>55.0</v>
      </c>
      <c r="D94" s="24">
        <v>55.0</v>
      </c>
      <c r="E94" s="24">
        <v>55.0</v>
      </c>
    </row>
    <row r="95">
      <c r="A95" s="22" t="s">
        <v>98</v>
      </c>
      <c r="B95" s="24">
        <v>2.0</v>
      </c>
      <c r="C95" s="24">
        <v>1.0</v>
      </c>
      <c r="D95" s="24">
        <v>1.0</v>
      </c>
      <c r="E95" s="24" t="s">
        <v>443</v>
      </c>
    </row>
    <row r="96">
      <c r="A96" s="22" t="s">
        <v>112</v>
      </c>
      <c r="B96" s="26">
        <f t="shared" ref="B96:E96" si="19">round(((B91/B90)*100),2)</f>
        <v>91.89</v>
      </c>
      <c r="C96" s="26">
        <f t="shared" si="19"/>
        <v>90.73</v>
      </c>
      <c r="D96" s="26">
        <f t="shared" si="19"/>
        <v>89.27</v>
      </c>
      <c r="E96" s="26">
        <f t="shared" si="19"/>
        <v>88.14</v>
      </c>
    </row>
    <row r="97">
      <c r="A97" s="22" t="s">
        <v>100</v>
      </c>
      <c r="B97" s="24">
        <v>647.0</v>
      </c>
      <c r="C97" s="24">
        <v>634.0</v>
      </c>
      <c r="D97" s="24">
        <v>620.0</v>
      </c>
      <c r="E97" s="24">
        <v>620.0</v>
      </c>
    </row>
    <row r="98">
      <c r="A98" s="11" t="s">
        <v>471</v>
      </c>
      <c r="B98" s="24"/>
      <c r="C98" s="24">
        <v>-8.0</v>
      </c>
      <c r="D98" s="32">
        <v>-2.0</v>
      </c>
      <c r="E98" s="32">
        <v>-3.0</v>
      </c>
    </row>
    <row r="99">
      <c r="A99" s="25" t="s">
        <v>178</v>
      </c>
      <c r="B99" s="24" t="s">
        <v>483</v>
      </c>
      <c r="C99" s="24" t="s">
        <v>484</v>
      </c>
      <c r="D99" s="24"/>
      <c r="E99" s="24"/>
    </row>
    <row r="100">
      <c r="A100" s="22" t="s">
        <v>103</v>
      </c>
      <c r="B100" s="24" t="s">
        <v>450</v>
      </c>
      <c r="D100" s="24" t="s">
        <v>451</v>
      </c>
    </row>
    <row r="103">
      <c r="A103" s="44" t="s">
        <v>50</v>
      </c>
      <c r="B103" s="29">
        <v>45847.0</v>
      </c>
    </row>
    <row r="104">
      <c r="B104" s="21" t="s">
        <v>4</v>
      </c>
      <c r="C104" s="21" t="s">
        <v>5</v>
      </c>
      <c r="D104" s="21" t="s">
        <v>6</v>
      </c>
      <c r="E104" s="21" t="s">
        <v>7</v>
      </c>
    </row>
    <row r="105">
      <c r="A105" s="22" t="s">
        <v>91</v>
      </c>
      <c r="B105" s="11">
        <f t="shared" ref="B105:E105" si="20">B88+0.1</f>
        <v>58.4</v>
      </c>
      <c r="C105" s="11">
        <f t="shared" si="20"/>
        <v>57.2</v>
      </c>
      <c r="D105" s="11">
        <f t="shared" si="20"/>
        <v>63.2</v>
      </c>
      <c r="E105" s="11">
        <f t="shared" si="20"/>
        <v>60.7</v>
      </c>
    </row>
    <row r="106">
      <c r="A106" s="22" t="s">
        <v>92</v>
      </c>
      <c r="B106" s="24">
        <v>7.0</v>
      </c>
      <c r="C106" s="24">
        <v>9.0</v>
      </c>
      <c r="D106" s="24">
        <v>8.0</v>
      </c>
      <c r="E106" s="24">
        <v>7.0</v>
      </c>
    </row>
    <row r="107">
      <c r="A107" s="22" t="s">
        <v>93</v>
      </c>
      <c r="B107" s="24">
        <f>B90-B106</f>
        <v>21117</v>
      </c>
      <c r="C107" s="24">
        <f>C90-C106-8</f>
        <v>20946</v>
      </c>
      <c r="D107" s="24">
        <f>D90-D106-2</f>
        <v>20826</v>
      </c>
      <c r="E107" s="24">
        <f>E90-E106-3</f>
        <v>21092</v>
      </c>
    </row>
    <row r="108">
      <c r="A108" s="22" t="s">
        <v>94</v>
      </c>
      <c r="B108" s="23">
        <f t="shared" ref="B108:E108" si="21">B114*30</f>
        <v>19440</v>
      </c>
      <c r="C108" s="23">
        <f t="shared" si="21"/>
        <v>19320</v>
      </c>
      <c r="D108" s="23">
        <f t="shared" si="21"/>
        <v>18690</v>
      </c>
      <c r="E108" s="23">
        <f t="shared" si="21"/>
        <v>19350</v>
      </c>
    </row>
    <row r="109">
      <c r="A109" s="22" t="s">
        <v>95</v>
      </c>
      <c r="B109" s="24">
        <v>11.0</v>
      </c>
      <c r="C109" s="24">
        <v>15.0</v>
      </c>
      <c r="D109" s="24">
        <v>17.0</v>
      </c>
      <c r="E109" s="24">
        <v>23.0</v>
      </c>
    </row>
    <row r="110">
      <c r="A110" s="22" t="s">
        <v>96</v>
      </c>
      <c r="B110" s="24">
        <v>10.0</v>
      </c>
      <c r="C110" s="24">
        <v>5.0</v>
      </c>
      <c r="D110" s="24">
        <v>5.0</v>
      </c>
      <c r="E110" s="24">
        <v>4.0</v>
      </c>
    </row>
    <row r="111">
      <c r="A111" s="22" t="s">
        <v>111</v>
      </c>
      <c r="B111" s="24">
        <v>0.0</v>
      </c>
      <c r="C111" s="24">
        <v>0.0</v>
      </c>
      <c r="D111" s="24">
        <v>0.0</v>
      </c>
      <c r="E111" s="24">
        <v>0.0</v>
      </c>
    </row>
    <row r="112">
      <c r="A112" s="22" t="s">
        <v>98</v>
      </c>
      <c r="B112" s="24">
        <v>1.0</v>
      </c>
      <c r="C112" s="24">
        <v>2.0</v>
      </c>
      <c r="D112" s="24">
        <v>1.0</v>
      </c>
      <c r="E112" s="24">
        <v>1.0</v>
      </c>
    </row>
    <row r="113">
      <c r="A113" s="22" t="s">
        <v>112</v>
      </c>
      <c r="B113" s="26">
        <f t="shared" ref="B113:E113" si="22">round(((B108/B107)*100),2)</f>
        <v>92.06</v>
      </c>
      <c r="C113" s="26">
        <f t="shared" si="22"/>
        <v>92.24</v>
      </c>
      <c r="D113" s="26">
        <f t="shared" si="22"/>
        <v>89.74</v>
      </c>
      <c r="E113" s="26">
        <f t="shared" si="22"/>
        <v>91.74</v>
      </c>
    </row>
    <row r="114">
      <c r="A114" s="22" t="s">
        <v>100</v>
      </c>
      <c r="B114" s="24">
        <v>648.0</v>
      </c>
      <c r="C114" s="24">
        <v>644.0</v>
      </c>
      <c r="D114" s="24">
        <v>623.0</v>
      </c>
      <c r="E114" s="24">
        <v>645.0</v>
      </c>
    </row>
    <row r="115">
      <c r="A115" s="11" t="s">
        <v>471</v>
      </c>
    </row>
    <row r="116">
      <c r="A116" s="25" t="s">
        <v>178</v>
      </c>
      <c r="B116" s="24" t="s">
        <v>483</v>
      </c>
      <c r="C116" s="24" t="s">
        <v>107</v>
      </c>
      <c r="D116" s="24"/>
      <c r="E116" s="24"/>
    </row>
    <row r="117">
      <c r="A117" s="22" t="s">
        <v>103</v>
      </c>
      <c r="B117" s="24" t="s">
        <v>454</v>
      </c>
      <c r="D117" s="24" t="s">
        <v>455</v>
      </c>
    </row>
    <row r="118">
      <c r="A118" s="30"/>
      <c r="B118" s="31"/>
      <c r="C118" s="31"/>
      <c r="D118" s="31"/>
      <c r="E118" s="24"/>
    </row>
    <row r="119">
      <c r="A119" s="30"/>
      <c r="B119" s="31"/>
      <c r="C119" s="31"/>
      <c r="D119" s="31"/>
      <c r="E119" s="24"/>
    </row>
    <row r="120">
      <c r="A120" s="44" t="s">
        <v>50</v>
      </c>
      <c r="B120" s="29">
        <v>45878.0</v>
      </c>
    </row>
    <row r="121">
      <c r="B121" s="21" t="s">
        <v>4</v>
      </c>
      <c r="C121" s="21" t="s">
        <v>5</v>
      </c>
      <c r="D121" s="21" t="s">
        <v>6</v>
      </c>
      <c r="E121" s="21" t="s">
        <v>7</v>
      </c>
    </row>
    <row r="122">
      <c r="A122" s="22" t="s">
        <v>91</v>
      </c>
      <c r="B122" s="11">
        <f t="shared" ref="B122:D122" si="23">B105+0.1</f>
        <v>58.5</v>
      </c>
      <c r="C122" s="11">
        <f t="shared" si="23"/>
        <v>57.3</v>
      </c>
      <c r="D122" s="11">
        <f t="shared" si="23"/>
        <v>63.3</v>
      </c>
      <c r="E122" s="11">
        <v>61.1</v>
      </c>
      <c r="G122" s="11" t="s">
        <v>334</v>
      </c>
    </row>
    <row r="123">
      <c r="A123" s="22" t="s">
        <v>92</v>
      </c>
      <c r="B123" s="24">
        <v>4.0</v>
      </c>
      <c r="C123" s="24">
        <v>6.0</v>
      </c>
      <c r="D123" s="24">
        <v>4.0</v>
      </c>
      <c r="E123" s="24">
        <v>5.0</v>
      </c>
    </row>
    <row r="124">
      <c r="A124" s="22" t="s">
        <v>93</v>
      </c>
      <c r="B124" s="24">
        <f>B107-B123</f>
        <v>21113</v>
      </c>
      <c r="C124" s="24">
        <f>C107-C123-8</f>
        <v>20932</v>
      </c>
      <c r="D124" s="24">
        <f>D107-D123-2</f>
        <v>20820</v>
      </c>
      <c r="E124" s="24">
        <f>E107-E123-3</f>
        <v>21084</v>
      </c>
    </row>
    <row r="125">
      <c r="A125" s="22" t="s">
        <v>94</v>
      </c>
      <c r="B125" s="23">
        <f t="shared" ref="B125:E125" si="24">B131*30</f>
        <v>19440</v>
      </c>
      <c r="C125" s="23">
        <f t="shared" si="24"/>
        <v>19110</v>
      </c>
      <c r="D125" s="23">
        <f t="shared" si="24"/>
        <v>18840</v>
      </c>
      <c r="E125" s="23">
        <f t="shared" si="24"/>
        <v>19350</v>
      </c>
    </row>
    <row r="126">
      <c r="A126" s="22" t="s">
        <v>95</v>
      </c>
      <c r="B126" s="24">
        <v>15.0</v>
      </c>
      <c r="C126" s="24">
        <v>25.0</v>
      </c>
      <c r="D126" s="24">
        <v>21.0</v>
      </c>
      <c r="E126" s="24">
        <v>18.0</v>
      </c>
    </row>
    <row r="127">
      <c r="A127" s="22" t="s">
        <v>96</v>
      </c>
      <c r="B127" s="24">
        <v>18.0</v>
      </c>
      <c r="C127" s="24">
        <v>8.0</v>
      </c>
      <c r="D127" s="24">
        <v>7.0</v>
      </c>
      <c r="E127" s="24">
        <v>4.0</v>
      </c>
    </row>
    <row r="128">
      <c r="A128" s="22" t="s">
        <v>111</v>
      </c>
      <c r="B128" s="24">
        <v>110.0</v>
      </c>
      <c r="C128" s="24">
        <v>110.0</v>
      </c>
      <c r="D128" s="24">
        <v>110.0</v>
      </c>
      <c r="E128" s="24">
        <v>110.0</v>
      </c>
    </row>
    <row r="129">
      <c r="A129" s="22" t="s">
        <v>98</v>
      </c>
      <c r="B129" s="24">
        <v>2.0</v>
      </c>
      <c r="C129" s="24">
        <v>1.0</v>
      </c>
      <c r="D129" s="24">
        <v>1.0</v>
      </c>
      <c r="E129" s="24">
        <v>1.0</v>
      </c>
    </row>
    <row r="130">
      <c r="A130" s="22" t="s">
        <v>112</v>
      </c>
      <c r="B130" s="26">
        <f t="shared" ref="B130:E130" si="25">round(((B125/B124)*100),2)</f>
        <v>92.08</v>
      </c>
      <c r="C130" s="26">
        <f t="shared" si="25"/>
        <v>91.3</v>
      </c>
      <c r="D130" s="26">
        <f t="shared" si="25"/>
        <v>90.49</v>
      </c>
      <c r="E130" s="26">
        <f t="shared" si="25"/>
        <v>91.78</v>
      </c>
    </row>
    <row r="131">
      <c r="A131" s="22" t="s">
        <v>100</v>
      </c>
      <c r="B131" s="24">
        <v>648.0</v>
      </c>
      <c r="C131" s="24">
        <v>637.0</v>
      </c>
      <c r="D131" s="24">
        <v>628.0</v>
      </c>
      <c r="E131" s="24">
        <v>645.0</v>
      </c>
    </row>
    <row r="132">
      <c r="A132" s="11" t="s">
        <v>471</v>
      </c>
    </row>
    <row r="133">
      <c r="A133" s="25" t="s">
        <v>178</v>
      </c>
      <c r="B133" s="24" t="s">
        <v>472</v>
      </c>
      <c r="C133" s="24" t="s">
        <v>185</v>
      </c>
    </row>
    <row r="134">
      <c r="A134" s="22" t="s">
        <v>103</v>
      </c>
      <c r="B134" s="24" t="s">
        <v>485</v>
      </c>
      <c r="D134" s="24" t="s">
        <v>458</v>
      </c>
    </row>
    <row r="137">
      <c r="A137" s="44" t="s">
        <v>50</v>
      </c>
      <c r="B137" s="29">
        <v>45909.0</v>
      </c>
    </row>
    <row r="138">
      <c r="B138" s="21" t="s">
        <v>4</v>
      </c>
      <c r="C138" s="21" t="s">
        <v>5</v>
      </c>
      <c r="D138" s="21" t="s">
        <v>6</v>
      </c>
      <c r="E138" s="21" t="s">
        <v>7</v>
      </c>
    </row>
    <row r="139">
      <c r="A139" s="22" t="s">
        <v>91</v>
      </c>
      <c r="B139" s="24">
        <v>58.6</v>
      </c>
      <c r="C139" s="24">
        <v>57.4</v>
      </c>
      <c r="D139" s="24">
        <v>63.4</v>
      </c>
      <c r="E139" s="24">
        <v>61.2</v>
      </c>
    </row>
    <row r="140">
      <c r="A140" s="22" t="s">
        <v>92</v>
      </c>
      <c r="B140" s="24">
        <v>4.0</v>
      </c>
      <c r="C140" s="24">
        <v>3.0</v>
      </c>
      <c r="D140" s="24">
        <v>4.0</v>
      </c>
      <c r="E140" s="24">
        <v>8.0</v>
      </c>
      <c r="G140" s="11" t="s">
        <v>459</v>
      </c>
    </row>
    <row r="141">
      <c r="A141" s="22" t="s">
        <v>93</v>
      </c>
      <c r="B141" s="24">
        <f t="shared" ref="B141:E141" si="26">B124-B140</f>
        <v>21109</v>
      </c>
      <c r="C141" s="24">
        <f t="shared" si="26"/>
        <v>20929</v>
      </c>
      <c r="D141" s="24">
        <f t="shared" si="26"/>
        <v>20816</v>
      </c>
      <c r="E141" s="24">
        <f t="shared" si="26"/>
        <v>21076</v>
      </c>
    </row>
    <row r="142">
      <c r="A142" s="22" t="s">
        <v>94</v>
      </c>
      <c r="B142" s="23">
        <f t="shared" ref="B142:E142" si="27">B148*30</f>
        <v>19380</v>
      </c>
      <c r="C142" s="23">
        <f t="shared" si="27"/>
        <v>18690</v>
      </c>
      <c r="D142" s="23">
        <f t="shared" si="27"/>
        <v>18900</v>
      </c>
      <c r="E142" s="23">
        <f t="shared" si="27"/>
        <v>18840</v>
      </c>
    </row>
    <row r="143">
      <c r="A143" s="22" t="s">
        <v>95</v>
      </c>
      <c r="B143" s="24">
        <v>18.0</v>
      </c>
      <c r="C143" s="24">
        <v>25.0</v>
      </c>
      <c r="D143" s="24">
        <v>8.0</v>
      </c>
      <c r="E143" s="24">
        <v>20.0</v>
      </c>
    </row>
    <row r="144">
      <c r="A144" s="22" t="s">
        <v>96</v>
      </c>
      <c r="B144" s="24">
        <v>8.0</v>
      </c>
      <c r="C144" s="24">
        <v>8.0</v>
      </c>
      <c r="D144" s="24">
        <v>5.0</v>
      </c>
      <c r="E144" s="24">
        <v>8.0</v>
      </c>
    </row>
    <row r="145">
      <c r="A145" s="22" t="s">
        <v>111</v>
      </c>
      <c r="B145" s="24">
        <v>0.0</v>
      </c>
      <c r="C145" s="24">
        <v>0.0</v>
      </c>
      <c r="D145" s="24">
        <v>0.0</v>
      </c>
      <c r="E145" s="24">
        <v>0.0</v>
      </c>
    </row>
    <row r="146">
      <c r="A146" s="22" t="s">
        <v>98</v>
      </c>
      <c r="B146" s="24">
        <v>1.0</v>
      </c>
      <c r="C146" s="24">
        <v>1.0</v>
      </c>
      <c r="D146" s="24">
        <v>1.0</v>
      </c>
      <c r="E146" s="24">
        <v>1.0</v>
      </c>
    </row>
    <row r="147">
      <c r="A147" s="22" t="s">
        <v>112</v>
      </c>
      <c r="B147" s="26">
        <f t="shared" ref="B147:E147" si="28">round(((B142/B141)*100),2)</f>
        <v>91.81</v>
      </c>
      <c r="C147" s="26">
        <f t="shared" si="28"/>
        <v>89.3</v>
      </c>
      <c r="D147" s="26">
        <f t="shared" si="28"/>
        <v>90.8</v>
      </c>
      <c r="E147" s="26">
        <f t="shared" si="28"/>
        <v>89.39</v>
      </c>
    </row>
    <row r="148">
      <c r="A148" s="22" t="s">
        <v>100</v>
      </c>
      <c r="B148" s="24">
        <v>646.0</v>
      </c>
      <c r="C148" s="24">
        <v>623.0</v>
      </c>
      <c r="D148" s="24">
        <v>630.0</v>
      </c>
      <c r="E148" s="24">
        <v>628.0</v>
      </c>
    </row>
    <row r="149">
      <c r="A149" s="11" t="s">
        <v>471</v>
      </c>
    </row>
    <row r="150">
      <c r="A150" s="25" t="s">
        <v>178</v>
      </c>
      <c r="B150" s="24" t="s">
        <v>181</v>
      </c>
      <c r="C150" s="24" t="s">
        <v>486</v>
      </c>
    </row>
    <row r="151">
      <c r="A151" s="22" t="s">
        <v>103</v>
      </c>
      <c r="B151" s="24" t="s">
        <v>461</v>
      </c>
      <c r="D151" s="24" t="s">
        <v>462</v>
      </c>
    </row>
    <row r="154">
      <c r="A154" s="44" t="s">
        <v>50</v>
      </c>
      <c r="B154" s="29">
        <v>45939.0</v>
      </c>
    </row>
    <row r="155">
      <c r="B155" s="21" t="s">
        <v>4</v>
      </c>
      <c r="C155" s="21" t="s">
        <v>5</v>
      </c>
      <c r="D155" s="21" t="s">
        <v>6</v>
      </c>
      <c r="E155" s="21" t="s">
        <v>7</v>
      </c>
    </row>
    <row r="156">
      <c r="A156" s="22" t="s">
        <v>91</v>
      </c>
      <c r="B156" s="24">
        <f t="shared" ref="B156:E156" si="29">B139+0.1</f>
        <v>58.7</v>
      </c>
      <c r="C156" s="24">
        <f t="shared" si="29"/>
        <v>57.5</v>
      </c>
      <c r="D156" s="24">
        <f t="shared" si="29"/>
        <v>63.5</v>
      </c>
      <c r="E156" s="24">
        <f t="shared" si="29"/>
        <v>61.3</v>
      </c>
      <c r="G156" s="11" t="s">
        <v>463</v>
      </c>
    </row>
    <row r="157">
      <c r="A157" s="22" t="s">
        <v>92</v>
      </c>
      <c r="B157" s="24">
        <v>4.0</v>
      </c>
      <c r="C157" s="24">
        <v>3.0</v>
      </c>
      <c r="D157" s="24">
        <v>4.0</v>
      </c>
      <c r="E157" s="24">
        <v>6.0</v>
      </c>
      <c r="G157" s="11" t="s">
        <v>464</v>
      </c>
    </row>
    <row r="158">
      <c r="A158" s="22" t="s">
        <v>93</v>
      </c>
      <c r="B158" s="24">
        <f t="shared" ref="B158:E158" si="30">B141-B157</f>
        <v>21105</v>
      </c>
      <c r="C158" s="24">
        <f t="shared" si="30"/>
        <v>20926</v>
      </c>
      <c r="D158" s="24">
        <f t="shared" si="30"/>
        <v>20812</v>
      </c>
      <c r="E158" s="24">
        <f t="shared" si="30"/>
        <v>21070</v>
      </c>
      <c r="G158" s="11" t="s">
        <v>334</v>
      </c>
    </row>
    <row r="159">
      <c r="A159" s="22" t="s">
        <v>94</v>
      </c>
      <c r="B159" s="23">
        <f t="shared" ref="B159:E159" si="31">B165*30</f>
        <v>19200</v>
      </c>
      <c r="C159" s="23">
        <f t="shared" si="31"/>
        <v>19050</v>
      </c>
      <c r="D159" s="23">
        <f t="shared" si="31"/>
        <v>18780</v>
      </c>
      <c r="E159" s="23">
        <f t="shared" si="31"/>
        <v>19230</v>
      </c>
      <c r="G159" s="11" t="s">
        <v>465</v>
      </c>
    </row>
    <row r="160">
      <c r="A160" s="22" t="s">
        <v>95</v>
      </c>
      <c r="B160" s="24">
        <v>15.0</v>
      </c>
      <c r="C160" s="24">
        <v>25.0</v>
      </c>
      <c r="D160" s="24">
        <v>20.0</v>
      </c>
      <c r="E160" s="24">
        <v>15.0</v>
      </c>
    </row>
    <row r="161">
      <c r="A161" s="22" t="s">
        <v>96</v>
      </c>
      <c r="B161" s="24">
        <v>9.0</v>
      </c>
      <c r="C161" s="24">
        <v>6.0</v>
      </c>
      <c r="D161" s="24">
        <v>6.0</v>
      </c>
      <c r="E161" s="24">
        <v>5.0</v>
      </c>
    </row>
    <row r="162">
      <c r="A162" s="22" t="s">
        <v>111</v>
      </c>
      <c r="B162" s="24">
        <v>0.0</v>
      </c>
      <c r="C162" s="24">
        <v>0.0</v>
      </c>
      <c r="D162" s="24">
        <v>0.0</v>
      </c>
      <c r="E162" s="24">
        <v>0.0</v>
      </c>
    </row>
    <row r="163">
      <c r="A163" s="22" t="s">
        <v>98</v>
      </c>
      <c r="B163" s="24">
        <v>1.0</v>
      </c>
      <c r="C163" s="24">
        <v>1.0</v>
      </c>
      <c r="D163" s="24">
        <v>1.0</v>
      </c>
      <c r="E163" s="24">
        <v>1.0</v>
      </c>
    </row>
    <row r="164">
      <c r="A164" s="22" t="s">
        <v>112</v>
      </c>
      <c r="B164" s="26">
        <f t="shared" ref="B164:E164" si="32">round(((B159/B158)*100),2)</f>
        <v>90.97</v>
      </c>
      <c r="C164" s="26">
        <f t="shared" si="32"/>
        <v>91.04</v>
      </c>
      <c r="D164" s="26">
        <f t="shared" si="32"/>
        <v>90.24</v>
      </c>
      <c r="E164" s="26">
        <f t="shared" si="32"/>
        <v>91.27</v>
      </c>
    </row>
    <row r="165">
      <c r="A165" s="22" t="s">
        <v>100</v>
      </c>
      <c r="B165" s="24">
        <v>640.0</v>
      </c>
      <c r="C165" s="24">
        <v>635.0</v>
      </c>
      <c r="D165" s="24">
        <v>626.0</v>
      </c>
      <c r="E165" s="24">
        <v>641.0</v>
      </c>
    </row>
    <row r="166">
      <c r="A166" s="11" t="s">
        <v>471</v>
      </c>
    </row>
    <row r="167">
      <c r="A167" s="25" t="s">
        <v>178</v>
      </c>
      <c r="B167" s="24" t="s">
        <v>487</v>
      </c>
      <c r="C167" s="24" t="s">
        <v>480</v>
      </c>
    </row>
    <row r="168">
      <c r="A168" s="22" t="s">
        <v>103</v>
      </c>
      <c r="B168" s="24" t="s">
        <v>467</v>
      </c>
      <c r="D168" s="24" t="s">
        <v>468</v>
      </c>
    </row>
    <row r="171">
      <c r="A171" s="44" t="s">
        <v>50</v>
      </c>
      <c r="B171" s="29">
        <v>45970.0</v>
      </c>
    </row>
    <row r="172">
      <c r="B172" s="21" t="s">
        <v>4</v>
      </c>
      <c r="C172" s="21" t="s">
        <v>5</v>
      </c>
      <c r="D172" s="21" t="s">
        <v>6</v>
      </c>
      <c r="E172" s="21" t="s">
        <v>7</v>
      </c>
    </row>
    <row r="173">
      <c r="A173" s="22" t="s">
        <v>91</v>
      </c>
      <c r="B173" s="24">
        <v>59.1</v>
      </c>
      <c r="C173" s="24">
        <f t="shared" ref="C173:E173" si="33">C156+0.1</f>
        <v>57.6</v>
      </c>
      <c r="D173" s="24">
        <f t="shared" si="33"/>
        <v>63.6</v>
      </c>
      <c r="E173" s="24">
        <f t="shared" si="33"/>
        <v>61.4</v>
      </c>
    </row>
    <row r="174">
      <c r="A174" s="22" t="s">
        <v>92</v>
      </c>
      <c r="B174" s="24">
        <v>6.0</v>
      </c>
      <c r="C174" s="24">
        <v>7.0</v>
      </c>
      <c r="D174" s="24">
        <v>6.0</v>
      </c>
      <c r="E174" s="24">
        <v>9.0</v>
      </c>
    </row>
    <row r="175">
      <c r="A175" s="22" t="s">
        <v>93</v>
      </c>
      <c r="B175" s="24">
        <f t="shared" ref="B175:E175" si="34">B158-B174</f>
        <v>21099</v>
      </c>
      <c r="C175" s="24">
        <f t="shared" si="34"/>
        <v>20919</v>
      </c>
      <c r="D175" s="24">
        <f t="shared" si="34"/>
        <v>20806</v>
      </c>
      <c r="E175" s="24">
        <f t="shared" si="34"/>
        <v>21061</v>
      </c>
    </row>
    <row r="176">
      <c r="A176" s="22" t="s">
        <v>94</v>
      </c>
      <c r="B176" s="23">
        <f t="shared" ref="B176:E176" si="35">B182*30</f>
        <v>19200</v>
      </c>
      <c r="C176" s="23">
        <f t="shared" si="35"/>
        <v>19200</v>
      </c>
      <c r="D176" s="23">
        <f t="shared" si="35"/>
        <v>18600</v>
      </c>
      <c r="E176" s="23">
        <f t="shared" si="35"/>
        <v>18960</v>
      </c>
    </row>
    <row r="177">
      <c r="A177" s="22" t="s">
        <v>95</v>
      </c>
      <c r="B177" s="24">
        <v>25.0</v>
      </c>
      <c r="C177" s="24">
        <v>20.0</v>
      </c>
      <c r="D177" s="24">
        <v>20.0</v>
      </c>
      <c r="E177" s="24">
        <v>28.0</v>
      </c>
    </row>
    <row r="178">
      <c r="A178" s="22" t="s">
        <v>96</v>
      </c>
      <c r="B178" s="24">
        <v>5.0</v>
      </c>
      <c r="C178" s="24">
        <v>6.0</v>
      </c>
      <c r="D178" s="24">
        <v>3.0</v>
      </c>
      <c r="E178" s="24">
        <v>7.0</v>
      </c>
    </row>
    <row r="179">
      <c r="A179" s="22" t="s">
        <v>111</v>
      </c>
      <c r="B179" s="24">
        <v>110.0</v>
      </c>
      <c r="C179" s="24">
        <v>110.0</v>
      </c>
      <c r="D179" s="24">
        <v>110.0</v>
      </c>
      <c r="E179" s="24">
        <v>110.0</v>
      </c>
    </row>
    <row r="180">
      <c r="A180" s="22" t="s">
        <v>98</v>
      </c>
      <c r="B180" s="24">
        <v>1.0</v>
      </c>
      <c r="C180" s="24">
        <v>1.0</v>
      </c>
      <c r="D180" s="24">
        <v>1.0</v>
      </c>
      <c r="E180" s="24">
        <v>1.0</v>
      </c>
    </row>
    <row r="181">
      <c r="A181" s="22" t="s">
        <v>112</v>
      </c>
      <c r="B181" s="26">
        <f t="shared" ref="B181:E181" si="36">round(((B176/B175)*100),2)</f>
        <v>91</v>
      </c>
      <c r="C181" s="26">
        <f t="shared" si="36"/>
        <v>91.78</v>
      </c>
      <c r="D181" s="26">
        <f t="shared" si="36"/>
        <v>89.4</v>
      </c>
      <c r="E181" s="26">
        <f t="shared" si="36"/>
        <v>90.02</v>
      </c>
    </row>
    <row r="182">
      <c r="A182" s="22" t="s">
        <v>100</v>
      </c>
      <c r="B182" s="24">
        <v>640.0</v>
      </c>
      <c r="C182" s="24">
        <v>640.0</v>
      </c>
      <c r="D182" s="24">
        <v>620.0</v>
      </c>
      <c r="E182" s="24">
        <v>632.0</v>
      </c>
    </row>
    <row r="183">
      <c r="A183" s="11" t="s">
        <v>471</v>
      </c>
      <c r="C183" s="3">
        <v>-11.0</v>
      </c>
      <c r="D183" s="3">
        <v>-3.0</v>
      </c>
    </row>
    <row r="184">
      <c r="A184" s="25" t="s">
        <v>178</v>
      </c>
      <c r="B184" s="24" t="s">
        <v>488</v>
      </c>
      <c r="C184" s="24" t="s">
        <v>480</v>
      </c>
    </row>
    <row r="185">
      <c r="A185" s="22" t="s">
        <v>103</v>
      </c>
      <c r="B185" s="24" t="s">
        <v>489</v>
      </c>
      <c r="D185" s="24" t="s">
        <v>490</v>
      </c>
    </row>
    <row r="188">
      <c r="A188" s="44" t="s">
        <v>50</v>
      </c>
      <c r="B188" s="29">
        <v>46000.0</v>
      </c>
    </row>
    <row r="189">
      <c r="B189" s="21" t="s">
        <v>4</v>
      </c>
      <c r="C189" s="21" t="s">
        <v>5</v>
      </c>
      <c r="D189" s="21" t="s">
        <v>6</v>
      </c>
      <c r="E189" s="21" t="s">
        <v>7</v>
      </c>
    </row>
    <row r="190">
      <c r="A190" s="22" t="s">
        <v>91</v>
      </c>
      <c r="B190" s="24">
        <f t="shared" ref="B190:E190" si="37">B173+0.1</f>
        <v>59.2</v>
      </c>
      <c r="C190" s="24">
        <f t="shared" si="37"/>
        <v>57.7</v>
      </c>
      <c r="D190" s="24">
        <f t="shared" si="37"/>
        <v>63.7</v>
      </c>
      <c r="E190" s="24">
        <f t="shared" si="37"/>
        <v>61.5</v>
      </c>
    </row>
    <row r="191">
      <c r="A191" s="22" t="s">
        <v>92</v>
      </c>
      <c r="B191" s="24">
        <v>4.0</v>
      </c>
      <c r="C191" s="24">
        <v>4.0</v>
      </c>
      <c r="D191" s="24">
        <v>7.0</v>
      </c>
      <c r="E191" s="24">
        <v>6.0</v>
      </c>
    </row>
    <row r="192">
      <c r="A192" s="22" t="s">
        <v>93</v>
      </c>
      <c r="B192" s="24">
        <f>B175-C191</f>
        <v>21095</v>
      </c>
      <c r="C192" s="24">
        <f>C175-C191-11</f>
        <v>20904</v>
      </c>
      <c r="D192" s="24">
        <f>D175-D191-3</f>
        <v>20796</v>
      </c>
      <c r="E192" s="24">
        <f>E175-E191</f>
        <v>21055</v>
      </c>
    </row>
    <row r="193">
      <c r="A193" s="22" t="s">
        <v>94</v>
      </c>
      <c r="B193" s="23">
        <f t="shared" ref="B193:E193" si="38">B199*30</f>
        <v>19140</v>
      </c>
      <c r="C193" s="23">
        <f t="shared" si="38"/>
        <v>18780</v>
      </c>
      <c r="D193" s="23">
        <f t="shared" si="38"/>
        <v>18600</v>
      </c>
      <c r="E193" s="23">
        <f t="shared" si="38"/>
        <v>18990</v>
      </c>
    </row>
    <row r="194">
      <c r="A194" s="22" t="s">
        <v>95</v>
      </c>
      <c r="B194" s="24">
        <v>11.0</v>
      </c>
      <c r="C194" s="24">
        <v>23.0</v>
      </c>
      <c r="D194" s="24">
        <v>13.0</v>
      </c>
      <c r="E194" s="24">
        <v>5.0</v>
      </c>
    </row>
    <row r="195">
      <c r="A195" s="22" t="s">
        <v>96</v>
      </c>
      <c r="B195" s="24">
        <v>8.0</v>
      </c>
      <c r="C195" s="24">
        <v>5.0</v>
      </c>
      <c r="D195" s="24">
        <v>5.0</v>
      </c>
      <c r="E195" s="24">
        <v>3.0</v>
      </c>
    </row>
    <row r="196">
      <c r="A196" s="22" t="s">
        <v>111</v>
      </c>
      <c r="B196" s="24">
        <v>0.0</v>
      </c>
      <c r="C196" s="24">
        <v>0.0</v>
      </c>
      <c r="D196" s="24">
        <v>0.0</v>
      </c>
      <c r="E196" s="24">
        <v>0.0</v>
      </c>
    </row>
    <row r="197">
      <c r="A197" s="22" t="s">
        <v>98</v>
      </c>
      <c r="B197" s="24">
        <v>1.0</v>
      </c>
      <c r="C197" s="24">
        <v>1.0</v>
      </c>
      <c r="D197" s="24">
        <v>1.0</v>
      </c>
      <c r="E197" s="24">
        <v>1.0</v>
      </c>
    </row>
    <row r="198">
      <c r="A198" s="22" t="s">
        <v>112</v>
      </c>
      <c r="B198" s="26">
        <f t="shared" ref="B198:E198" si="39">round(((B193/B192)*100),2)</f>
        <v>90.73</v>
      </c>
      <c r="C198" s="26">
        <f t="shared" si="39"/>
        <v>89.84</v>
      </c>
      <c r="D198" s="26">
        <f t="shared" si="39"/>
        <v>89.44</v>
      </c>
      <c r="E198" s="26">
        <f t="shared" si="39"/>
        <v>90.19</v>
      </c>
    </row>
    <row r="199">
      <c r="A199" s="22" t="s">
        <v>100</v>
      </c>
      <c r="B199" s="24">
        <v>638.0</v>
      </c>
      <c r="C199" s="24">
        <v>626.0</v>
      </c>
      <c r="D199" s="24">
        <v>620.0</v>
      </c>
      <c r="E199" s="24">
        <v>633.0</v>
      </c>
    </row>
    <row r="200">
      <c r="A200" s="11" t="s">
        <v>471</v>
      </c>
    </row>
    <row r="201">
      <c r="A201" s="25" t="s">
        <v>178</v>
      </c>
      <c r="B201" s="24" t="s">
        <v>491</v>
      </c>
      <c r="C201" s="24" t="s">
        <v>492</v>
      </c>
    </row>
    <row r="202">
      <c r="A202" s="22" t="s">
        <v>103</v>
      </c>
      <c r="B202" s="24" t="s">
        <v>493</v>
      </c>
      <c r="D202" s="24" t="s">
        <v>494</v>
      </c>
    </row>
    <row r="205">
      <c r="A205" s="44" t="s">
        <v>50</v>
      </c>
      <c r="B205" s="20" t="s">
        <v>495</v>
      </c>
    </row>
    <row r="206">
      <c r="B206" s="21" t="s">
        <v>4</v>
      </c>
      <c r="C206" s="21" t="s">
        <v>5</v>
      </c>
      <c r="D206" s="21" t="s">
        <v>6</v>
      </c>
      <c r="E206" s="21" t="s">
        <v>7</v>
      </c>
    </row>
    <row r="207">
      <c r="A207" s="22" t="s">
        <v>91</v>
      </c>
      <c r="B207" s="24">
        <f>B190+0.1</f>
        <v>59.3</v>
      </c>
      <c r="C207" s="24">
        <v>58.1</v>
      </c>
      <c r="D207" s="24">
        <v>64.1</v>
      </c>
      <c r="E207" s="24">
        <f>E190+0.1</f>
        <v>61.6</v>
      </c>
    </row>
    <row r="208">
      <c r="A208" s="22" t="s">
        <v>92</v>
      </c>
      <c r="B208" s="24">
        <v>6.0</v>
      </c>
      <c r="C208" s="24">
        <v>2.0</v>
      </c>
      <c r="D208" s="24">
        <v>8.0</v>
      </c>
      <c r="E208" s="24">
        <v>5.0</v>
      </c>
    </row>
    <row r="209">
      <c r="A209" s="22" t="s">
        <v>93</v>
      </c>
      <c r="B209" s="24">
        <f t="shared" ref="B209:E209" si="40">B192-B208</f>
        <v>21089</v>
      </c>
      <c r="C209" s="24">
        <f t="shared" si="40"/>
        <v>20902</v>
      </c>
      <c r="D209" s="24">
        <f t="shared" si="40"/>
        <v>20788</v>
      </c>
      <c r="E209" s="24">
        <f t="shared" si="40"/>
        <v>21050</v>
      </c>
    </row>
    <row r="210">
      <c r="A210" s="22" t="s">
        <v>94</v>
      </c>
      <c r="B210" s="23">
        <f t="shared" ref="B210:E210" si="41">B216*30</f>
        <v>19140</v>
      </c>
      <c r="C210" s="23">
        <f t="shared" si="41"/>
        <v>18870</v>
      </c>
      <c r="D210" s="23">
        <f t="shared" si="41"/>
        <v>18420</v>
      </c>
      <c r="E210" s="23">
        <f t="shared" si="41"/>
        <v>18870</v>
      </c>
    </row>
    <row r="211">
      <c r="A211" s="22" t="s">
        <v>95</v>
      </c>
      <c r="B211" s="24">
        <v>9.0</v>
      </c>
      <c r="C211" s="24">
        <v>15.0</v>
      </c>
      <c r="D211" s="24">
        <v>12.0</v>
      </c>
      <c r="E211" s="24">
        <v>7.0</v>
      </c>
    </row>
    <row r="212">
      <c r="A212" s="22" t="s">
        <v>96</v>
      </c>
      <c r="B212" s="24">
        <v>6.0</v>
      </c>
      <c r="C212" s="24">
        <v>4.0</v>
      </c>
      <c r="D212" s="24">
        <v>5.0</v>
      </c>
      <c r="E212" s="24">
        <v>4.0</v>
      </c>
    </row>
    <row r="213">
      <c r="A213" s="22" t="s">
        <v>111</v>
      </c>
      <c r="B213" s="24">
        <v>55.0</v>
      </c>
      <c r="C213" s="24">
        <v>55.0</v>
      </c>
      <c r="D213" s="24">
        <v>55.0</v>
      </c>
      <c r="E213" s="24">
        <v>55.0</v>
      </c>
    </row>
    <row r="214">
      <c r="A214" s="22" t="s">
        <v>98</v>
      </c>
      <c r="B214" s="24">
        <v>1.0</v>
      </c>
      <c r="C214" s="24">
        <v>1.0</v>
      </c>
      <c r="D214" s="24">
        <v>1.0</v>
      </c>
      <c r="E214" s="24">
        <v>1.0</v>
      </c>
    </row>
    <row r="215">
      <c r="A215" s="22" t="s">
        <v>112</v>
      </c>
      <c r="B215" s="26">
        <f t="shared" ref="B215:E215" si="42">round(((B210/B209)*100),2)</f>
        <v>90.76</v>
      </c>
      <c r="C215" s="26">
        <f t="shared" si="42"/>
        <v>90.28</v>
      </c>
      <c r="D215" s="26">
        <f t="shared" si="42"/>
        <v>88.61</v>
      </c>
      <c r="E215" s="26">
        <f t="shared" si="42"/>
        <v>89.64</v>
      </c>
    </row>
    <row r="216">
      <c r="A216" s="22" t="s">
        <v>100</v>
      </c>
      <c r="B216" s="24">
        <v>638.0</v>
      </c>
      <c r="C216" s="24">
        <v>629.0</v>
      </c>
      <c r="D216" s="24">
        <v>614.0</v>
      </c>
      <c r="E216" s="24">
        <v>629.0</v>
      </c>
    </row>
    <row r="217">
      <c r="A217" s="11" t="s">
        <v>471</v>
      </c>
    </row>
    <row r="218">
      <c r="A218" s="25" t="s">
        <v>178</v>
      </c>
      <c r="B218" s="24" t="s">
        <v>472</v>
      </c>
      <c r="C218" s="24" t="s">
        <v>496</v>
      </c>
    </row>
    <row r="219">
      <c r="A219" s="22" t="s">
        <v>103</v>
      </c>
      <c r="B219" s="24" t="s">
        <v>497</v>
      </c>
      <c r="D219" s="24" t="s">
        <v>498</v>
      </c>
    </row>
    <row r="222">
      <c r="A222" s="44" t="s">
        <v>50</v>
      </c>
      <c r="B222" s="20" t="s">
        <v>499</v>
      </c>
    </row>
    <row r="223">
      <c r="B223" s="21" t="s">
        <v>4</v>
      </c>
      <c r="C223" s="21" t="s">
        <v>5</v>
      </c>
      <c r="D223" s="21" t="s">
        <v>6</v>
      </c>
      <c r="E223" s="21" t="s">
        <v>7</v>
      </c>
    </row>
    <row r="224">
      <c r="A224" s="22" t="s">
        <v>91</v>
      </c>
      <c r="B224" s="24">
        <f>B207+0.1</f>
        <v>59.4</v>
      </c>
      <c r="C224" s="24">
        <v>58.2</v>
      </c>
      <c r="D224" s="24">
        <v>64.2</v>
      </c>
      <c r="E224" s="24">
        <f>E207+0.1</f>
        <v>61.7</v>
      </c>
    </row>
    <row r="225">
      <c r="A225" s="22" t="s">
        <v>92</v>
      </c>
      <c r="B225" s="24">
        <v>4.0</v>
      </c>
      <c r="C225" s="24">
        <v>6.0</v>
      </c>
      <c r="D225" s="24">
        <v>2.0</v>
      </c>
      <c r="E225" s="24">
        <v>5.0</v>
      </c>
      <c r="G225" s="3" t="s">
        <v>369</v>
      </c>
    </row>
    <row r="226">
      <c r="A226" s="22" t="s">
        <v>93</v>
      </c>
      <c r="B226" s="24">
        <f t="shared" ref="B226:E226" si="43">B209-B225</f>
        <v>21085</v>
      </c>
      <c r="C226" s="24">
        <f t="shared" si="43"/>
        <v>20896</v>
      </c>
      <c r="D226" s="24">
        <f t="shared" si="43"/>
        <v>20786</v>
      </c>
      <c r="E226" s="24">
        <f t="shared" si="43"/>
        <v>21045</v>
      </c>
    </row>
    <row r="227">
      <c r="A227" s="22" t="s">
        <v>94</v>
      </c>
      <c r="B227" s="23">
        <f t="shared" ref="B227:E227" si="44">B233*30</f>
        <v>19200</v>
      </c>
      <c r="C227" s="23">
        <f t="shared" si="44"/>
        <v>19080</v>
      </c>
      <c r="D227" s="23">
        <f t="shared" si="44"/>
        <v>18390</v>
      </c>
      <c r="E227" s="23">
        <f t="shared" si="44"/>
        <v>18900</v>
      </c>
    </row>
    <row r="228">
      <c r="A228" s="22" t="s">
        <v>95</v>
      </c>
      <c r="B228" s="24">
        <v>16.0</v>
      </c>
      <c r="C228" s="24">
        <v>10.0</v>
      </c>
      <c r="D228" s="24">
        <v>15.0</v>
      </c>
      <c r="E228" s="24">
        <v>8.0</v>
      </c>
    </row>
    <row r="229">
      <c r="A229" s="22" t="s">
        <v>96</v>
      </c>
      <c r="B229" s="24">
        <v>7.0</v>
      </c>
      <c r="C229" s="24">
        <v>7.0</v>
      </c>
      <c r="D229" s="24">
        <v>6.0</v>
      </c>
      <c r="E229" s="24">
        <v>5.0</v>
      </c>
    </row>
    <row r="230">
      <c r="A230" s="22" t="s">
        <v>111</v>
      </c>
      <c r="B230" s="24">
        <v>0.0</v>
      </c>
      <c r="C230" s="24">
        <v>0.0</v>
      </c>
      <c r="D230" s="24">
        <v>0.0</v>
      </c>
      <c r="E230" s="24">
        <v>0.0</v>
      </c>
    </row>
    <row r="231">
      <c r="A231" s="22" t="s">
        <v>98</v>
      </c>
      <c r="B231" s="24">
        <v>1.0</v>
      </c>
      <c r="C231" s="24">
        <v>1.0</v>
      </c>
      <c r="D231" s="24">
        <v>1.0</v>
      </c>
      <c r="E231" s="24">
        <v>1.0</v>
      </c>
    </row>
    <row r="232">
      <c r="A232" s="22" t="s">
        <v>112</v>
      </c>
      <c r="B232" s="26">
        <f t="shared" ref="B232:C232" si="45">round(((B227/B226)*100),2)</f>
        <v>91.06</v>
      </c>
      <c r="C232" s="26">
        <f t="shared" si="45"/>
        <v>91.31</v>
      </c>
      <c r="D232" s="26">
        <f>round(((D227/D226)*100),2)</f>
        <v>88.47</v>
      </c>
      <c r="E232" s="26">
        <f>round(((E227/E226)*100),2)</f>
        <v>89.81</v>
      </c>
    </row>
    <row r="233">
      <c r="A233" s="22" t="s">
        <v>100</v>
      </c>
      <c r="B233" s="24">
        <v>640.0</v>
      </c>
      <c r="C233" s="24">
        <v>636.0</v>
      </c>
      <c r="D233" s="24">
        <v>613.0</v>
      </c>
      <c r="E233" s="24">
        <v>630.0</v>
      </c>
    </row>
    <row r="234">
      <c r="A234" s="11" t="s">
        <v>471</v>
      </c>
    </row>
    <row r="235">
      <c r="A235" s="25" t="s">
        <v>178</v>
      </c>
      <c r="B235" s="24" t="s">
        <v>500</v>
      </c>
      <c r="C235" s="24" t="s">
        <v>476</v>
      </c>
    </row>
    <row r="236">
      <c r="A236" s="22" t="s">
        <v>103</v>
      </c>
      <c r="B236" s="24"/>
      <c r="D236" s="24" t="s">
        <v>501</v>
      </c>
    </row>
    <row r="239">
      <c r="A239" s="44" t="s">
        <v>50</v>
      </c>
      <c r="B239" s="20" t="s">
        <v>502</v>
      </c>
    </row>
    <row r="240">
      <c r="B240" s="21" t="s">
        <v>4</v>
      </c>
      <c r="C240" s="21" t="s">
        <v>5</v>
      </c>
      <c r="D240" s="21" t="s">
        <v>6</v>
      </c>
      <c r="E240" s="21" t="s">
        <v>7</v>
      </c>
      <c r="G240" s="3" t="s">
        <v>503</v>
      </c>
    </row>
    <row r="241">
      <c r="A241" s="22" t="s">
        <v>91</v>
      </c>
      <c r="B241" s="24">
        <f>B224+0.1</f>
        <v>59.5</v>
      </c>
      <c r="C241" s="24">
        <v>58.3</v>
      </c>
      <c r="D241" s="24">
        <v>64.3</v>
      </c>
      <c r="E241" s="24">
        <v>62.2</v>
      </c>
    </row>
    <row r="242">
      <c r="A242" s="22" t="s">
        <v>92</v>
      </c>
      <c r="B242" s="24">
        <v>4.0</v>
      </c>
      <c r="C242" s="24">
        <v>7.0</v>
      </c>
      <c r="D242" s="24">
        <v>3.0</v>
      </c>
      <c r="E242" s="24">
        <v>5.0</v>
      </c>
    </row>
    <row r="243">
      <c r="A243" s="22" t="s">
        <v>93</v>
      </c>
      <c r="B243" s="24">
        <f t="shared" ref="B243:D243" si="46">B226-B242</f>
        <v>21081</v>
      </c>
      <c r="C243" s="24">
        <f t="shared" si="46"/>
        <v>20889</v>
      </c>
      <c r="D243" s="24">
        <f t="shared" si="46"/>
        <v>20783</v>
      </c>
      <c r="E243" s="24">
        <v>21040.0</v>
      </c>
    </row>
    <row r="244">
      <c r="A244" s="22" t="s">
        <v>94</v>
      </c>
      <c r="B244" s="23">
        <f t="shared" ref="B244:E244" si="47">B250*30</f>
        <v>19230</v>
      </c>
      <c r="C244" s="23">
        <f t="shared" si="47"/>
        <v>18600</v>
      </c>
      <c r="D244" s="23">
        <f t="shared" si="47"/>
        <v>18450</v>
      </c>
      <c r="E244" s="23">
        <f t="shared" si="47"/>
        <v>18930</v>
      </c>
    </row>
    <row r="245">
      <c r="A245" s="22" t="s">
        <v>95</v>
      </c>
      <c r="B245" s="24">
        <v>16.0</v>
      </c>
      <c r="C245" s="24">
        <v>13.0</v>
      </c>
      <c r="D245" s="24">
        <v>10.0</v>
      </c>
      <c r="E245" s="24">
        <v>19.0</v>
      </c>
    </row>
    <row r="246">
      <c r="A246" s="22" t="s">
        <v>96</v>
      </c>
      <c r="B246" s="24">
        <v>3.0</v>
      </c>
      <c r="C246" s="24">
        <v>5.0</v>
      </c>
      <c r="D246" s="24">
        <v>5.0</v>
      </c>
      <c r="E246" s="24">
        <v>14.0</v>
      </c>
    </row>
    <row r="247">
      <c r="A247" s="22" t="s">
        <v>111</v>
      </c>
      <c r="B247" s="24">
        <v>110.0</v>
      </c>
      <c r="C247" s="24">
        <v>110.0</v>
      </c>
      <c r="D247" s="24">
        <v>110.0</v>
      </c>
      <c r="E247" s="24">
        <v>110.0</v>
      </c>
    </row>
    <row r="248">
      <c r="A248" s="22" t="s">
        <v>98</v>
      </c>
      <c r="B248" s="24">
        <v>1.0</v>
      </c>
      <c r="C248" s="24">
        <v>1.0</v>
      </c>
      <c r="D248" s="24">
        <v>1.0</v>
      </c>
      <c r="E248" s="24">
        <v>1.0</v>
      </c>
    </row>
    <row r="249">
      <c r="A249" s="22" t="s">
        <v>112</v>
      </c>
      <c r="B249" s="26">
        <f t="shared" ref="B249:E249" si="48">round(((B244/B243)*100),2)</f>
        <v>91.22</v>
      </c>
      <c r="C249" s="26">
        <f t="shared" si="48"/>
        <v>89.04</v>
      </c>
      <c r="D249" s="26">
        <f t="shared" si="48"/>
        <v>88.77</v>
      </c>
      <c r="E249" s="26">
        <f t="shared" si="48"/>
        <v>89.97</v>
      </c>
    </row>
    <row r="250">
      <c r="A250" s="22" t="s">
        <v>100</v>
      </c>
      <c r="B250" s="24">
        <v>641.0</v>
      </c>
      <c r="C250" s="24">
        <v>620.0</v>
      </c>
      <c r="D250" s="24">
        <v>615.0</v>
      </c>
      <c r="E250" s="24">
        <v>631.0</v>
      </c>
    </row>
    <row r="251">
      <c r="A251" s="11" t="s">
        <v>471</v>
      </c>
    </row>
    <row r="252">
      <c r="A252" s="25" t="s">
        <v>178</v>
      </c>
      <c r="B252" s="24" t="s">
        <v>504</v>
      </c>
      <c r="C252" s="24" t="s">
        <v>486</v>
      </c>
    </row>
    <row r="253">
      <c r="A253" s="22" t="s">
        <v>103</v>
      </c>
      <c r="B253" s="24" t="s">
        <v>505</v>
      </c>
      <c r="D253" s="24" t="s">
        <v>506</v>
      </c>
    </row>
    <row r="256">
      <c r="A256" s="44" t="s">
        <v>50</v>
      </c>
      <c r="B256" s="20" t="s">
        <v>507</v>
      </c>
    </row>
    <row r="257">
      <c r="B257" s="21" t="s">
        <v>4</v>
      </c>
      <c r="C257" s="21" t="s">
        <v>5</v>
      </c>
      <c r="D257" s="21" t="s">
        <v>6</v>
      </c>
      <c r="E257" s="21" t="s">
        <v>7</v>
      </c>
    </row>
    <row r="258">
      <c r="A258" s="22" t="s">
        <v>91</v>
      </c>
      <c r="B258" s="24">
        <f>B241+0.1</f>
        <v>59.6</v>
      </c>
      <c r="C258" s="24">
        <v>58.4</v>
      </c>
      <c r="D258" s="24">
        <v>64.4</v>
      </c>
      <c r="E258" s="24">
        <f>E241+0.1</f>
        <v>62.3</v>
      </c>
    </row>
    <row r="259">
      <c r="A259" s="22" t="s">
        <v>92</v>
      </c>
      <c r="B259" s="24">
        <v>7.0</v>
      </c>
      <c r="C259" s="24">
        <v>6.0</v>
      </c>
      <c r="D259" s="24">
        <v>4.0</v>
      </c>
      <c r="E259" s="24">
        <v>4.0</v>
      </c>
    </row>
    <row r="260">
      <c r="A260" s="22" t="s">
        <v>93</v>
      </c>
      <c r="B260" s="24">
        <f t="shared" ref="B260:E260" si="49">B243-B259</f>
        <v>21074</v>
      </c>
      <c r="C260" s="24">
        <f t="shared" si="49"/>
        <v>20883</v>
      </c>
      <c r="D260" s="24">
        <f t="shared" si="49"/>
        <v>20779</v>
      </c>
      <c r="E260" s="24">
        <f t="shared" si="49"/>
        <v>21036</v>
      </c>
    </row>
    <row r="261">
      <c r="A261" s="22" t="s">
        <v>94</v>
      </c>
      <c r="B261" s="23">
        <f t="shared" ref="B261:E261" si="50">B267*30</f>
        <v>19230</v>
      </c>
      <c r="C261" s="23">
        <f t="shared" si="50"/>
        <v>18690</v>
      </c>
      <c r="D261" s="23">
        <f t="shared" si="50"/>
        <v>18570</v>
      </c>
      <c r="E261" s="23">
        <f t="shared" si="50"/>
        <v>18930</v>
      </c>
    </row>
    <row r="262">
      <c r="A262" s="22" t="s">
        <v>95</v>
      </c>
      <c r="B262" s="24">
        <v>14.0</v>
      </c>
      <c r="C262" s="24">
        <v>14.0</v>
      </c>
      <c r="D262" s="24">
        <v>16.0</v>
      </c>
      <c r="E262" s="24">
        <v>37.0</v>
      </c>
    </row>
    <row r="263">
      <c r="A263" s="22" t="s">
        <v>96</v>
      </c>
      <c r="B263" s="24">
        <v>13.0</v>
      </c>
      <c r="C263" s="24">
        <v>10.0</v>
      </c>
      <c r="D263" s="24">
        <v>6.0</v>
      </c>
      <c r="E263" s="24">
        <v>7.0</v>
      </c>
    </row>
    <row r="264">
      <c r="A264" s="22" t="s">
        <v>111</v>
      </c>
      <c r="B264" s="24">
        <v>0.0</v>
      </c>
      <c r="C264" s="24">
        <v>0.0</v>
      </c>
      <c r="D264" s="24">
        <v>0.0</v>
      </c>
      <c r="E264" s="24">
        <v>0.0</v>
      </c>
    </row>
    <row r="265">
      <c r="A265" s="22" t="s">
        <v>98</v>
      </c>
      <c r="B265" s="24">
        <v>1.0</v>
      </c>
      <c r="C265" s="24">
        <v>1.0</v>
      </c>
      <c r="D265" s="24">
        <v>1.0</v>
      </c>
      <c r="E265" s="24">
        <v>1.0</v>
      </c>
    </row>
    <row r="266">
      <c r="A266" s="22" t="s">
        <v>112</v>
      </c>
      <c r="B266" s="26">
        <f t="shared" ref="B266:E266" si="51">round(((B261/B260)*100),2)</f>
        <v>91.25</v>
      </c>
      <c r="C266" s="26">
        <f t="shared" si="51"/>
        <v>89.5</v>
      </c>
      <c r="D266" s="26">
        <f t="shared" si="51"/>
        <v>89.37</v>
      </c>
      <c r="E266" s="26">
        <f t="shared" si="51"/>
        <v>89.99</v>
      </c>
    </row>
    <row r="267">
      <c r="A267" s="22" t="s">
        <v>100</v>
      </c>
      <c r="B267" s="24">
        <v>641.0</v>
      </c>
      <c r="C267" s="24">
        <v>623.0</v>
      </c>
      <c r="D267" s="24">
        <v>619.0</v>
      </c>
      <c r="E267" s="24">
        <v>631.0</v>
      </c>
    </row>
    <row r="268">
      <c r="A268" s="11" t="s">
        <v>471</v>
      </c>
    </row>
    <row r="269">
      <c r="A269" s="25" t="s">
        <v>178</v>
      </c>
      <c r="B269" s="24" t="s">
        <v>508</v>
      </c>
      <c r="C269" s="24" t="s">
        <v>509</v>
      </c>
    </row>
    <row r="270">
      <c r="A270" s="22" t="s">
        <v>103</v>
      </c>
      <c r="B270" s="24" t="s">
        <v>510</v>
      </c>
      <c r="D270" s="24" t="s">
        <v>511</v>
      </c>
    </row>
    <row r="273">
      <c r="A273" s="44" t="s">
        <v>50</v>
      </c>
      <c r="B273" s="20" t="s">
        <v>512</v>
      </c>
    </row>
    <row r="274">
      <c r="B274" s="21" t="s">
        <v>4</v>
      </c>
      <c r="C274" s="21" t="s">
        <v>5</v>
      </c>
      <c r="D274" s="21" t="s">
        <v>6</v>
      </c>
      <c r="E274" s="21" t="s">
        <v>7</v>
      </c>
    </row>
    <row r="275">
      <c r="A275" s="22" t="s">
        <v>91</v>
      </c>
      <c r="B275" s="24">
        <f>B258+0.1</f>
        <v>59.7</v>
      </c>
      <c r="C275" s="24">
        <v>58.5</v>
      </c>
      <c r="D275" s="24">
        <v>64.5</v>
      </c>
      <c r="E275" s="24">
        <f>E258+0.1</f>
        <v>62.4</v>
      </c>
    </row>
    <row r="276">
      <c r="A276" s="22" t="s">
        <v>92</v>
      </c>
      <c r="B276" s="24">
        <v>3.0</v>
      </c>
      <c r="C276" s="24">
        <v>3.0</v>
      </c>
      <c r="D276" s="24">
        <v>2.0</v>
      </c>
      <c r="E276" s="24">
        <v>7.0</v>
      </c>
    </row>
    <row r="277">
      <c r="A277" s="22" t="s">
        <v>93</v>
      </c>
      <c r="B277" s="24">
        <f t="shared" ref="B277:E277" si="52">B260-B276</f>
        <v>21071</v>
      </c>
      <c r="C277" s="24">
        <f t="shared" si="52"/>
        <v>20880</v>
      </c>
      <c r="D277" s="24">
        <f t="shared" si="52"/>
        <v>20777</v>
      </c>
      <c r="E277" s="24">
        <f t="shared" si="52"/>
        <v>21029</v>
      </c>
    </row>
    <row r="278">
      <c r="A278" s="22" t="s">
        <v>94</v>
      </c>
      <c r="B278" s="23">
        <f t="shared" ref="B278:E278" si="53">B284*30</f>
        <v>19320</v>
      </c>
      <c r="C278" s="23">
        <f t="shared" si="53"/>
        <v>19170</v>
      </c>
      <c r="D278" s="23">
        <f t="shared" si="53"/>
        <v>18810</v>
      </c>
      <c r="E278" s="23">
        <f t="shared" si="53"/>
        <v>19320</v>
      </c>
    </row>
    <row r="279">
      <c r="A279" s="22" t="s">
        <v>95</v>
      </c>
      <c r="B279" s="24">
        <v>13.0</v>
      </c>
      <c r="C279" s="24">
        <v>8.0</v>
      </c>
      <c r="D279" s="24">
        <v>13.0</v>
      </c>
      <c r="E279" s="24">
        <v>22.0</v>
      </c>
    </row>
    <row r="280">
      <c r="A280" s="22" t="s">
        <v>96</v>
      </c>
      <c r="B280" s="24">
        <v>8.0</v>
      </c>
      <c r="C280" s="24">
        <v>3.0</v>
      </c>
      <c r="D280" s="24">
        <v>6.0</v>
      </c>
      <c r="E280" s="24">
        <v>6.0</v>
      </c>
    </row>
    <row r="281">
      <c r="A281" s="22" t="s">
        <v>111</v>
      </c>
      <c r="B281" s="24">
        <v>0.0</v>
      </c>
      <c r="C281" s="24">
        <v>0.0</v>
      </c>
      <c r="D281" s="24">
        <v>0.0</v>
      </c>
      <c r="E281" s="24">
        <v>0.0</v>
      </c>
    </row>
    <row r="282">
      <c r="A282" s="22" t="s">
        <v>98</v>
      </c>
      <c r="B282" s="24">
        <v>1.0</v>
      </c>
      <c r="C282" s="24">
        <v>1.0</v>
      </c>
      <c r="D282" s="24">
        <v>1.0</v>
      </c>
      <c r="E282" s="24">
        <v>1.0</v>
      </c>
    </row>
    <row r="283">
      <c r="A283" s="22" t="s">
        <v>112</v>
      </c>
      <c r="B283" s="26">
        <f t="shared" ref="B283:E283" si="54">round(((B278/B277)*100),2)</f>
        <v>91.69</v>
      </c>
      <c r="C283" s="26">
        <f t="shared" si="54"/>
        <v>91.81</v>
      </c>
      <c r="D283" s="26">
        <f t="shared" si="54"/>
        <v>90.53</v>
      </c>
      <c r="E283" s="26">
        <f t="shared" si="54"/>
        <v>91.87</v>
      </c>
    </row>
    <row r="284">
      <c r="A284" s="22" t="s">
        <v>100</v>
      </c>
      <c r="B284" s="24">
        <v>644.0</v>
      </c>
      <c r="C284" s="24">
        <v>639.0</v>
      </c>
      <c r="D284" s="24">
        <v>627.0</v>
      </c>
      <c r="E284" s="24">
        <v>644.0</v>
      </c>
    </row>
    <row r="285">
      <c r="A285" s="11" t="s">
        <v>471</v>
      </c>
    </row>
    <row r="286">
      <c r="A286" s="25" t="s">
        <v>178</v>
      </c>
      <c r="B286" s="24" t="s">
        <v>513</v>
      </c>
      <c r="C286" s="24" t="s">
        <v>486</v>
      </c>
    </row>
    <row r="287">
      <c r="A287" s="22" t="s">
        <v>103</v>
      </c>
      <c r="B287" s="24" t="s">
        <v>514</v>
      </c>
      <c r="D287" s="24" t="s">
        <v>515</v>
      </c>
    </row>
    <row r="290">
      <c r="A290" s="44" t="s">
        <v>50</v>
      </c>
      <c r="B290" s="20" t="s">
        <v>516</v>
      </c>
    </row>
    <row r="291">
      <c r="B291" s="21" t="s">
        <v>4</v>
      </c>
      <c r="C291" s="21" t="s">
        <v>5</v>
      </c>
      <c r="D291" s="21" t="s">
        <v>6</v>
      </c>
      <c r="E291" s="21" t="s">
        <v>7</v>
      </c>
      <c r="G291" s="3" t="s">
        <v>517</v>
      </c>
    </row>
    <row r="292">
      <c r="A292" s="22" t="s">
        <v>91</v>
      </c>
      <c r="B292" s="24">
        <v>60.1</v>
      </c>
      <c r="C292" s="24">
        <v>58.6</v>
      </c>
      <c r="D292" s="24">
        <v>64.6</v>
      </c>
      <c r="E292" s="24">
        <f>E275+0.1</f>
        <v>62.5</v>
      </c>
      <c r="G292" s="3" t="s">
        <v>518</v>
      </c>
    </row>
    <row r="293">
      <c r="A293" s="22" t="s">
        <v>92</v>
      </c>
      <c r="B293" s="24">
        <v>4.0</v>
      </c>
      <c r="C293" s="24">
        <v>5.0</v>
      </c>
      <c r="D293" s="24">
        <v>6.0</v>
      </c>
      <c r="E293" s="24">
        <v>8.0</v>
      </c>
    </row>
    <row r="294">
      <c r="A294" s="22" t="s">
        <v>93</v>
      </c>
      <c r="B294" s="24">
        <f t="shared" ref="B294:E294" si="55">B277-B293</f>
        <v>21067</v>
      </c>
      <c r="C294" s="24">
        <f t="shared" si="55"/>
        <v>20875</v>
      </c>
      <c r="D294" s="24">
        <f t="shared" si="55"/>
        <v>20771</v>
      </c>
      <c r="E294" s="24">
        <f t="shared" si="55"/>
        <v>21021</v>
      </c>
    </row>
    <row r="295">
      <c r="A295" s="22" t="s">
        <v>94</v>
      </c>
      <c r="B295" s="23">
        <f t="shared" ref="B295:E295" si="56">B301*30</f>
        <v>19410</v>
      </c>
      <c r="C295" s="23">
        <f t="shared" si="56"/>
        <v>18900</v>
      </c>
      <c r="D295" s="23">
        <f t="shared" si="56"/>
        <v>18810</v>
      </c>
      <c r="E295" s="23">
        <f t="shared" si="56"/>
        <v>19320</v>
      </c>
    </row>
    <row r="296">
      <c r="A296" s="22" t="s">
        <v>95</v>
      </c>
      <c r="B296" s="24">
        <v>15.0</v>
      </c>
      <c r="C296" s="24">
        <v>20.0</v>
      </c>
      <c r="D296" s="24">
        <v>13.0</v>
      </c>
      <c r="E296" s="24">
        <v>11.0</v>
      </c>
    </row>
    <row r="297">
      <c r="A297" s="22" t="s">
        <v>96</v>
      </c>
      <c r="B297" s="24">
        <v>7.0</v>
      </c>
      <c r="C297" s="24">
        <v>3.0</v>
      </c>
      <c r="D297" s="24">
        <v>5.0</v>
      </c>
      <c r="E297" s="24">
        <v>8.0</v>
      </c>
    </row>
    <row r="298">
      <c r="A298" s="22" t="s">
        <v>111</v>
      </c>
      <c r="B298" s="24">
        <v>110.0</v>
      </c>
      <c r="C298" s="24">
        <v>110.0</v>
      </c>
      <c r="D298" s="24">
        <v>110.0</v>
      </c>
      <c r="E298" s="24">
        <v>110.0</v>
      </c>
    </row>
    <row r="299">
      <c r="A299" s="22" t="s">
        <v>98</v>
      </c>
      <c r="B299" s="24">
        <v>2.0</v>
      </c>
      <c r="C299" s="24">
        <v>1.0</v>
      </c>
      <c r="D299" s="24">
        <v>1.0</v>
      </c>
      <c r="E299" s="24">
        <v>1.0</v>
      </c>
    </row>
    <row r="300">
      <c r="A300" s="22" t="s">
        <v>112</v>
      </c>
      <c r="B300" s="26">
        <f t="shared" ref="B300:E300" si="57">round(((B295/B294)*100),2)</f>
        <v>92.13</v>
      </c>
      <c r="C300" s="26">
        <f t="shared" si="57"/>
        <v>90.54</v>
      </c>
      <c r="D300" s="26">
        <f t="shared" si="57"/>
        <v>90.56</v>
      </c>
      <c r="E300" s="26">
        <f t="shared" si="57"/>
        <v>91.91</v>
      </c>
    </row>
    <row r="301">
      <c r="A301" s="22" t="s">
        <v>100</v>
      </c>
      <c r="B301" s="24">
        <v>647.0</v>
      </c>
      <c r="C301" s="24">
        <v>630.0</v>
      </c>
      <c r="D301" s="24">
        <v>627.0</v>
      </c>
      <c r="E301" s="24">
        <v>644.0</v>
      </c>
    </row>
    <row r="302">
      <c r="A302" s="11" t="s">
        <v>471</v>
      </c>
    </row>
    <row r="303">
      <c r="A303" s="25" t="s">
        <v>178</v>
      </c>
      <c r="B303" s="24" t="s">
        <v>519</v>
      </c>
      <c r="C303" s="24" t="s">
        <v>185</v>
      </c>
    </row>
    <row r="304">
      <c r="A304" s="22" t="s">
        <v>103</v>
      </c>
      <c r="B304" s="24"/>
      <c r="D304" s="24" t="s">
        <v>520</v>
      </c>
    </row>
    <row r="307">
      <c r="A307" s="44" t="s">
        <v>50</v>
      </c>
      <c r="B307" s="20" t="s">
        <v>521</v>
      </c>
    </row>
    <row r="308">
      <c r="B308" s="21" t="s">
        <v>4</v>
      </c>
      <c r="C308" s="21" t="s">
        <v>5</v>
      </c>
      <c r="D308" s="21" t="s">
        <v>6</v>
      </c>
      <c r="E308" s="21" t="s">
        <v>7</v>
      </c>
    </row>
    <row r="309">
      <c r="A309" s="22" t="s">
        <v>91</v>
      </c>
      <c r="B309" s="24">
        <v>60.2</v>
      </c>
      <c r="C309" s="24">
        <v>58.7</v>
      </c>
      <c r="D309" s="24">
        <v>64.7</v>
      </c>
      <c r="E309" s="24">
        <f>E292+0.1</f>
        <v>62.6</v>
      </c>
      <c r="G309" s="3" t="s">
        <v>334</v>
      </c>
    </row>
    <row r="310">
      <c r="A310" s="22" t="s">
        <v>92</v>
      </c>
      <c r="B310" s="24">
        <v>2.0</v>
      </c>
      <c r="C310" s="24">
        <v>8.0</v>
      </c>
      <c r="D310" s="24">
        <v>3.0</v>
      </c>
      <c r="E310" s="24">
        <v>4.0</v>
      </c>
    </row>
    <row r="311">
      <c r="A311" s="22" t="s">
        <v>93</v>
      </c>
      <c r="B311" s="24">
        <f t="shared" ref="B311:E311" si="58">B294-B310</f>
        <v>21065</v>
      </c>
      <c r="C311" s="24">
        <f t="shared" si="58"/>
        <v>20867</v>
      </c>
      <c r="D311" s="24">
        <f t="shared" si="58"/>
        <v>20768</v>
      </c>
      <c r="E311" s="24">
        <f t="shared" si="58"/>
        <v>21017</v>
      </c>
    </row>
    <row r="312">
      <c r="A312" s="22" t="s">
        <v>94</v>
      </c>
      <c r="B312" s="23">
        <f t="shared" ref="B312:E312" si="59">B318*30</f>
        <v>19410</v>
      </c>
      <c r="C312" s="23">
        <f t="shared" si="59"/>
        <v>19050</v>
      </c>
      <c r="D312" s="23">
        <f t="shared" si="59"/>
        <v>18720</v>
      </c>
      <c r="E312" s="23">
        <f t="shared" si="59"/>
        <v>19320</v>
      </c>
    </row>
    <row r="313">
      <c r="A313" s="22" t="s">
        <v>95</v>
      </c>
      <c r="B313" s="24">
        <v>25.0</v>
      </c>
      <c r="C313" s="24">
        <v>16.0</v>
      </c>
      <c r="D313" s="24">
        <v>22.0</v>
      </c>
      <c r="E313" s="24">
        <v>11.0</v>
      </c>
    </row>
    <row r="314">
      <c r="A314" s="22" t="s">
        <v>96</v>
      </c>
      <c r="B314" s="24">
        <v>5.0</v>
      </c>
      <c r="C314" s="24">
        <v>15.0</v>
      </c>
      <c r="D314" s="24">
        <v>7.0</v>
      </c>
      <c r="E314" s="24">
        <v>10.0</v>
      </c>
    </row>
    <row r="315">
      <c r="A315" s="22" t="s">
        <v>111</v>
      </c>
      <c r="B315" s="24">
        <v>0.0</v>
      </c>
      <c r="C315" s="24">
        <v>0.0</v>
      </c>
      <c r="D315" s="24">
        <v>0.0</v>
      </c>
      <c r="E315" s="24">
        <v>0.0</v>
      </c>
    </row>
    <row r="316">
      <c r="A316" s="22" t="s">
        <v>98</v>
      </c>
      <c r="B316" s="24">
        <v>2.0</v>
      </c>
      <c r="C316" s="24">
        <v>1.0</v>
      </c>
      <c r="D316" s="24">
        <v>1.0</v>
      </c>
      <c r="E316" s="24">
        <v>1.0</v>
      </c>
    </row>
    <row r="317">
      <c r="A317" s="22" t="s">
        <v>112</v>
      </c>
      <c r="B317" s="26">
        <f t="shared" ref="B317:E317" si="60">round(((B312/B311)*100),2)</f>
        <v>92.14</v>
      </c>
      <c r="C317" s="26">
        <f t="shared" si="60"/>
        <v>91.29</v>
      </c>
      <c r="D317" s="26">
        <f t="shared" si="60"/>
        <v>90.14</v>
      </c>
      <c r="E317" s="26">
        <f t="shared" si="60"/>
        <v>91.93</v>
      </c>
    </row>
    <row r="318">
      <c r="A318" s="22" t="s">
        <v>100</v>
      </c>
      <c r="B318" s="24">
        <v>647.0</v>
      </c>
      <c r="C318" s="24">
        <v>635.0</v>
      </c>
      <c r="D318" s="24">
        <v>624.0</v>
      </c>
      <c r="E318" s="24">
        <v>644.0</v>
      </c>
    </row>
    <row r="319">
      <c r="A319" s="11" t="s">
        <v>471</v>
      </c>
    </row>
    <row r="320">
      <c r="A320" s="25" t="s">
        <v>178</v>
      </c>
      <c r="B320" s="24" t="s">
        <v>522</v>
      </c>
      <c r="C320" s="24" t="s">
        <v>126</v>
      </c>
    </row>
    <row r="321">
      <c r="A321" s="22" t="s">
        <v>103</v>
      </c>
      <c r="B321" s="24" t="s">
        <v>523</v>
      </c>
      <c r="D321" s="24" t="s">
        <v>524</v>
      </c>
    </row>
    <row r="324">
      <c r="A324" s="44" t="s">
        <v>50</v>
      </c>
      <c r="B324" s="20" t="s">
        <v>525</v>
      </c>
    </row>
    <row r="325">
      <c r="B325" s="21" t="s">
        <v>4</v>
      </c>
      <c r="C325" s="21" t="s">
        <v>5</v>
      </c>
      <c r="D325" s="21" t="s">
        <v>6</v>
      </c>
      <c r="E325" s="21" t="s">
        <v>7</v>
      </c>
    </row>
    <row r="326">
      <c r="A326" s="22" t="s">
        <v>91</v>
      </c>
      <c r="B326" s="24">
        <v>60.3</v>
      </c>
      <c r="C326" s="24">
        <v>59.1</v>
      </c>
      <c r="D326" s="24">
        <v>65.1</v>
      </c>
      <c r="E326" s="24">
        <f>E309+0.1</f>
        <v>62.7</v>
      </c>
    </row>
    <row r="327">
      <c r="A327" s="22" t="s">
        <v>92</v>
      </c>
      <c r="B327" s="24">
        <v>4.0</v>
      </c>
      <c r="C327" s="24">
        <v>8.0</v>
      </c>
      <c r="D327" s="24">
        <v>5.0</v>
      </c>
      <c r="E327" s="24">
        <v>8.0</v>
      </c>
    </row>
    <row r="328">
      <c r="A328" s="22" t="s">
        <v>93</v>
      </c>
      <c r="B328" s="24">
        <f t="shared" ref="B328:E328" si="61">B311-B327</f>
        <v>21061</v>
      </c>
      <c r="C328" s="24">
        <f t="shared" si="61"/>
        <v>20859</v>
      </c>
      <c r="D328" s="24">
        <f t="shared" si="61"/>
        <v>20763</v>
      </c>
      <c r="E328" s="24">
        <f t="shared" si="61"/>
        <v>21009</v>
      </c>
    </row>
    <row r="329">
      <c r="A329" s="22" t="s">
        <v>94</v>
      </c>
      <c r="B329" s="23">
        <f t="shared" ref="B329:E329" si="62">B335*30</f>
        <v>19350</v>
      </c>
      <c r="C329" s="23">
        <f t="shared" si="62"/>
        <v>19080</v>
      </c>
      <c r="D329" s="23">
        <f t="shared" si="62"/>
        <v>18630</v>
      </c>
      <c r="E329" s="23">
        <f t="shared" si="62"/>
        <v>19260</v>
      </c>
    </row>
    <row r="330">
      <c r="A330" s="22" t="s">
        <v>95</v>
      </c>
      <c r="B330" s="24">
        <v>18.0</v>
      </c>
      <c r="C330" s="24">
        <v>15.0</v>
      </c>
      <c r="D330" s="24">
        <v>18.0</v>
      </c>
      <c r="E330" s="24">
        <v>11.0</v>
      </c>
    </row>
    <row r="331">
      <c r="A331" s="22" t="s">
        <v>96</v>
      </c>
      <c r="B331" s="24">
        <v>13.0</v>
      </c>
      <c r="C331" s="24">
        <v>7.0</v>
      </c>
      <c r="D331" s="24">
        <v>7.0</v>
      </c>
      <c r="E331" s="24">
        <v>6.0</v>
      </c>
    </row>
    <row r="332">
      <c r="A332" s="22" t="s">
        <v>111</v>
      </c>
      <c r="B332" s="24">
        <v>55.0</v>
      </c>
      <c r="C332" s="24">
        <v>55.0</v>
      </c>
      <c r="D332" s="24">
        <v>55.0</v>
      </c>
      <c r="E332" s="24">
        <v>55.0</v>
      </c>
    </row>
    <row r="333">
      <c r="A333" s="22" t="s">
        <v>98</v>
      </c>
      <c r="B333" s="24">
        <v>1.0</v>
      </c>
      <c r="C333" s="24">
        <v>1.0</v>
      </c>
      <c r="D333" s="24">
        <v>1.0</v>
      </c>
      <c r="E333" s="24">
        <v>1.0</v>
      </c>
    </row>
    <row r="334">
      <c r="A334" s="22" t="s">
        <v>112</v>
      </c>
      <c r="B334" s="26">
        <f t="shared" ref="B334:E334" si="63">round(((B329/B328)*100),2)</f>
        <v>91.88</v>
      </c>
      <c r="C334" s="26">
        <f t="shared" si="63"/>
        <v>91.47</v>
      </c>
      <c r="D334" s="26">
        <f t="shared" si="63"/>
        <v>89.73</v>
      </c>
      <c r="E334" s="26">
        <f t="shared" si="63"/>
        <v>91.67</v>
      </c>
    </row>
    <row r="335">
      <c r="A335" s="22" t="s">
        <v>100</v>
      </c>
      <c r="B335" s="24">
        <v>645.0</v>
      </c>
      <c r="C335" s="24">
        <v>636.0</v>
      </c>
      <c r="D335" s="24">
        <v>621.0</v>
      </c>
      <c r="E335" s="24">
        <v>642.0</v>
      </c>
    </row>
    <row r="336">
      <c r="A336" s="11" t="s">
        <v>471</v>
      </c>
      <c r="C336" s="3" t="s">
        <v>526</v>
      </c>
    </row>
    <row r="337">
      <c r="A337" s="25" t="s">
        <v>178</v>
      </c>
      <c r="B337" s="24" t="s">
        <v>527</v>
      </c>
      <c r="C337" s="24" t="s">
        <v>476</v>
      </c>
    </row>
    <row r="338">
      <c r="A338" s="22" t="s">
        <v>103</v>
      </c>
      <c r="B338" s="24"/>
      <c r="D338" s="24" t="s">
        <v>528</v>
      </c>
    </row>
    <row r="341">
      <c r="A341" s="44" t="s">
        <v>50</v>
      </c>
      <c r="B341" s="20" t="s">
        <v>529</v>
      </c>
    </row>
    <row r="342">
      <c r="B342" s="21" t="s">
        <v>4</v>
      </c>
      <c r="C342" s="21" t="s">
        <v>5</v>
      </c>
      <c r="D342" s="21" t="s">
        <v>6</v>
      </c>
      <c r="E342" s="21" t="s">
        <v>7</v>
      </c>
    </row>
    <row r="343">
      <c r="A343" s="22" t="s">
        <v>91</v>
      </c>
      <c r="B343" s="24">
        <v>60.4</v>
      </c>
      <c r="C343" s="24">
        <v>59.2</v>
      </c>
      <c r="D343" s="24">
        <v>65.2</v>
      </c>
      <c r="E343" s="24">
        <v>63.1</v>
      </c>
    </row>
    <row r="344">
      <c r="A344" s="22" t="s">
        <v>92</v>
      </c>
      <c r="B344" s="24">
        <v>4.0</v>
      </c>
      <c r="C344" s="24">
        <v>3.0</v>
      </c>
      <c r="D344" s="24">
        <v>5.0</v>
      </c>
      <c r="E344" s="24">
        <v>3.0</v>
      </c>
    </row>
    <row r="345">
      <c r="A345" s="22" t="s">
        <v>93</v>
      </c>
      <c r="B345" s="24">
        <f>B328-B344</f>
        <v>21057</v>
      </c>
      <c r="C345" s="24">
        <v>20838.0</v>
      </c>
      <c r="D345" s="24">
        <f t="shared" ref="D345:E345" si="64">D328-D344</f>
        <v>20758</v>
      </c>
      <c r="E345" s="24">
        <f t="shared" si="64"/>
        <v>21006</v>
      </c>
    </row>
    <row r="346">
      <c r="A346" s="22" t="s">
        <v>94</v>
      </c>
      <c r="B346" s="23">
        <f t="shared" ref="B346:E346" si="65">B352*30</f>
        <v>19410</v>
      </c>
      <c r="C346" s="23">
        <f t="shared" si="65"/>
        <v>19110</v>
      </c>
      <c r="D346" s="23">
        <f t="shared" si="65"/>
        <v>18930</v>
      </c>
      <c r="E346" s="23">
        <f t="shared" si="65"/>
        <v>19290</v>
      </c>
    </row>
    <row r="347">
      <c r="A347" s="22" t="s">
        <v>95</v>
      </c>
      <c r="B347" s="24">
        <v>16.0</v>
      </c>
      <c r="C347" s="24">
        <v>18.0</v>
      </c>
      <c r="D347" s="24">
        <v>28.0</v>
      </c>
      <c r="E347" s="24">
        <v>29.0</v>
      </c>
    </row>
    <row r="348">
      <c r="A348" s="22" t="s">
        <v>96</v>
      </c>
      <c r="B348" s="24">
        <v>13.0</v>
      </c>
      <c r="C348" s="24">
        <v>4.0</v>
      </c>
      <c r="D348" s="24">
        <v>8.0</v>
      </c>
      <c r="E348" s="24">
        <v>8.0</v>
      </c>
    </row>
    <row r="349">
      <c r="A349" s="22" t="s">
        <v>111</v>
      </c>
      <c r="B349" s="24">
        <v>0.0</v>
      </c>
      <c r="C349" s="24">
        <v>0.0</v>
      </c>
      <c r="D349" s="24">
        <v>0.0</v>
      </c>
      <c r="E349" s="24">
        <v>0.0</v>
      </c>
    </row>
    <row r="350">
      <c r="A350" s="22" t="s">
        <v>98</v>
      </c>
      <c r="B350" s="24">
        <v>1.0</v>
      </c>
      <c r="C350" s="24">
        <v>1.0</v>
      </c>
      <c r="D350" s="24">
        <v>1.0</v>
      </c>
      <c r="E350" s="24">
        <v>1.0</v>
      </c>
    </row>
    <row r="351">
      <c r="A351" s="22" t="s">
        <v>112</v>
      </c>
      <c r="B351" s="26">
        <f t="shared" ref="B351:E351" si="66">round(((B346/B345)*100),2)</f>
        <v>92.18</v>
      </c>
      <c r="C351" s="26">
        <f t="shared" si="66"/>
        <v>91.71</v>
      </c>
      <c r="D351" s="26">
        <f t="shared" si="66"/>
        <v>91.19</v>
      </c>
      <c r="E351" s="26">
        <f t="shared" si="66"/>
        <v>91.83</v>
      </c>
    </row>
    <row r="352">
      <c r="A352" s="22" t="s">
        <v>100</v>
      </c>
      <c r="B352" s="24">
        <v>647.0</v>
      </c>
      <c r="C352" s="24">
        <v>637.0</v>
      </c>
      <c r="D352" s="24">
        <v>631.0</v>
      </c>
      <c r="E352" s="24">
        <v>643.0</v>
      </c>
    </row>
    <row r="353">
      <c r="A353" s="11" t="s">
        <v>471</v>
      </c>
      <c r="C353" s="3" t="s">
        <v>132</v>
      </c>
    </row>
    <row r="354">
      <c r="A354" s="25" t="s">
        <v>178</v>
      </c>
      <c r="B354" s="24" t="s">
        <v>504</v>
      </c>
      <c r="C354" s="24" t="s">
        <v>486</v>
      </c>
    </row>
    <row r="355">
      <c r="A355" s="22" t="s">
        <v>103</v>
      </c>
      <c r="B355" s="24" t="s">
        <v>530</v>
      </c>
      <c r="D355" s="24" t="s">
        <v>531</v>
      </c>
    </row>
    <row r="358">
      <c r="A358" s="44" t="s">
        <v>50</v>
      </c>
      <c r="B358" s="20" t="s">
        <v>532</v>
      </c>
    </row>
    <row r="359">
      <c r="B359" s="21" t="s">
        <v>4</v>
      </c>
      <c r="C359" s="21" t="s">
        <v>5</v>
      </c>
      <c r="D359" s="21" t="s">
        <v>6</v>
      </c>
      <c r="E359" s="21" t="s">
        <v>7</v>
      </c>
    </row>
    <row r="360">
      <c r="A360" s="22" t="s">
        <v>91</v>
      </c>
      <c r="B360" s="24">
        <v>60.5</v>
      </c>
      <c r="C360" s="24">
        <v>59.3</v>
      </c>
      <c r="D360" s="24">
        <v>65.3</v>
      </c>
      <c r="E360" s="24">
        <v>63.2</v>
      </c>
    </row>
    <row r="361">
      <c r="A361" s="22" t="s">
        <v>92</v>
      </c>
      <c r="B361" s="24">
        <v>9.0</v>
      </c>
      <c r="C361" s="24">
        <v>2.0</v>
      </c>
      <c r="D361" s="24">
        <v>4.0</v>
      </c>
      <c r="E361" s="24">
        <v>8.0</v>
      </c>
    </row>
    <row r="362">
      <c r="A362" s="22" t="s">
        <v>93</v>
      </c>
      <c r="B362" s="24">
        <f>B345-B361</f>
        <v>21048</v>
      </c>
      <c r="C362" s="24">
        <v>20836.0</v>
      </c>
      <c r="D362" s="24">
        <f t="shared" ref="D362:E362" si="67">D345-D361</f>
        <v>20754</v>
      </c>
      <c r="E362" s="24">
        <f t="shared" si="67"/>
        <v>20998</v>
      </c>
    </row>
    <row r="363">
      <c r="A363" s="22" t="s">
        <v>94</v>
      </c>
      <c r="B363" s="23">
        <f t="shared" ref="B363:E363" si="68">B369*30</f>
        <v>19200</v>
      </c>
      <c r="C363" s="23">
        <f t="shared" si="68"/>
        <v>19290</v>
      </c>
      <c r="D363" s="23">
        <f t="shared" si="68"/>
        <v>18570</v>
      </c>
      <c r="E363" s="23">
        <f t="shared" si="68"/>
        <v>19230</v>
      </c>
    </row>
    <row r="364">
      <c r="A364" s="22" t="s">
        <v>95</v>
      </c>
      <c r="B364" s="24">
        <v>16.0</v>
      </c>
      <c r="C364" s="24">
        <v>10.0</v>
      </c>
      <c r="D364" s="24">
        <v>8.0</v>
      </c>
      <c r="E364" s="24">
        <v>21.0</v>
      </c>
    </row>
    <row r="365">
      <c r="A365" s="22" t="s">
        <v>96</v>
      </c>
      <c r="B365" s="24">
        <v>7.0</v>
      </c>
      <c r="C365" s="24">
        <v>7.0</v>
      </c>
      <c r="D365" s="24">
        <v>7.0</v>
      </c>
      <c r="E365" s="24">
        <v>2.0</v>
      </c>
    </row>
    <row r="366">
      <c r="A366" s="22" t="s">
        <v>111</v>
      </c>
      <c r="B366" s="24">
        <v>110.0</v>
      </c>
      <c r="C366" s="24">
        <v>110.0</v>
      </c>
      <c r="D366" s="24">
        <v>110.0</v>
      </c>
      <c r="E366" s="24">
        <v>110.0</v>
      </c>
    </row>
    <row r="367">
      <c r="A367" s="22" t="s">
        <v>98</v>
      </c>
      <c r="B367" s="24">
        <v>1.0</v>
      </c>
      <c r="C367" s="24">
        <v>2.0</v>
      </c>
      <c r="D367" s="24">
        <v>1.0</v>
      </c>
      <c r="E367" s="24">
        <v>2.0</v>
      </c>
    </row>
    <row r="368">
      <c r="A368" s="22" t="s">
        <v>112</v>
      </c>
      <c r="B368" s="26">
        <f t="shared" ref="B368:E368" si="69">round(((B363/B362)*100),2)</f>
        <v>91.22</v>
      </c>
      <c r="C368" s="26">
        <f t="shared" si="69"/>
        <v>92.58</v>
      </c>
      <c r="D368" s="26">
        <f t="shared" si="69"/>
        <v>89.48</v>
      </c>
      <c r="E368" s="26">
        <f t="shared" si="69"/>
        <v>91.58</v>
      </c>
    </row>
    <row r="369">
      <c r="A369" s="22" t="s">
        <v>100</v>
      </c>
      <c r="B369" s="24">
        <v>640.0</v>
      </c>
      <c r="C369" s="24">
        <v>643.0</v>
      </c>
      <c r="D369" s="24">
        <v>619.0</v>
      </c>
      <c r="E369" s="24">
        <v>641.0</v>
      </c>
    </row>
    <row r="370">
      <c r="A370" s="11" t="s">
        <v>471</v>
      </c>
      <c r="C370" s="3" t="s">
        <v>132</v>
      </c>
    </row>
    <row r="371">
      <c r="A371" s="25" t="s">
        <v>178</v>
      </c>
      <c r="B371" s="24" t="s">
        <v>533</v>
      </c>
      <c r="C371" s="24" t="s">
        <v>126</v>
      </c>
    </row>
    <row r="372">
      <c r="A372" s="22" t="s">
        <v>103</v>
      </c>
      <c r="B372" s="24"/>
      <c r="D372" s="24" t="s">
        <v>534</v>
      </c>
    </row>
    <row r="375">
      <c r="A375" s="44" t="s">
        <v>50</v>
      </c>
      <c r="B375" s="20" t="s">
        <v>535</v>
      </c>
    </row>
    <row r="376">
      <c r="B376" s="21" t="s">
        <v>4</v>
      </c>
      <c r="C376" s="21" t="s">
        <v>5</v>
      </c>
      <c r="D376" s="21" t="s">
        <v>6</v>
      </c>
      <c r="E376" s="21" t="s">
        <v>7</v>
      </c>
    </row>
    <row r="377">
      <c r="A377" s="22" t="s">
        <v>91</v>
      </c>
      <c r="B377" s="24">
        <v>60.6</v>
      </c>
      <c r="C377" s="24">
        <v>59.4</v>
      </c>
      <c r="D377" s="24">
        <v>65.4</v>
      </c>
      <c r="E377" s="24">
        <v>63.3</v>
      </c>
    </row>
    <row r="378">
      <c r="A378" s="22" t="s">
        <v>92</v>
      </c>
      <c r="B378" s="24">
        <v>4.0</v>
      </c>
      <c r="C378" s="24">
        <v>1.0</v>
      </c>
      <c r="D378" s="24">
        <v>1.0</v>
      </c>
      <c r="E378" s="24">
        <v>2.0</v>
      </c>
    </row>
    <row r="379">
      <c r="A379" s="22" t="s">
        <v>93</v>
      </c>
      <c r="B379" s="24">
        <f>B362-B378</f>
        <v>21044</v>
      </c>
      <c r="C379" s="24">
        <v>20835.0</v>
      </c>
      <c r="D379" s="24">
        <f t="shared" ref="D379:E379" si="70">D362-D378</f>
        <v>20753</v>
      </c>
      <c r="E379" s="24">
        <f t="shared" si="70"/>
        <v>20996</v>
      </c>
    </row>
    <row r="380">
      <c r="A380" s="22" t="s">
        <v>94</v>
      </c>
      <c r="B380" s="23">
        <f t="shared" ref="B380:E380" si="71">B386*30</f>
        <v>19230</v>
      </c>
      <c r="C380" s="23">
        <f t="shared" si="71"/>
        <v>19140</v>
      </c>
      <c r="D380" s="23">
        <f t="shared" si="71"/>
        <v>18720</v>
      </c>
      <c r="E380" s="23">
        <f t="shared" si="71"/>
        <v>19140</v>
      </c>
    </row>
    <row r="381">
      <c r="A381" s="22" t="s">
        <v>95</v>
      </c>
      <c r="B381" s="24">
        <v>22.0</v>
      </c>
      <c r="C381" s="24">
        <v>10.0</v>
      </c>
      <c r="D381" s="24">
        <v>22.0</v>
      </c>
      <c r="E381" s="24">
        <v>14.0</v>
      </c>
    </row>
    <row r="382">
      <c r="A382" s="22" t="s">
        <v>96</v>
      </c>
      <c r="B382" s="24">
        <v>9.0</v>
      </c>
      <c r="C382" s="24">
        <v>2.0</v>
      </c>
      <c r="D382" s="24">
        <v>6.0</v>
      </c>
      <c r="E382" s="24">
        <v>4.0</v>
      </c>
    </row>
    <row r="383">
      <c r="A383" s="22" t="s">
        <v>111</v>
      </c>
      <c r="B383" s="24">
        <v>0.0</v>
      </c>
      <c r="C383" s="24">
        <v>0.0</v>
      </c>
      <c r="D383" s="24">
        <v>0.0</v>
      </c>
      <c r="E383" s="24">
        <v>0.0</v>
      </c>
    </row>
    <row r="384">
      <c r="A384" s="22" t="s">
        <v>98</v>
      </c>
      <c r="B384" s="24">
        <v>1.0</v>
      </c>
      <c r="C384" s="24">
        <v>2.0</v>
      </c>
      <c r="D384" s="24">
        <v>1.0</v>
      </c>
      <c r="E384" s="24">
        <v>2.0</v>
      </c>
    </row>
    <row r="385">
      <c r="A385" s="22" t="s">
        <v>112</v>
      </c>
      <c r="B385" s="26">
        <f t="shared" ref="B385:E385" si="72">round(((B380/B379)*100),2)</f>
        <v>91.38</v>
      </c>
      <c r="C385" s="26">
        <f t="shared" si="72"/>
        <v>91.86</v>
      </c>
      <c r="D385" s="26">
        <f t="shared" si="72"/>
        <v>90.2</v>
      </c>
      <c r="E385" s="26">
        <f t="shared" si="72"/>
        <v>91.16</v>
      </c>
    </row>
    <row r="386">
      <c r="A386" s="22" t="s">
        <v>100</v>
      </c>
      <c r="B386" s="24">
        <v>641.0</v>
      </c>
      <c r="C386" s="24">
        <v>638.0</v>
      </c>
      <c r="D386" s="24">
        <v>624.0</v>
      </c>
      <c r="E386" s="24">
        <v>638.0</v>
      </c>
    </row>
    <row r="387">
      <c r="A387" s="11" t="s">
        <v>471</v>
      </c>
      <c r="C387" s="3" t="s">
        <v>132</v>
      </c>
    </row>
    <row r="388">
      <c r="A388" s="25" t="s">
        <v>178</v>
      </c>
      <c r="B388" s="24" t="s">
        <v>536</v>
      </c>
      <c r="C388" s="24" t="s">
        <v>476</v>
      </c>
    </row>
    <row r="389">
      <c r="A389" s="22" t="s">
        <v>103</v>
      </c>
      <c r="B389" s="24" t="s">
        <v>537</v>
      </c>
      <c r="D389" s="24" t="s">
        <v>538</v>
      </c>
    </row>
    <row r="392">
      <c r="A392" s="44" t="s">
        <v>50</v>
      </c>
      <c r="B392" s="20" t="s">
        <v>539</v>
      </c>
    </row>
    <row r="393">
      <c r="B393" s="21" t="s">
        <v>4</v>
      </c>
      <c r="C393" s="21" t="s">
        <v>5</v>
      </c>
      <c r="D393" s="21" t="s">
        <v>6</v>
      </c>
      <c r="E393" s="21" t="s">
        <v>7</v>
      </c>
    </row>
    <row r="394">
      <c r="A394" s="22" t="s">
        <v>91</v>
      </c>
      <c r="B394" s="24">
        <v>60.7</v>
      </c>
      <c r="C394" s="24">
        <v>59.5</v>
      </c>
      <c r="D394" s="24">
        <v>65.5</v>
      </c>
      <c r="E394" s="24">
        <v>63.4</v>
      </c>
    </row>
    <row r="395">
      <c r="A395" s="22" t="s">
        <v>92</v>
      </c>
      <c r="B395" s="24">
        <v>1.0</v>
      </c>
      <c r="C395" s="24">
        <v>5.0</v>
      </c>
      <c r="D395" s="24">
        <v>3.0</v>
      </c>
      <c r="E395" s="24">
        <v>6.0</v>
      </c>
    </row>
    <row r="396">
      <c r="A396" s="22" t="s">
        <v>93</v>
      </c>
      <c r="B396" s="24">
        <f>B379-B395</f>
        <v>21043</v>
      </c>
      <c r="C396" s="24">
        <v>20830.0</v>
      </c>
      <c r="D396" s="24">
        <f t="shared" ref="D396:E396" si="73">D379-D395</f>
        <v>20750</v>
      </c>
      <c r="E396" s="24">
        <f t="shared" si="73"/>
        <v>20990</v>
      </c>
    </row>
    <row r="397">
      <c r="A397" s="22" t="s">
        <v>94</v>
      </c>
      <c r="B397" s="23">
        <f t="shared" ref="B397:E397" si="74">B403*30</f>
        <v>19080</v>
      </c>
      <c r="C397" s="23">
        <f t="shared" si="74"/>
        <v>18960</v>
      </c>
      <c r="D397" s="23">
        <f t="shared" si="74"/>
        <v>18390</v>
      </c>
      <c r="E397" s="23">
        <f t="shared" si="74"/>
        <v>18960</v>
      </c>
    </row>
    <row r="398">
      <c r="A398" s="22" t="s">
        <v>95</v>
      </c>
      <c r="B398" s="24">
        <v>12.0</v>
      </c>
      <c r="C398" s="24">
        <v>20.0</v>
      </c>
      <c r="D398" s="24">
        <v>5.0</v>
      </c>
      <c r="E398" s="24">
        <v>11.0</v>
      </c>
    </row>
    <row r="399">
      <c r="A399" s="22" t="s">
        <v>96</v>
      </c>
      <c r="B399" s="24">
        <v>11.0</v>
      </c>
      <c r="C399" s="24">
        <v>6.0</v>
      </c>
      <c r="D399" s="24">
        <v>7.0</v>
      </c>
      <c r="E399" s="24">
        <v>8.0</v>
      </c>
    </row>
    <row r="400">
      <c r="A400" s="22" t="s">
        <v>111</v>
      </c>
      <c r="B400" s="24">
        <v>0.0</v>
      </c>
      <c r="C400" s="24">
        <v>0.0</v>
      </c>
      <c r="D400" s="24">
        <v>0.0</v>
      </c>
      <c r="E400" s="24">
        <v>0.0</v>
      </c>
    </row>
    <row r="401">
      <c r="A401" s="22" t="s">
        <v>98</v>
      </c>
      <c r="B401" s="24">
        <v>1.0</v>
      </c>
      <c r="C401" s="24">
        <v>1.0</v>
      </c>
      <c r="D401" s="24">
        <v>1.0</v>
      </c>
      <c r="E401" s="24">
        <v>1.0</v>
      </c>
    </row>
    <row r="402">
      <c r="A402" s="22" t="s">
        <v>112</v>
      </c>
      <c r="B402" s="26">
        <f t="shared" ref="B402:E402" si="75">round(((B397/B396)*100),2)</f>
        <v>90.67</v>
      </c>
      <c r="C402" s="26">
        <f t="shared" si="75"/>
        <v>91.02</v>
      </c>
      <c r="D402" s="26">
        <f t="shared" si="75"/>
        <v>88.63</v>
      </c>
      <c r="E402" s="26">
        <f t="shared" si="75"/>
        <v>90.33</v>
      </c>
    </row>
    <row r="403">
      <c r="A403" s="22" t="s">
        <v>100</v>
      </c>
      <c r="B403" s="24">
        <v>636.0</v>
      </c>
      <c r="C403" s="24">
        <v>632.0</v>
      </c>
      <c r="D403" s="24">
        <v>613.0</v>
      </c>
      <c r="E403" s="24">
        <v>632.0</v>
      </c>
    </row>
    <row r="404">
      <c r="A404" s="11" t="s">
        <v>471</v>
      </c>
      <c r="C404" s="3" t="s">
        <v>132</v>
      </c>
    </row>
    <row r="405">
      <c r="A405" s="25" t="s">
        <v>178</v>
      </c>
      <c r="B405" s="24" t="s">
        <v>536</v>
      </c>
      <c r="C405" s="24" t="s">
        <v>476</v>
      </c>
    </row>
    <row r="406">
      <c r="A406" s="22" t="s">
        <v>103</v>
      </c>
      <c r="B406" s="24"/>
      <c r="D406" s="24" t="s">
        <v>540</v>
      </c>
    </row>
    <row r="409">
      <c r="A409" s="44" t="s">
        <v>50</v>
      </c>
      <c r="B409" s="20" t="s">
        <v>541</v>
      </c>
    </row>
    <row r="410">
      <c r="B410" s="21" t="s">
        <v>4</v>
      </c>
      <c r="C410" s="21" t="s">
        <v>5</v>
      </c>
      <c r="D410" s="21" t="s">
        <v>6</v>
      </c>
      <c r="E410" s="21" t="s">
        <v>7</v>
      </c>
    </row>
    <row r="411">
      <c r="A411" s="22" t="s">
        <v>91</v>
      </c>
      <c r="B411" s="24">
        <v>61.1</v>
      </c>
      <c r="C411" s="24">
        <v>59.6</v>
      </c>
      <c r="D411" s="24">
        <v>65.6</v>
      </c>
      <c r="E411" s="24">
        <v>63.5</v>
      </c>
    </row>
    <row r="412">
      <c r="A412" s="22" t="s">
        <v>92</v>
      </c>
      <c r="B412" s="24">
        <v>1.0</v>
      </c>
      <c r="C412" s="24">
        <v>3.0</v>
      </c>
      <c r="D412" s="24">
        <v>5.0</v>
      </c>
      <c r="E412" s="24">
        <v>7.0</v>
      </c>
    </row>
    <row r="413">
      <c r="A413" s="22" t="s">
        <v>93</v>
      </c>
      <c r="B413" s="24">
        <f>B396-B412</f>
        <v>21042</v>
      </c>
      <c r="C413" s="24">
        <v>20827.0</v>
      </c>
      <c r="D413" s="24">
        <f t="shared" ref="D413:E413" si="76">D396-D412</f>
        <v>20745</v>
      </c>
      <c r="E413" s="24">
        <f t="shared" si="76"/>
        <v>20983</v>
      </c>
    </row>
    <row r="414">
      <c r="A414" s="22" t="s">
        <v>94</v>
      </c>
      <c r="B414" s="23">
        <f t="shared" ref="B414:E414" si="77">B420*30</f>
        <v>18930</v>
      </c>
      <c r="C414" s="23">
        <f t="shared" si="77"/>
        <v>18690</v>
      </c>
      <c r="D414" s="23">
        <f t="shared" si="77"/>
        <v>18450</v>
      </c>
      <c r="E414" s="23">
        <f t="shared" si="77"/>
        <v>18870</v>
      </c>
    </row>
    <row r="415">
      <c r="A415" s="22" t="s">
        <v>95</v>
      </c>
      <c r="B415" s="24">
        <v>11.0</v>
      </c>
      <c r="C415" s="24">
        <v>12.0</v>
      </c>
      <c r="D415" s="24">
        <v>14.0</v>
      </c>
      <c r="E415" s="24">
        <v>13.0</v>
      </c>
    </row>
    <row r="416">
      <c r="A416" s="22" t="s">
        <v>96</v>
      </c>
      <c r="B416" s="24">
        <v>3.0</v>
      </c>
      <c r="C416" s="24">
        <v>6.0</v>
      </c>
      <c r="D416" s="24">
        <v>8.0</v>
      </c>
      <c r="E416" s="24">
        <v>5.0</v>
      </c>
    </row>
    <row r="417">
      <c r="A417" s="22" t="s">
        <v>111</v>
      </c>
      <c r="B417" s="24">
        <v>110.0</v>
      </c>
      <c r="C417" s="24">
        <v>110.0</v>
      </c>
      <c r="D417" s="24">
        <v>110.0</v>
      </c>
      <c r="E417" s="24">
        <v>110.0</v>
      </c>
    </row>
    <row r="418">
      <c r="A418" s="22" t="s">
        <v>98</v>
      </c>
      <c r="B418" s="24">
        <v>1.0</v>
      </c>
      <c r="C418" s="24">
        <v>1.0</v>
      </c>
      <c r="D418" s="24">
        <v>1.0</v>
      </c>
      <c r="E418" s="24">
        <v>1.0</v>
      </c>
    </row>
    <row r="419">
      <c r="A419" s="22" t="s">
        <v>112</v>
      </c>
      <c r="B419" s="26">
        <f>round(((B414/B413)*100),2)</f>
        <v>89.96</v>
      </c>
      <c r="C419" s="26">
        <f t="shared" ref="C419:E419" si="78">round(((C414/C413)*100),2)</f>
        <v>89.74</v>
      </c>
      <c r="D419" s="26">
        <f t="shared" si="78"/>
        <v>88.94</v>
      </c>
      <c r="E419" s="26">
        <f t="shared" si="78"/>
        <v>89.93</v>
      </c>
    </row>
    <row r="420">
      <c r="A420" s="22" t="s">
        <v>100</v>
      </c>
      <c r="B420" s="24">
        <v>631.0</v>
      </c>
      <c r="C420" s="24">
        <v>623.0</v>
      </c>
      <c r="D420" s="24">
        <v>615.0</v>
      </c>
      <c r="E420" s="24">
        <v>629.0</v>
      </c>
    </row>
    <row r="421">
      <c r="A421" s="11" t="s">
        <v>471</v>
      </c>
      <c r="C421" s="3" t="s">
        <v>542</v>
      </c>
      <c r="D421" s="3" t="s">
        <v>543</v>
      </c>
    </row>
    <row r="422">
      <c r="A422" s="25" t="s">
        <v>178</v>
      </c>
      <c r="B422" s="24" t="s">
        <v>544</v>
      </c>
      <c r="C422" s="24" t="s">
        <v>545</v>
      </c>
    </row>
    <row r="423">
      <c r="A423" s="22" t="s">
        <v>103</v>
      </c>
      <c r="B423" s="24" t="s">
        <v>546</v>
      </c>
      <c r="D423" s="24" t="s">
        <v>547</v>
      </c>
    </row>
    <row r="426">
      <c r="A426" s="44" t="s">
        <v>50</v>
      </c>
      <c r="B426" s="20" t="s">
        <v>548</v>
      </c>
    </row>
    <row r="427">
      <c r="B427" s="21" t="s">
        <v>4</v>
      </c>
      <c r="C427" s="21" t="s">
        <v>5</v>
      </c>
      <c r="D427" s="21" t="s">
        <v>6</v>
      </c>
      <c r="E427" s="21" t="s">
        <v>7</v>
      </c>
    </row>
    <row r="428">
      <c r="A428" s="22" t="s">
        <v>91</v>
      </c>
      <c r="B428" s="24">
        <v>61.2</v>
      </c>
      <c r="C428" s="24">
        <v>59.7</v>
      </c>
      <c r="D428" s="24">
        <v>65.7</v>
      </c>
      <c r="E428" s="24">
        <v>63.6</v>
      </c>
    </row>
    <row r="429">
      <c r="A429" s="22" t="s">
        <v>92</v>
      </c>
      <c r="B429" s="24">
        <v>10.0</v>
      </c>
      <c r="C429" s="24">
        <v>2.0</v>
      </c>
      <c r="D429" s="24">
        <v>6.0</v>
      </c>
      <c r="E429" s="24">
        <v>3.0</v>
      </c>
    </row>
    <row r="430">
      <c r="A430" s="22" t="s">
        <v>93</v>
      </c>
      <c r="B430" s="24">
        <f>B413-B429</f>
        <v>21032</v>
      </c>
      <c r="C430" s="24">
        <v>20813.0</v>
      </c>
      <c r="D430" s="24">
        <f>D413-D429-6</f>
        <v>20733</v>
      </c>
      <c r="E430" s="24">
        <f>E413-E429</f>
        <v>20980</v>
      </c>
    </row>
    <row r="431">
      <c r="A431" s="22" t="s">
        <v>94</v>
      </c>
      <c r="B431" s="23">
        <f t="shared" ref="B431:E431" si="79">B437*30</f>
        <v>19080</v>
      </c>
      <c r="C431" s="23">
        <f t="shared" si="79"/>
        <v>18660</v>
      </c>
      <c r="D431" s="23">
        <f t="shared" si="79"/>
        <v>18480</v>
      </c>
      <c r="E431" s="23">
        <f t="shared" si="79"/>
        <v>18960</v>
      </c>
    </row>
    <row r="432">
      <c r="A432" s="22" t="s">
        <v>95</v>
      </c>
      <c r="B432" s="24">
        <v>20.0</v>
      </c>
      <c r="C432" s="24">
        <v>6.0</v>
      </c>
      <c r="D432" s="24">
        <v>13.0</v>
      </c>
      <c r="E432" s="24">
        <v>10.0</v>
      </c>
    </row>
    <row r="433">
      <c r="A433" s="22" t="s">
        <v>96</v>
      </c>
      <c r="B433" s="24">
        <v>8.0</v>
      </c>
      <c r="C433" s="24">
        <v>4.0</v>
      </c>
      <c r="D433" s="24">
        <v>9.0</v>
      </c>
      <c r="E433" s="24">
        <v>11.0</v>
      </c>
    </row>
    <row r="434">
      <c r="A434" s="22" t="s">
        <v>111</v>
      </c>
      <c r="B434" s="24">
        <v>0.0</v>
      </c>
      <c r="C434" s="24">
        <v>0.0</v>
      </c>
      <c r="D434" s="24">
        <v>0.0</v>
      </c>
      <c r="E434" s="24">
        <v>0.0</v>
      </c>
    </row>
    <row r="435">
      <c r="A435" s="22" t="s">
        <v>98</v>
      </c>
      <c r="B435" s="24">
        <v>1.0</v>
      </c>
      <c r="C435" s="24">
        <v>1.0</v>
      </c>
      <c r="D435" s="24">
        <v>1.0</v>
      </c>
      <c r="E435" s="24">
        <v>1.0</v>
      </c>
    </row>
    <row r="436">
      <c r="A436" s="22" t="s">
        <v>112</v>
      </c>
      <c r="B436" s="26">
        <f>round(((B431/B430)*100),2)</f>
        <v>90.72</v>
      </c>
      <c r="C436" s="26">
        <f t="shared" ref="C436:E436" si="80">round(((C431/C430)*100),2)</f>
        <v>89.66</v>
      </c>
      <c r="D436" s="26">
        <f t="shared" si="80"/>
        <v>89.13</v>
      </c>
      <c r="E436" s="26">
        <f t="shared" si="80"/>
        <v>90.37</v>
      </c>
    </row>
    <row r="437">
      <c r="A437" s="22" t="s">
        <v>100</v>
      </c>
      <c r="B437" s="24">
        <v>636.0</v>
      </c>
      <c r="C437" s="24">
        <v>622.0</v>
      </c>
      <c r="D437" s="24">
        <v>616.0</v>
      </c>
      <c r="E437" s="24">
        <v>632.0</v>
      </c>
    </row>
    <row r="438">
      <c r="A438" s="11" t="s">
        <v>471</v>
      </c>
      <c r="C438" s="3" t="s">
        <v>132</v>
      </c>
      <c r="D438" s="3" t="s">
        <v>132</v>
      </c>
    </row>
    <row r="439">
      <c r="A439" s="25" t="s">
        <v>178</v>
      </c>
      <c r="B439" s="24" t="s">
        <v>549</v>
      </c>
      <c r="C439" s="24" t="s">
        <v>480</v>
      </c>
    </row>
    <row r="440">
      <c r="A440" s="22" t="s">
        <v>103</v>
      </c>
      <c r="B440" s="24" t="s">
        <v>550</v>
      </c>
      <c r="D440" s="24" t="s">
        <v>551</v>
      </c>
    </row>
    <row r="443">
      <c r="A443" s="44" t="s">
        <v>50</v>
      </c>
      <c r="B443" s="20" t="s">
        <v>552</v>
      </c>
    </row>
    <row r="444">
      <c r="B444" s="21" t="s">
        <v>4</v>
      </c>
      <c r="C444" s="21" t="s">
        <v>5</v>
      </c>
      <c r="D444" s="21" t="s">
        <v>6</v>
      </c>
      <c r="E444" s="21" t="s">
        <v>7</v>
      </c>
    </row>
    <row r="445">
      <c r="A445" s="22" t="s">
        <v>91</v>
      </c>
      <c r="B445" s="24">
        <v>61.3</v>
      </c>
      <c r="C445" s="24">
        <v>60.1</v>
      </c>
      <c r="D445" s="24">
        <v>66.1</v>
      </c>
      <c r="E445" s="24">
        <v>63.7</v>
      </c>
    </row>
    <row r="446">
      <c r="A446" s="22" t="s">
        <v>92</v>
      </c>
      <c r="B446" s="24">
        <v>2.0</v>
      </c>
      <c r="C446" s="24">
        <v>2.0</v>
      </c>
      <c r="D446" s="24">
        <v>4.0</v>
      </c>
      <c r="E446" s="24">
        <v>6.0</v>
      </c>
    </row>
    <row r="447">
      <c r="A447" s="22" t="s">
        <v>93</v>
      </c>
      <c r="B447" s="24">
        <f>B430-B446</f>
        <v>21030</v>
      </c>
      <c r="C447" s="24">
        <v>20811.0</v>
      </c>
      <c r="D447" s="24">
        <f>D430-D44</f>
        <v>20732</v>
      </c>
      <c r="E447" s="24">
        <f>E430-E446</f>
        <v>20974</v>
      </c>
    </row>
    <row r="448">
      <c r="A448" s="22" t="s">
        <v>94</v>
      </c>
      <c r="B448" s="23">
        <f t="shared" ref="B448:E448" si="81">B454*30</f>
        <v>19110</v>
      </c>
      <c r="C448" s="23">
        <f t="shared" si="81"/>
        <v>19020</v>
      </c>
      <c r="D448" s="23">
        <f t="shared" si="81"/>
        <v>18480</v>
      </c>
      <c r="E448" s="23">
        <f t="shared" si="81"/>
        <v>19140</v>
      </c>
    </row>
    <row r="449">
      <c r="A449" s="22" t="s">
        <v>95</v>
      </c>
      <c r="B449" s="24">
        <v>8.0</v>
      </c>
      <c r="C449" s="24">
        <v>17.0</v>
      </c>
      <c r="D449" s="24">
        <v>14.0</v>
      </c>
      <c r="E449" s="24">
        <v>14.0</v>
      </c>
    </row>
    <row r="450">
      <c r="A450" s="22" t="s">
        <v>96</v>
      </c>
      <c r="B450" s="24">
        <v>8.0</v>
      </c>
      <c r="C450" s="24">
        <v>4.0</v>
      </c>
      <c r="D450" s="24">
        <v>7.0</v>
      </c>
      <c r="E450" s="24">
        <v>2.0</v>
      </c>
    </row>
    <row r="451">
      <c r="A451" s="22" t="s">
        <v>111</v>
      </c>
      <c r="B451" s="24">
        <v>55.0</v>
      </c>
      <c r="C451" s="24">
        <v>55.0</v>
      </c>
      <c r="D451" s="24">
        <v>55.0</v>
      </c>
      <c r="E451" s="24">
        <v>55.0</v>
      </c>
    </row>
    <row r="452">
      <c r="A452" s="22" t="s">
        <v>98</v>
      </c>
      <c r="B452" s="24">
        <v>1.0</v>
      </c>
      <c r="C452" s="24">
        <v>1.0</v>
      </c>
      <c r="D452" s="24">
        <v>1.0</v>
      </c>
      <c r="E452" s="24">
        <v>1.0</v>
      </c>
    </row>
    <row r="453">
      <c r="A453" s="22" t="s">
        <v>112</v>
      </c>
      <c r="B453" s="26">
        <f>round(((B448/B447)*100),2)</f>
        <v>90.87</v>
      </c>
      <c r="C453" s="26">
        <f>round(((C448/C447)*100),2)</f>
        <v>91.39</v>
      </c>
      <c r="D453" s="26">
        <f>round(((D448/D447)*100),2)</f>
        <v>89.14</v>
      </c>
      <c r="E453" s="26">
        <f>round(((E448/E447)*100),2)</f>
        <v>91.26</v>
      </c>
    </row>
    <row r="454">
      <c r="A454" s="22" t="s">
        <v>100</v>
      </c>
      <c r="B454" s="24">
        <v>637.0</v>
      </c>
      <c r="C454" s="24">
        <v>634.0</v>
      </c>
      <c r="D454" s="24">
        <v>616.0</v>
      </c>
      <c r="E454" s="24">
        <v>638.0</v>
      </c>
    </row>
    <row r="455">
      <c r="A455" s="11" t="s">
        <v>471</v>
      </c>
      <c r="C455" s="3" t="s">
        <v>132</v>
      </c>
      <c r="D455" s="3" t="s">
        <v>132</v>
      </c>
    </row>
    <row r="456">
      <c r="A456" s="25" t="s">
        <v>178</v>
      </c>
      <c r="B456" s="24" t="s">
        <v>536</v>
      </c>
      <c r="C456" s="24" t="s">
        <v>185</v>
      </c>
    </row>
    <row r="457">
      <c r="A457" s="22" t="s">
        <v>103</v>
      </c>
      <c r="B457" s="24" t="s">
        <v>553</v>
      </c>
      <c r="D457" s="24" t="s">
        <v>554</v>
      </c>
    </row>
    <row r="460">
      <c r="A460" s="44" t="s">
        <v>50</v>
      </c>
      <c r="B460" s="20" t="s">
        <v>555</v>
      </c>
    </row>
    <row r="461">
      <c r="B461" s="21" t="s">
        <v>4</v>
      </c>
      <c r="C461" s="21" t="s">
        <v>5</v>
      </c>
      <c r="D461" s="21" t="s">
        <v>6</v>
      </c>
      <c r="E461" s="21" t="s">
        <v>7</v>
      </c>
    </row>
    <row r="462">
      <c r="A462" s="22" t="s">
        <v>91</v>
      </c>
      <c r="B462" s="24">
        <v>61.4</v>
      </c>
      <c r="C462" s="24">
        <v>60.2</v>
      </c>
      <c r="D462" s="24">
        <v>66.2</v>
      </c>
      <c r="E462" s="24">
        <v>64.1</v>
      </c>
    </row>
    <row r="463">
      <c r="A463" s="22" t="s">
        <v>92</v>
      </c>
      <c r="B463" s="24">
        <v>4.0</v>
      </c>
      <c r="C463" s="24">
        <v>3.0</v>
      </c>
      <c r="D463" s="24">
        <v>5.0</v>
      </c>
      <c r="E463" s="24">
        <v>3.0</v>
      </c>
    </row>
    <row r="464">
      <c r="A464" s="22" t="s">
        <v>93</v>
      </c>
      <c r="B464" s="24">
        <f>B447-B463</f>
        <v>21026</v>
      </c>
      <c r="C464" s="24">
        <v>20808.0</v>
      </c>
      <c r="D464" s="24">
        <f t="shared" ref="D464:E464" si="82">D447-D463</f>
        <v>20727</v>
      </c>
      <c r="E464" s="24">
        <f t="shared" si="82"/>
        <v>20971</v>
      </c>
    </row>
    <row r="465">
      <c r="A465" s="22" t="s">
        <v>94</v>
      </c>
      <c r="B465" s="23">
        <f t="shared" ref="B465:E465" si="83">B471*30</f>
        <v>19110</v>
      </c>
      <c r="C465" s="23">
        <f t="shared" si="83"/>
        <v>19020</v>
      </c>
      <c r="D465" s="23">
        <f t="shared" si="83"/>
        <v>18510</v>
      </c>
      <c r="E465" s="23">
        <f t="shared" si="83"/>
        <v>19320</v>
      </c>
    </row>
    <row r="466">
      <c r="A466" s="22" t="s">
        <v>95</v>
      </c>
      <c r="B466" s="24">
        <v>21.0</v>
      </c>
      <c r="C466" s="24">
        <v>5.0</v>
      </c>
      <c r="D466" s="24">
        <v>17.0</v>
      </c>
      <c r="E466" s="24">
        <v>16.0</v>
      </c>
    </row>
    <row r="467">
      <c r="A467" s="22" t="s">
        <v>96</v>
      </c>
      <c r="B467" s="24">
        <v>10.0</v>
      </c>
      <c r="C467" s="24">
        <v>3.0</v>
      </c>
      <c r="D467" s="24">
        <v>7.0</v>
      </c>
      <c r="E467" s="24">
        <v>3.0</v>
      </c>
    </row>
    <row r="468">
      <c r="A468" s="22" t="s">
        <v>111</v>
      </c>
      <c r="B468" s="24">
        <v>0.0</v>
      </c>
      <c r="C468" s="24">
        <v>0.0</v>
      </c>
      <c r="D468" s="24">
        <v>0.0</v>
      </c>
      <c r="E468" s="24">
        <v>0.0</v>
      </c>
    </row>
    <row r="469">
      <c r="A469" s="22" t="s">
        <v>98</v>
      </c>
      <c r="B469" s="24">
        <v>1.0</v>
      </c>
      <c r="C469" s="24">
        <v>1.0</v>
      </c>
      <c r="D469" s="24">
        <v>1.0</v>
      </c>
      <c r="E469" s="24">
        <v>1.0</v>
      </c>
    </row>
    <row r="470">
      <c r="A470" s="22" t="s">
        <v>112</v>
      </c>
      <c r="B470" s="26">
        <f>round(((B465/B464)*100),2)</f>
        <v>90.89</v>
      </c>
      <c r="C470" s="26">
        <f>round(((C465/C464)*100),2)</f>
        <v>91.41</v>
      </c>
      <c r="D470" s="26">
        <f>round(((D465/D464)*100),2)</f>
        <v>89.3</v>
      </c>
      <c r="E470" s="26">
        <f>round(((E465/E464)*100),2)</f>
        <v>92.13</v>
      </c>
    </row>
    <row r="471">
      <c r="A471" s="22" t="s">
        <v>100</v>
      </c>
      <c r="B471" s="24">
        <v>637.0</v>
      </c>
      <c r="C471" s="24">
        <v>634.0</v>
      </c>
      <c r="D471" s="24">
        <v>617.0</v>
      </c>
      <c r="E471" s="24">
        <v>644.0</v>
      </c>
    </row>
    <row r="472">
      <c r="A472" s="11" t="s">
        <v>471</v>
      </c>
      <c r="C472" s="3" t="s">
        <v>132</v>
      </c>
      <c r="D472" s="3" t="s">
        <v>132</v>
      </c>
    </row>
    <row r="473">
      <c r="A473" s="25" t="s">
        <v>178</v>
      </c>
      <c r="B473" s="24" t="s">
        <v>556</v>
      </c>
      <c r="C473" s="24" t="s">
        <v>473</v>
      </c>
    </row>
    <row r="474">
      <c r="A474" s="22" t="s">
        <v>103</v>
      </c>
      <c r="B474" s="24" t="s">
        <v>557</v>
      </c>
      <c r="D474" s="24" t="s">
        <v>558</v>
      </c>
    </row>
    <row r="477">
      <c r="A477" s="44" t="s">
        <v>50</v>
      </c>
      <c r="B477" s="20" t="s">
        <v>559</v>
      </c>
    </row>
    <row r="478">
      <c r="B478" s="21" t="s">
        <v>4</v>
      </c>
      <c r="C478" s="21" t="s">
        <v>5</v>
      </c>
      <c r="D478" s="21" t="s">
        <v>6</v>
      </c>
      <c r="E478" s="21" t="s">
        <v>7</v>
      </c>
    </row>
    <row r="479">
      <c r="A479" s="22" t="s">
        <v>91</v>
      </c>
      <c r="B479" s="24">
        <v>61.5</v>
      </c>
      <c r="C479" s="24">
        <v>60.3</v>
      </c>
      <c r="D479" s="24">
        <v>66.3</v>
      </c>
      <c r="E479" s="24">
        <v>64.2</v>
      </c>
    </row>
    <row r="480">
      <c r="A480" s="22" t="s">
        <v>92</v>
      </c>
      <c r="B480" s="24">
        <v>3.0</v>
      </c>
      <c r="C480" s="24">
        <v>6.0</v>
      </c>
      <c r="D480" s="24">
        <v>3.0</v>
      </c>
      <c r="E480" s="24">
        <v>2.0</v>
      </c>
    </row>
    <row r="481">
      <c r="A481" s="22" t="s">
        <v>93</v>
      </c>
      <c r="B481" s="24">
        <f t="shared" ref="B481:E481" si="84">B464-B480</f>
        <v>21023</v>
      </c>
      <c r="C481" s="24">
        <f t="shared" si="84"/>
        <v>20802</v>
      </c>
      <c r="D481" s="24">
        <f t="shared" si="84"/>
        <v>20724</v>
      </c>
      <c r="E481" s="24">
        <f t="shared" si="84"/>
        <v>20969</v>
      </c>
    </row>
    <row r="482">
      <c r="A482" s="22" t="s">
        <v>94</v>
      </c>
      <c r="B482" s="23">
        <f t="shared" ref="B482:E482" si="85">B488*30</f>
        <v>19110</v>
      </c>
      <c r="C482" s="23">
        <f t="shared" si="85"/>
        <v>19170</v>
      </c>
      <c r="D482" s="23">
        <f t="shared" si="85"/>
        <v>18540</v>
      </c>
      <c r="E482" s="23">
        <f t="shared" si="85"/>
        <v>19260</v>
      </c>
    </row>
    <row r="483">
      <c r="A483" s="22" t="s">
        <v>95</v>
      </c>
      <c r="B483" s="24">
        <v>17.0</v>
      </c>
      <c r="C483" s="24">
        <v>8.0</v>
      </c>
      <c r="D483" s="24">
        <v>14.0</v>
      </c>
      <c r="E483" s="24">
        <v>18.0</v>
      </c>
    </row>
    <row r="484">
      <c r="A484" s="22" t="s">
        <v>96</v>
      </c>
      <c r="B484" s="24">
        <v>9.0</v>
      </c>
      <c r="C484" s="24">
        <v>5.0</v>
      </c>
      <c r="D484" s="24">
        <v>5.0</v>
      </c>
      <c r="E484" s="24">
        <v>10.0</v>
      </c>
    </row>
    <row r="485">
      <c r="A485" s="22" t="s">
        <v>111</v>
      </c>
      <c r="B485" s="24">
        <v>110.0</v>
      </c>
      <c r="C485" s="24">
        <v>110.0</v>
      </c>
      <c r="D485" s="24">
        <v>110.0</v>
      </c>
      <c r="E485" s="24">
        <v>110.0</v>
      </c>
    </row>
    <row r="486">
      <c r="A486" s="22" t="s">
        <v>98</v>
      </c>
      <c r="B486" s="24">
        <v>1.0</v>
      </c>
      <c r="C486" s="24">
        <v>1.0</v>
      </c>
      <c r="D486" s="24">
        <v>1.0</v>
      </c>
      <c r="E486" s="24">
        <v>1.0</v>
      </c>
    </row>
    <row r="487">
      <c r="A487" s="22" t="s">
        <v>112</v>
      </c>
      <c r="B487" s="26">
        <f>round(((B482/B481)*100),2)</f>
        <v>90.9</v>
      </c>
      <c r="C487" s="26">
        <f>round(((C482/C481)*100),2)</f>
        <v>92.15</v>
      </c>
      <c r="D487" s="26">
        <f>round(((D482/D481)*100),2)</f>
        <v>89.46</v>
      </c>
      <c r="E487" s="26">
        <f>round(((E482/E481)*100),2)</f>
        <v>91.85</v>
      </c>
    </row>
    <row r="488">
      <c r="A488" s="22" t="s">
        <v>100</v>
      </c>
      <c r="B488" s="24">
        <v>637.0</v>
      </c>
      <c r="C488" s="24">
        <v>639.0</v>
      </c>
      <c r="D488" s="24">
        <v>618.0</v>
      </c>
      <c r="E488" s="24">
        <v>642.0</v>
      </c>
    </row>
    <row r="489">
      <c r="A489" s="11" t="s">
        <v>471</v>
      </c>
      <c r="C489" s="3" t="s">
        <v>132</v>
      </c>
      <c r="D489" s="3" t="s">
        <v>132</v>
      </c>
    </row>
    <row r="490">
      <c r="A490" s="25" t="s">
        <v>178</v>
      </c>
      <c r="B490" s="24" t="s">
        <v>560</v>
      </c>
      <c r="C490" s="24" t="s">
        <v>476</v>
      </c>
    </row>
    <row r="491">
      <c r="A491" s="22" t="s">
        <v>103</v>
      </c>
      <c r="B491" s="24" t="s">
        <v>561</v>
      </c>
      <c r="D491" s="24" t="s">
        <v>562</v>
      </c>
    </row>
    <row r="494">
      <c r="A494" s="44" t="s">
        <v>50</v>
      </c>
      <c r="B494" s="20" t="s">
        <v>563</v>
      </c>
    </row>
    <row r="495">
      <c r="B495" s="21" t="s">
        <v>4</v>
      </c>
      <c r="C495" s="21" t="s">
        <v>5</v>
      </c>
      <c r="D495" s="21" t="s">
        <v>6</v>
      </c>
      <c r="E495" s="21" t="s">
        <v>7</v>
      </c>
    </row>
    <row r="496">
      <c r="A496" s="22" t="s">
        <v>91</v>
      </c>
      <c r="B496" s="24">
        <v>61.6</v>
      </c>
      <c r="C496" s="24">
        <v>60.4</v>
      </c>
      <c r="D496" s="24">
        <v>66.4</v>
      </c>
      <c r="E496" s="24">
        <v>64.3</v>
      </c>
    </row>
    <row r="497">
      <c r="A497" s="22" t="s">
        <v>92</v>
      </c>
      <c r="B497" s="24">
        <v>5.0</v>
      </c>
      <c r="C497" s="24">
        <v>4.0</v>
      </c>
      <c r="D497" s="24">
        <v>3.0</v>
      </c>
      <c r="E497" s="24">
        <v>2.0</v>
      </c>
    </row>
    <row r="498">
      <c r="A498" s="22" t="s">
        <v>93</v>
      </c>
      <c r="B498" s="24">
        <f t="shared" ref="B498:E498" si="86">B481-B497</f>
        <v>21018</v>
      </c>
      <c r="C498" s="24">
        <f t="shared" si="86"/>
        <v>20798</v>
      </c>
      <c r="D498" s="24">
        <f t="shared" si="86"/>
        <v>20721</v>
      </c>
      <c r="E498" s="24">
        <f t="shared" si="86"/>
        <v>20967</v>
      </c>
    </row>
    <row r="499">
      <c r="A499" s="22" t="s">
        <v>94</v>
      </c>
      <c r="B499" s="23">
        <f t="shared" ref="B499:E499" si="87">B505*30</f>
        <v>19110</v>
      </c>
      <c r="C499" s="23">
        <f t="shared" si="87"/>
        <v>18750</v>
      </c>
      <c r="D499" s="23">
        <f t="shared" si="87"/>
        <v>18510</v>
      </c>
      <c r="E499" s="23">
        <f t="shared" si="87"/>
        <v>18960</v>
      </c>
    </row>
    <row r="500">
      <c r="A500" s="22" t="s">
        <v>95</v>
      </c>
      <c r="B500" s="24">
        <v>19.0</v>
      </c>
      <c r="C500" s="24">
        <v>7.0</v>
      </c>
      <c r="D500" s="24">
        <v>18.0</v>
      </c>
      <c r="E500" s="24">
        <v>17.0</v>
      </c>
    </row>
    <row r="501">
      <c r="A501" s="22" t="s">
        <v>96</v>
      </c>
      <c r="B501" s="24">
        <v>11.0</v>
      </c>
      <c r="C501" s="24">
        <v>7.0</v>
      </c>
      <c r="D501" s="24">
        <v>5.0</v>
      </c>
      <c r="E501" s="24">
        <v>10.0</v>
      </c>
    </row>
    <row r="502">
      <c r="A502" s="22" t="s">
        <v>111</v>
      </c>
      <c r="B502" s="24">
        <v>0.0</v>
      </c>
      <c r="C502" s="24">
        <v>0.0</v>
      </c>
      <c r="D502" s="24">
        <v>0.0</v>
      </c>
      <c r="E502" s="24">
        <v>0.0</v>
      </c>
    </row>
    <row r="503">
      <c r="A503" s="22" t="s">
        <v>98</v>
      </c>
      <c r="B503" s="24">
        <v>1.0</v>
      </c>
      <c r="C503" s="24">
        <v>1.0</v>
      </c>
      <c r="D503" s="24">
        <v>1.0</v>
      </c>
      <c r="E503" s="24">
        <v>1.0</v>
      </c>
    </row>
    <row r="504">
      <c r="A504" s="22" t="s">
        <v>112</v>
      </c>
      <c r="B504" s="26">
        <f>round(((B499/B498)*100),2)</f>
        <v>90.92</v>
      </c>
      <c r="C504" s="26">
        <f>round(((C499/C498)*100),2)</f>
        <v>90.15</v>
      </c>
      <c r="D504" s="26">
        <f>round(((D499/D498)*100),2)</f>
        <v>89.33</v>
      </c>
      <c r="E504" s="26">
        <f>round(((E499/E498)*100),2)</f>
        <v>90.43</v>
      </c>
    </row>
    <row r="505">
      <c r="A505" s="22" t="s">
        <v>100</v>
      </c>
      <c r="B505" s="24">
        <v>637.0</v>
      </c>
      <c r="C505" s="24">
        <v>625.0</v>
      </c>
      <c r="D505" s="24">
        <v>617.0</v>
      </c>
      <c r="E505" s="24">
        <v>632.0</v>
      </c>
    </row>
    <row r="506">
      <c r="A506" s="11" t="s">
        <v>471</v>
      </c>
      <c r="C506" s="3" t="s">
        <v>132</v>
      </c>
      <c r="D506" s="3" t="s">
        <v>132</v>
      </c>
    </row>
    <row r="507">
      <c r="A507" s="25" t="s">
        <v>178</v>
      </c>
      <c r="B507" s="24" t="s">
        <v>564</v>
      </c>
      <c r="C507" s="24" t="s">
        <v>126</v>
      </c>
    </row>
    <row r="508">
      <c r="A508" s="22" t="s">
        <v>103</v>
      </c>
      <c r="B508" s="24"/>
      <c r="D508" s="24" t="s">
        <v>565</v>
      </c>
    </row>
    <row r="511">
      <c r="A511" s="44" t="s">
        <v>50</v>
      </c>
      <c r="B511" s="46">
        <v>45667.0</v>
      </c>
    </row>
    <row r="512">
      <c r="B512" s="21" t="s">
        <v>4</v>
      </c>
      <c r="C512" s="21" t="s">
        <v>5</v>
      </c>
      <c r="D512" s="21" t="s">
        <v>6</v>
      </c>
      <c r="E512" s="21" t="s">
        <v>7</v>
      </c>
      <c r="G512" s="3" t="s">
        <v>330</v>
      </c>
    </row>
    <row r="513">
      <c r="A513" s="22" t="s">
        <v>91</v>
      </c>
      <c r="B513" s="24">
        <v>61.7</v>
      </c>
      <c r="C513" s="24">
        <v>60.5</v>
      </c>
      <c r="D513" s="24">
        <v>66.5</v>
      </c>
      <c r="E513" s="24">
        <v>64.4</v>
      </c>
      <c r="G513" s="3" t="s">
        <v>566</v>
      </c>
    </row>
    <row r="514">
      <c r="A514" s="22" t="s">
        <v>92</v>
      </c>
      <c r="B514" s="24">
        <v>5.0</v>
      </c>
      <c r="C514" s="24">
        <v>6.0</v>
      </c>
      <c r="D514" s="24">
        <v>5.0</v>
      </c>
      <c r="E514" s="24">
        <v>4.0</v>
      </c>
    </row>
    <row r="515">
      <c r="A515" s="22" t="s">
        <v>93</v>
      </c>
      <c r="B515" s="24">
        <f t="shared" ref="B515:E515" si="88">B498-B514</f>
        <v>21013</v>
      </c>
      <c r="C515" s="24">
        <f t="shared" si="88"/>
        <v>20792</v>
      </c>
      <c r="D515" s="24">
        <f t="shared" si="88"/>
        <v>20716</v>
      </c>
      <c r="E515" s="24">
        <f t="shared" si="88"/>
        <v>20963</v>
      </c>
    </row>
    <row r="516">
      <c r="A516" s="22" t="s">
        <v>94</v>
      </c>
      <c r="B516" s="23">
        <f t="shared" ref="B516:E516" si="89">B522*30</f>
        <v>19050</v>
      </c>
      <c r="C516" s="23">
        <f t="shared" si="89"/>
        <v>18960</v>
      </c>
      <c r="D516" s="23">
        <f t="shared" si="89"/>
        <v>18690</v>
      </c>
      <c r="E516" s="23">
        <f t="shared" si="89"/>
        <v>19260</v>
      </c>
    </row>
    <row r="517">
      <c r="A517" s="22" t="s">
        <v>95</v>
      </c>
      <c r="B517" s="24">
        <v>18.0</v>
      </c>
      <c r="C517" s="24">
        <v>15.0</v>
      </c>
      <c r="D517" s="24">
        <v>14.0</v>
      </c>
      <c r="E517" s="24">
        <v>18.0</v>
      </c>
    </row>
    <row r="518">
      <c r="A518" s="22" t="s">
        <v>96</v>
      </c>
      <c r="B518" s="24">
        <v>12.0</v>
      </c>
      <c r="C518" s="24">
        <v>4.0</v>
      </c>
      <c r="D518" s="24">
        <v>6.0</v>
      </c>
      <c r="E518" s="24">
        <v>10.0</v>
      </c>
    </row>
    <row r="519">
      <c r="A519" s="22" t="s">
        <v>111</v>
      </c>
      <c r="B519" s="24">
        <v>0.0</v>
      </c>
      <c r="C519" s="24">
        <v>0.0</v>
      </c>
      <c r="D519" s="24">
        <v>0.0</v>
      </c>
      <c r="E519" s="24">
        <v>0.0</v>
      </c>
    </row>
    <row r="520">
      <c r="A520" s="22" t="s">
        <v>98</v>
      </c>
      <c r="B520" s="24">
        <v>1.0</v>
      </c>
      <c r="C520" s="24">
        <v>1.0</v>
      </c>
      <c r="D520" s="24">
        <v>1.0</v>
      </c>
      <c r="E520" s="24">
        <v>1.0</v>
      </c>
    </row>
    <row r="521">
      <c r="A521" s="22" t="s">
        <v>112</v>
      </c>
      <c r="B521" s="26">
        <f>round(((B516/B515)*100),2)</f>
        <v>90.66</v>
      </c>
      <c r="C521" s="26">
        <f>round(((C516/C515)*100),2)</f>
        <v>91.19</v>
      </c>
      <c r="D521" s="26">
        <f>round(((D516/D515)*100),2)</f>
        <v>90.22</v>
      </c>
      <c r="E521" s="26">
        <f>round(((E516/E515)*100),2)</f>
        <v>91.88</v>
      </c>
    </row>
    <row r="522">
      <c r="A522" s="22" t="s">
        <v>100</v>
      </c>
      <c r="B522" s="24">
        <v>635.0</v>
      </c>
      <c r="C522" s="24">
        <v>632.0</v>
      </c>
      <c r="D522" s="24">
        <v>623.0</v>
      </c>
      <c r="E522" s="24">
        <v>642.0</v>
      </c>
    </row>
    <row r="523">
      <c r="A523" s="11" t="s">
        <v>471</v>
      </c>
      <c r="C523" s="3" t="s">
        <v>132</v>
      </c>
      <c r="D523" s="3" t="s">
        <v>132</v>
      </c>
    </row>
    <row r="524">
      <c r="A524" s="25" t="s">
        <v>178</v>
      </c>
      <c r="B524" s="24" t="s">
        <v>500</v>
      </c>
      <c r="C524" s="24" t="s">
        <v>509</v>
      </c>
    </row>
    <row r="525">
      <c r="A525" s="22" t="s">
        <v>103</v>
      </c>
      <c r="B525" s="24" t="s">
        <v>567</v>
      </c>
      <c r="D525" s="24" t="s">
        <v>568</v>
      </c>
    </row>
    <row r="528">
      <c r="A528" s="44" t="s">
        <v>50</v>
      </c>
      <c r="B528" s="46">
        <v>45698.0</v>
      </c>
    </row>
    <row r="529">
      <c r="B529" s="21" t="s">
        <v>4</v>
      </c>
      <c r="C529" s="21" t="s">
        <v>5</v>
      </c>
      <c r="D529" s="21" t="s">
        <v>6</v>
      </c>
      <c r="E529" s="21" t="s">
        <v>7</v>
      </c>
    </row>
    <row r="530">
      <c r="A530" s="22" t="s">
        <v>91</v>
      </c>
      <c r="B530" s="24">
        <v>62.1</v>
      </c>
      <c r="C530" s="24">
        <v>60.6</v>
      </c>
      <c r="D530" s="24">
        <v>66.6</v>
      </c>
      <c r="E530" s="24">
        <v>64.5</v>
      </c>
    </row>
    <row r="531">
      <c r="A531" s="22" t="s">
        <v>92</v>
      </c>
      <c r="B531" s="24">
        <v>5.0</v>
      </c>
      <c r="C531" s="24">
        <v>3.0</v>
      </c>
      <c r="D531" s="24">
        <v>4.0</v>
      </c>
      <c r="E531" s="24">
        <v>7.0</v>
      </c>
      <c r="G531" s="3" t="s">
        <v>569</v>
      </c>
    </row>
    <row r="532">
      <c r="A532" s="22" t="s">
        <v>93</v>
      </c>
      <c r="B532" s="24">
        <f t="shared" ref="B532:E532" si="90">B515-B531</f>
        <v>21008</v>
      </c>
      <c r="C532" s="24">
        <f t="shared" si="90"/>
        <v>20789</v>
      </c>
      <c r="D532" s="24">
        <f t="shared" si="90"/>
        <v>20712</v>
      </c>
      <c r="E532" s="24">
        <f t="shared" si="90"/>
        <v>20956</v>
      </c>
    </row>
    <row r="533">
      <c r="A533" s="22" t="s">
        <v>94</v>
      </c>
      <c r="B533" s="23">
        <f t="shared" ref="B533:E533" si="91">B539*30</f>
        <v>19080</v>
      </c>
      <c r="C533" s="23">
        <f t="shared" si="91"/>
        <v>18780</v>
      </c>
      <c r="D533" s="23">
        <f t="shared" si="91"/>
        <v>18780</v>
      </c>
      <c r="E533" s="23">
        <f t="shared" si="91"/>
        <v>19320</v>
      </c>
    </row>
    <row r="534">
      <c r="A534" s="22" t="s">
        <v>95</v>
      </c>
      <c r="B534" s="24">
        <v>16.0</v>
      </c>
      <c r="C534" s="24">
        <v>17.0</v>
      </c>
      <c r="D534" s="24">
        <v>18.0</v>
      </c>
      <c r="E534" s="24">
        <v>15.0</v>
      </c>
    </row>
    <row r="535">
      <c r="A535" s="22" t="s">
        <v>96</v>
      </c>
      <c r="B535" s="24">
        <v>9.0</v>
      </c>
      <c r="C535" s="24">
        <v>7.0</v>
      </c>
      <c r="D535" s="24">
        <v>9.0</v>
      </c>
      <c r="E535" s="24">
        <v>6.0</v>
      </c>
    </row>
    <row r="536">
      <c r="A536" s="22" t="s">
        <v>111</v>
      </c>
      <c r="B536" s="24">
        <v>110.0</v>
      </c>
      <c r="C536" s="24">
        <v>110.0</v>
      </c>
      <c r="D536" s="24">
        <v>110.0</v>
      </c>
      <c r="E536" s="24">
        <v>110.0</v>
      </c>
    </row>
    <row r="537">
      <c r="A537" s="22" t="s">
        <v>98</v>
      </c>
      <c r="B537" s="24">
        <v>2.0</v>
      </c>
      <c r="C537" s="24">
        <v>1.0</v>
      </c>
      <c r="D537" s="24">
        <v>1.0</v>
      </c>
      <c r="E537" s="24">
        <v>1.0</v>
      </c>
    </row>
    <row r="538">
      <c r="A538" s="22" t="s">
        <v>112</v>
      </c>
      <c r="B538" s="26">
        <f>round(((B533/B532)*100),2)</f>
        <v>90.82</v>
      </c>
      <c r="C538" s="26">
        <f>round(((C533/C532)*100),2)</f>
        <v>90.34</v>
      </c>
      <c r="D538" s="26">
        <f>round(((D533/D532)*100),2)</f>
        <v>90.67</v>
      </c>
      <c r="E538" s="26">
        <f>round(((E533/E532)*100),2)</f>
        <v>92.19</v>
      </c>
    </row>
    <row r="539">
      <c r="A539" s="22" t="s">
        <v>100</v>
      </c>
      <c r="B539" s="24">
        <v>636.0</v>
      </c>
      <c r="C539" s="24">
        <v>626.0</v>
      </c>
      <c r="D539" s="24">
        <v>626.0</v>
      </c>
      <c r="E539" s="24">
        <v>644.0</v>
      </c>
    </row>
    <row r="540">
      <c r="A540" s="11" t="s">
        <v>471</v>
      </c>
      <c r="C540" s="3" t="s">
        <v>132</v>
      </c>
      <c r="D540" s="3" t="s">
        <v>132</v>
      </c>
    </row>
    <row r="541">
      <c r="A541" s="25" t="s">
        <v>178</v>
      </c>
      <c r="B541" s="24" t="s">
        <v>564</v>
      </c>
      <c r="C541" s="24" t="s">
        <v>492</v>
      </c>
    </row>
    <row r="542">
      <c r="A542" s="22" t="s">
        <v>103</v>
      </c>
      <c r="B542" s="24" t="s">
        <v>570</v>
      </c>
      <c r="D542" s="24" t="s">
        <v>571</v>
      </c>
    </row>
    <row r="545">
      <c r="A545" s="44" t="s">
        <v>50</v>
      </c>
      <c r="B545" s="46">
        <v>45726.0</v>
      </c>
    </row>
    <row r="546">
      <c r="B546" s="21" t="s">
        <v>4</v>
      </c>
      <c r="C546" s="21" t="s">
        <v>5</v>
      </c>
      <c r="D546" s="21" t="s">
        <v>6</v>
      </c>
      <c r="E546" s="21" t="s">
        <v>7</v>
      </c>
    </row>
    <row r="547">
      <c r="A547" s="22" t="s">
        <v>91</v>
      </c>
      <c r="B547" s="24">
        <v>62.2</v>
      </c>
      <c r="C547" s="24">
        <v>60.7</v>
      </c>
      <c r="D547" s="24">
        <v>66.7</v>
      </c>
      <c r="E547" s="24">
        <v>64.6</v>
      </c>
    </row>
    <row r="548">
      <c r="A548" s="22" t="s">
        <v>92</v>
      </c>
      <c r="B548" s="24">
        <v>5.0</v>
      </c>
      <c r="C548" s="24">
        <v>1.0</v>
      </c>
      <c r="D548" s="24">
        <v>3.0</v>
      </c>
      <c r="E548" s="24">
        <v>7.0</v>
      </c>
    </row>
    <row r="549">
      <c r="A549" s="22" t="s">
        <v>93</v>
      </c>
      <c r="B549" s="24">
        <f t="shared" ref="B549:E549" si="92">B532-B548</f>
        <v>21003</v>
      </c>
      <c r="C549" s="24">
        <f t="shared" si="92"/>
        <v>20788</v>
      </c>
      <c r="D549" s="24">
        <f t="shared" si="92"/>
        <v>20709</v>
      </c>
      <c r="E549" s="24">
        <f t="shared" si="92"/>
        <v>20949</v>
      </c>
    </row>
    <row r="550">
      <c r="A550" s="22" t="s">
        <v>94</v>
      </c>
      <c r="B550" s="23">
        <f t="shared" ref="B550:E550" si="93">B556*30</f>
        <v>19080</v>
      </c>
      <c r="C550" s="23">
        <f t="shared" si="93"/>
        <v>18810</v>
      </c>
      <c r="D550" s="23">
        <f t="shared" si="93"/>
        <v>18750</v>
      </c>
      <c r="E550" s="23">
        <f t="shared" si="93"/>
        <v>19410</v>
      </c>
    </row>
    <row r="551">
      <c r="A551" s="22" t="s">
        <v>95</v>
      </c>
      <c r="B551" s="24">
        <v>18.0</v>
      </c>
      <c r="C551" s="24">
        <v>7.0</v>
      </c>
      <c r="D551" s="24">
        <v>21.0</v>
      </c>
      <c r="E551" s="24">
        <v>22.0</v>
      </c>
    </row>
    <row r="552">
      <c r="A552" s="22" t="s">
        <v>96</v>
      </c>
      <c r="B552" s="24">
        <v>9.0</v>
      </c>
      <c r="C552" s="24">
        <v>4.0</v>
      </c>
      <c r="D552" s="24">
        <v>6.0</v>
      </c>
      <c r="E552" s="24">
        <v>8.0</v>
      </c>
    </row>
    <row r="553">
      <c r="A553" s="22" t="s">
        <v>111</v>
      </c>
      <c r="B553" s="24">
        <v>0.0</v>
      </c>
      <c r="C553" s="24">
        <v>0.0</v>
      </c>
      <c r="D553" s="24">
        <v>0.0</v>
      </c>
      <c r="E553" s="24">
        <v>0.0</v>
      </c>
    </row>
    <row r="554">
      <c r="A554" s="22" t="s">
        <v>98</v>
      </c>
      <c r="B554" s="24">
        <v>1.0</v>
      </c>
      <c r="C554" s="24">
        <v>1.0</v>
      </c>
      <c r="D554" s="24">
        <v>1.0</v>
      </c>
      <c r="E554" s="24">
        <v>1.0</v>
      </c>
    </row>
    <row r="555">
      <c r="A555" s="22" t="s">
        <v>112</v>
      </c>
      <c r="B555" s="26">
        <f>round(((B550/B549)*100),2)</f>
        <v>90.84</v>
      </c>
      <c r="C555" s="26">
        <f>round(((C550/C549)*100),2)</f>
        <v>90.48</v>
      </c>
      <c r="D555" s="26">
        <f>round(((D550/D549)*100),2)</f>
        <v>90.54</v>
      </c>
      <c r="E555" s="26">
        <f>round(((E550/E549)*100),2)</f>
        <v>92.65</v>
      </c>
    </row>
    <row r="556">
      <c r="A556" s="22" t="s">
        <v>100</v>
      </c>
      <c r="B556" s="24">
        <v>636.0</v>
      </c>
      <c r="C556" s="24">
        <v>627.0</v>
      </c>
      <c r="D556" s="24">
        <v>625.0</v>
      </c>
      <c r="E556" s="24">
        <v>647.0</v>
      </c>
    </row>
    <row r="557">
      <c r="A557" s="11" t="s">
        <v>471</v>
      </c>
      <c r="C557" s="3" t="s">
        <v>132</v>
      </c>
      <c r="D557" s="3" t="s">
        <v>132</v>
      </c>
    </row>
    <row r="558">
      <c r="A558" s="25" t="s">
        <v>178</v>
      </c>
      <c r="B558" s="24" t="s">
        <v>572</v>
      </c>
      <c r="C558" s="24" t="s">
        <v>486</v>
      </c>
    </row>
    <row r="559">
      <c r="A559" s="22" t="s">
        <v>103</v>
      </c>
      <c r="B559" s="24" t="s">
        <v>573</v>
      </c>
      <c r="D559" s="24" t="s">
        <v>574</v>
      </c>
    </row>
    <row r="562">
      <c r="A562" s="44" t="s">
        <v>50</v>
      </c>
      <c r="B562" s="46">
        <v>45757.0</v>
      </c>
    </row>
    <row r="563">
      <c r="B563" s="21" t="s">
        <v>4</v>
      </c>
      <c r="C563" s="21" t="s">
        <v>5</v>
      </c>
      <c r="D563" s="21" t="s">
        <v>6</v>
      </c>
      <c r="E563" s="21" t="s">
        <v>7</v>
      </c>
    </row>
    <row r="564">
      <c r="A564" s="22" t="s">
        <v>91</v>
      </c>
      <c r="B564" s="24">
        <v>62.3</v>
      </c>
      <c r="C564" s="24">
        <v>61.1</v>
      </c>
      <c r="D564" s="24">
        <v>67.1</v>
      </c>
      <c r="E564" s="24">
        <v>64.7</v>
      </c>
    </row>
    <row r="565">
      <c r="A565" s="22" t="s">
        <v>92</v>
      </c>
      <c r="B565" s="24">
        <v>6.0</v>
      </c>
      <c r="C565" s="24">
        <v>3.0</v>
      </c>
      <c r="D565" s="24">
        <v>7.0</v>
      </c>
      <c r="E565" s="24">
        <v>6.0</v>
      </c>
    </row>
    <row r="566">
      <c r="A566" s="22" t="s">
        <v>93</v>
      </c>
      <c r="B566" s="24">
        <f t="shared" ref="B566:E566" si="94">B549-B565</f>
        <v>20997</v>
      </c>
      <c r="C566" s="24">
        <f t="shared" si="94"/>
        <v>20785</v>
      </c>
      <c r="D566" s="24">
        <f t="shared" si="94"/>
        <v>20702</v>
      </c>
      <c r="E566" s="24">
        <f t="shared" si="94"/>
        <v>20943</v>
      </c>
    </row>
    <row r="567">
      <c r="A567" s="22" t="s">
        <v>94</v>
      </c>
      <c r="B567" s="23">
        <f t="shared" ref="B567:E567" si="95">B573*30</f>
        <v>19110</v>
      </c>
      <c r="C567" s="23">
        <f t="shared" si="95"/>
        <v>18930</v>
      </c>
      <c r="D567" s="23">
        <f t="shared" si="95"/>
        <v>18720</v>
      </c>
      <c r="E567" s="23">
        <f t="shared" si="95"/>
        <v>19260</v>
      </c>
    </row>
    <row r="568">
      <c r="A568" s="22" t="s">
        <v>95</v>
      </c>
      <c r="B568" s="24">
        <v>14.0</v>
      </c>
      <c r="C568" s="24">
        <v>12.0</v>
      </c>
      <c r="D568" s="24">
        <v>8.0</v>
      </c>
      <c r="E568" s="24">
        <v>20.0</v>
      </c>
    </row>
    <row r="569">
      <c r="A569" s="22" t="s">
        <v>96</v>
      </c>
      <c r="B569" s="24">
        <v>7.0</v>
      </c>
      <c r="C569" s="24">
        <v>6.0</v>
      </c>
      <c r="D569" s="24">
        <v>10.0</v>
      </c>
      <c r="E569" s="24">
        <v>3.0</v>
      </c>
    </row>
    <row r="570">
      <c r="A570" s="22" t="s">
        <v>111</v>
      </c>
      <c r="B570" s="24">
        <v>55.0</v>
      </c>
      <c r="C570" s="24">
        <v>55.0</v>
      </c>
      <c r="D570" s="24">
        <v>55.0</v>
      </c>
      <c r="E570" s="24">
        <v>55.0</v>
      </c>
    </row>
    <row r="571">
      <c r="A571" s="22" t="s">
        <v>98</v>
      </c>
      <c r="B571" s="24">
        <v>1.0</v>
      </c>
      <c r="C571" s="24">
        <v>1.0</v>
      </c>
      <c r="D571" s="24">
        <v>1.0</v>
      </c>
      <c r="E571" s="24">
        <v>1.0</v>
      </c>
    </row>
    <row r="572">
      <c r="A572" s="22" t="s">
        <v>112</v>
      </c>
      <c r="B572" s="26">
        <f>round(((B567/B566)*100),2)</f>
        <v>91.01</v>
      </c>
      <c r="C572" s="26">
        <f>round(((C567/C566)*100),2)</f>
        <v>91.08</v>
      </c>
      <c r="D572" s="26">
        <f>round(((D567/D566)*100),2)</f>
        <v>90.43</v>
      </c>
      <c r="E572" s="26">
        <f>round(((E567/E566)*100),2)</f>
        <v>91.96</v>
      </c>
    </row>
    <row r="573">
      <c r="A573" s="22" t="s">
        <v>100</v>
      </c>
      <c r="B573" s="24">
        <v>637.0</v>
      </c>
      <c r="C573" s="24">
        <v>631.0</v>
      </c>
      <c r="D573" s="24">
        <v>624.0</v>
      </c>
      <c r="E573" s="24">
        <v>642.0</v>
      </c>
    </row>
    <row r="574">
      <c r="A574" s="11" t="s">
        <v>471</v>
      </c>
      <c r="C574" s="3" t="s">
        <v>132</v>
      </c>
      <c r="D574" s="3" t="s">
        <v>132</v>
      </c>
    </row>
    <row r="575">
      <c r="A575" s="25" t="s">
        <v>178</v>
      </c>
      <c r="B575" s="24" t="s">
        <v>575</v>
      </c>
      <c r="C575" s="24" t="s">
        <v>509</v>
      </c>
    </row>
    <row r="576">
      <c r="A576" s="22" t="s">
        <v>103</v>
      </c>
      <c r="B576" s="24" t="s">
        <v>576</v>
      </c>
      <c r="D576" s="24" t="s">
        <v>577</v>
      </c>
    </row>
    <row r="579">
      <c r="A579" s="44" t="s">
        <v>50</v>
      </c>
      <c r="B579" s="46">
        <v>45787.0</v>
      </c>
    </row>
    <row r="580">
      <c r="B580" s="21" t="s">
        <v>4</v>
      </c>
      <c r="C580" s="21" t="s">
        <v>5</v>
      </c>
      <c r="D580" s="21" t="s">
        <v>6</v>
      </c>
      <c r="E580" s="21" t="s">
        <v>7</v>
      </c>
      <c r="G580" s="3" t="s">
        <v>330</v>
      </c>
    </row>
    <row r="581">
      <c r="A581" s="22" t="s">
        <v>91</v>
      </c>
      <c r="B581" s="24">
        <v>62.4</v>
      </c>
      <c r="C581" s="24">
        <v>61.2</v>
      </c>
      <c r="D581" s="24">
        <v>67.2</v>
      </c>
      <c r="E581" s="24">
        <v>65.1</v>
      </c>
    </row>
    <row r="582">
      <c r="A582" s="22" t="s">
        <v>92</v>
      </c>
      <c r="B582" s="24">
        <v>1.0</v>
      </c>
      <c r="C582" s="24">
        <v>7.0</v>
      </c>
      <c r="D582" s="24">
        <v>2.0</v>
      </c>
      <c r="E582" s="24">
        <v>4.0</v>
      </c>
    </row>
    <row r="583">
      <c r="A583" s="22" t="s">
        <v>93</v>
      </c>
      <c r="B583" s="24">
        <f t="shared" ref="B583:E583" si="96">B566-B582</f>
        <v>20996</v>
      </c>
      <c r="C583" s="24">
        <f t="shared" si="96"/>
        <v>20778</v>
      </c>
      <c r="D583" s="24">
        <f t="shared" si="96"/>
        <v>20700</v>
      </c>
      <c r="E583" s="24">
        <f t="shared" si="96"/>
        <v>20939</v>
      </c>
    </row>
    <row r="584">
      <c r="A584" s="22" t="s">
        <v>94</v>
      </c>
      <c r="B584" s="23">
        <f t="shared" ref="B584:E584" si="97">B590*30</f>
        <v>19140</v>
      </c>
      <c r="C584" s="23">
        <f t="shared" si="97"/>
        <v>18930</v>
      </c>
      <c r="D584" s="23">
        <f t="shared" si="97"/>
        <v>18690</v>
      </c>
      <c r="E584" s="23">
        <f t="shared" si="97"/>
        <v>19200</v>
      </c>
    </row>
    <row r="585">
      <c r="A585" s="22" t="s">
        <v>95</v>
      </c>
      <c r="B585" s="24">
        <v>20.0</v>
      </c>
      <c r="C585" s="24">
        <v>14.0</v>
      </c>
      <c r="D585" s="24">
        <v>17.0</v>
      </c>
      <c r="E585" s="24">
        <v>22.0</v>
      </c>
    </row>
    <row r="586">
      <c r="A586" s="22" t="s">
        <v>96</v>
      </c>
      <c r="B586" s="24">
        <v>9.0</v>
      </c>
      <c r="C586" s="24">
        <v>5.0</v>
      </c>
      <c r="D586" s="24">
        <v>4.0</v>
      </c>
      <c r="E586" s="24">
        <v>2.0</v>
      </c>
    </row>
    <row r="587">
      <c r="A587" s="22" t="s">
        <v>111</v>
      </c>
      <c r="B587" s="24">
        <v>0.0</v>
      </c>
      <c r="C587" s="24">
        <v>0.0</v>
      </c>
      <c r="D587" s="24">
        <v>0.0</v>
      </c>
      <c r="E587" s="24">
        <v>0.0</v>
      </c>
    </row>
    <row r="588">
      <c r="A588" s="22" t="s">
        <v>98</v>
      </c>
      <c r="B588" s="24">
        <v>1.0</v>
      </c>
      <c r="C588" s="24">
        <v>1.0</v>
      </c>
      <c r="D588" s="24">
        <v>1.0</v>
      </c>
      <c r="E588" s="24">
        <v>1.0</v>
      </c>
    </row>
    <row r="589">
      <c r="A589" s="22" t="s">
        <v>112</v>
      </c>
      <c r="B589" s="26">
        <f>round(((B584/B583)*100),2)</f>
        <v>91.16</v>
      </c>
      <c r="C589" s="26">
        <f>round(((C584/C583)*100),2)</f>
        <v>91.11</v>
      </c>
      <c r="D589" s="26">
        <f>round(((D584/D583)*100),2)</f>
        <v>90.29</v>
      </c>
      <c r="E589" s="26">
        <f>round(((E584/E583)*100),2)</f>
        <v>91.69</v>
      </c>
    </row>
    <row r="590">
      <c r="A590" s="22" t="s">
        <v>100</v>
      </c>
      <c r="B590" s="24">
        <v>638.0</v>
      </c>
      <c r="C590" s="24">
        <v>631.0</v>
      </c>
      <c r="D590" s="24">
        <v>623.0</v>
      </c>
      <c r="E590" s="24">
        <v>640.0</v>
      </c>
    </row>
    <row r="591">
      <c r="A591" s="11" t="s">
        <v>471</v>
      </c>
      <c r="C591" s="3" t="s">
        <v>132</v>
      </c>
      <c r="D591" s="3" t="s">
        <v>132</v>
      </c>
    </row>
    <row r="592">
      <c r="A592" s="25" t="s">
        <v>178</v>
      </c>
      <c r="B592" s="24" t="s">
        <v>578</v>
      </c>
      <c r="C592" s="24" t="s">
        <v>476</v>
      </c>
    </row>
    <row r="593">
      <c r="A593" s="22" t="s">
        <v>103</v>
      </c>
      <c r="B593" s="24" t="s">
        <v>579</v>
      </c>
      <c r="D593" s="24" t="s">
        <v>580</v>
      </c>
    </row>
    <row r="596">
      <c r="A596" s="44" t="s">
        <v>50</v>
      </c>
      <c r="B596" s="46">
        <v>45818.0</v>
      </c>
    </row>
    <row r="597">
      <c r="B597" s="21" t="s">
        <v>4</v>
      </c>
      <c r="C597" s="21" t="s">
        <v>5</v>
      </c>
      <c r="D597" s="21" t="s">
        <v>6</v>
      </c>
      <c r="E597" s="21" t="s">
        <v>7</v>
      </c>
    </row>
    <row r="598">
      <c r="A598" s="22" t="s">
        <v>91</v>
      </c>
      <c r="B598" s="24">
        <v>62.5</v>
      </c>
      <c r="C598" s="24">
        <v>61.3</v>
      </c>
      <c r="D598" s="24">
        <v>67.3</v>
      </c>
      <c r="E598" s="24">
        <v>65.2</v>
      </c>
    </row>
    <row r="599">
      <c r="A599" s="22" t="s">
        <v>92</v>
      </c>
      <c r="B599" s="24">
        <v>5.0</v>
      </c>
      <c r="C599" s="24">
        <v>5.0</v>
      </c>
      <c r="D599" s="24">
        <v>1.0</v>
      </c>
      <c r="E599" s="24">
        <v>3.0</v>
      </c>
    </row>
    <row r="600">
      <c r="A600" s="22" t="s">
        <v>93</v>
      </c>
      <c r="B600" s="24">
        <f t="shared" ref="B600:E600" si="98">B583-B599</f>
        <v>20991</v>
      </c>
      <c r="C600" s="24">
        <f t="shared" si="98"/>
        <v>20773</v>
      </c>
      <c r="D600" s="24">
        <f t="shared" si="98"/>
        <v>20699</v>
      </c>
      <c r="E600" s="24">
        <f t="shared" si="98"/>
        <v>20936</v>
      </c>
    </row>
    <row r="601">
      <c r="A601" s="22" t="s">
        <v>94</v>
      </c>
      <c r="B601" s="23">
        <f t="shared" ref="B601:E601" si="99">B607*30</f>
        <v>19170</v>
      </c>
      <c r="C601" s="23">
        <f t="shared" si="99"/>
        <v>19050</v>
      </c>
      <c r="D601" s="23">
        <f t="shared" si="99"/>
        <v>18690</v>
      </c>
      <c r="E601" s="23">
        <f t="shared" si="99"/>
        <v>19320</v>
      </c>
    </row>
    <row r="602">
      <c r="A602" s="22" t="s">
        <v>95</v>
      </c>
      <c r="B602" s="24">
        <v>10.0</v>
      </c>
      <c r="C602" s="24">
        <v>15.0</v>
      </c>
      <c r="D602" s="24">
        <v>16.0</v>
      </c>
      <c r="E602" s="24">
        <v>12.0</v>
      </c>
    </row>
    <row r="603">
      <c r="A603" s="22" t="s">
        <v>96</v>
      </c>
      <c r="B603" s="24">
        <v>7.0</v>
      </c>
      <c r="C603" s="24">
        <v>7.0</v>
      </c>
      <c r="D603" s="24">
        <v>6.0</v>
      </c>
      <c r="E603" s="24">
        <v>5.0</v>
      </c>
    </row>
    <row r="604">
      <c r="A604" s="22" t="s">
        <v>111</v>
      </c>
      <c r="B604" s="24">
        <v>110.0</v>
      </c>
      <c r="C604" s="24">
        <v>110.0</v>
      </c>
      <c r="D604" s="24">
        <v>110.0</v>
      </c>
      <c r="E604" s="24">
        <v>110.0</v>
      </c>
    </row>
    <row r="605">
      <c r="A605" s="22" t="s">
        <v>98</v>
      </c>
      <c r="B605" s="24">
        <v>1.0</v>
      </c>
      <c r="C605" s="24">
        <v>1.0</v>
      </c>
      <c r="D605" s="24">
        <v>1.0</v>
      </c>
      <c r="E605" s="24">
        <v>1.0</v>
      </c>
    </row>
    <row r="606">
      <c r="A606" s="22" t="s">
        <v>112</v>
      </c>
      <c r="B606" s="26">
        <f>round(((B601/B600)*100),2)</f>
        <v>91.32</v>
      </c>
      <c r="C606" s="26">
        <f>round(((C601/C600)*100),2)</f>
        <v>91.71</v>
      </c>
      <c r="D606" s="26">
        <f>round(((D601/D600)*100),2)</f>
        <v>90.29</v>
      </c>
      <c r="E606" s="26">
        <f>round(((E601/E600)*100),2)</f>
        <v>92.28</v>
      </c>
    </row>
    <row r="607">
      <c r="A607" s="22" t="s">
        <v>100</v>
      </c>
      <c r="B607" s="24">
        <v>639.0</v>
      </c>
      <c r="C607" s="24">
        <v>635.0</v>
      </c>
      <c r="D607" s="24">
        <v>623.0</v>
      </c>
      <c r="E607" s="24">
        <v>644.0</v>
      </c>
    </row>
    <row r="608">
      <c r="A608" s="11" t="s">
        <v>471</v>
      </c>
      <c r="C608" s="3" t="s">
        <v>132</v>
      </c>
      <c r="D608" s="3" t="s">
        <v>132</v>
      </c>
    </row>
    <row r="609">
      <c r="A609" s="25" t="s">
        <v>178</v>
      </c>
      <c r="B609" s="24" t="s">
        <v>472</v>
      </c>
      <c r="C609" s="24" t="s">
        <v>480</v>
      </c>
    </row>
    <row r="610">
      <c r="A610" s="22" t="s">
        <v>103</v>
      </c>
      <c r="B610" s="24" t="s">
        <v>581</v>
      </c>
      <c r="D610" s="24" t="s">
        <v>582</v>
      </c>
    </row>
    <row r="613">
      <c r="A613" s="44" t="s">
        <v>50</v>
      </c>
      <c r="B613" s="46">
        <v>45848.0</v>
      </c>
    </row>
    <row r="614">
      <c r="B614" s="21" t="s">
        <v>4</v>
      </c>
      <c r="C614" s="21" t="s">
        <v>5</v>
      </c>
      <c r="D614" s="21" t="s">
        <v>6</v>
      </c>
      <c r="E614" s="21" t="s">
        <v>7</v>
      </c>
    </row>
    <row r="615">
      <c r="A615" s="22" t="s">
        <v>91</v>
      </c>
      <c r="B615" s="24">
        <v>62.6</v>
      </c>
      <c r="C615" s="24">
        <v>61.4</v>
      </c>
      <c r="D615" s="24">
        <v>67.4</v>
      </c>
      <c r="E615" s="24">
        <v>65.3</v>
      </c>
    </row>
    <row r="616">
      <c r="A616" s="22" t="s">
        <v>92</v>
      </c>
      <c r="B616" s="24">
        <v>2.0</v>
      </c>
      <c r="C616" s="24">
        <v>2.0</v>
      </c>
      <c r="D616" s="24">
        <v>2.0</v>
      </c>
      <c r="E616" s="24">
        <v>4.0</v>
      </c>
    </row>
    <row r="617">
      <c r="A617" s="22" t="s">
        <v>93</v>
      </c>
      <c r="B617" s="24">
        <f t="shared" ref="B617:E617" si="100">B600-B616</f>
        <v>20989</v>
      </c>
      <c r="C617" s="24">
        <f t="shared" si="100"/>
        <v>20771</v>
      </c>
      <c r="D617" s="24">
        <f t="shared" si="100"/>
        <v>20697</v>
      </c>
      <c r="E617" s="24">
        <f t="shared" si="100"/>
        <v>20932</v>
      </c>
    </row>
    <row r="618">
      <c r="A618" s="22" t="s">
        <v>94</v>
      </c>
      <c r="B618" s="23">
        <f t="shared" ref="B618:E618" si="101">B624*30</f>
        <v>19200</v>
      </c>
      <c r="C618" s="23">
        <f t="shared" si="101"/>
        <v>19020</v>
      </c>
      <c r="D618" s="23">
        <f t="shared" si="101"/>
        <v>18720</v>
      </c>
      <c r="E618" s="23">
        <f t="shared" si="101"/>
        <v>19230</v>
      </c>
    </row>
    <row r="619">
      <c r="A619" s="22" t="s">
        <v>95</v>
      </c>
      <c r="B619" s="24">
        <v>24.0</v>
      </c>
      <c r="C619" s="24">
        <v>18.0</v>
      </c>
      <c r="D619" s="24">
        <v>14.0</v>
      </c>
      <c r="E619" s="24">
        <v>7.0</v>
      </c>
    </row>
    <row r="620">
      <c r="A620" s="22" t="s">
        <v>96</v>
      </c>
      <c r="B620" s="24">
        <v>11.0</v>
      </c>
      <c r="C620" s="24">
        <v>7.0</v>
      </c>
      <c r="D620" s="24">
        <v>4.0</v>
      </c>
      <c r="E620" s="24">
        <v>5.0</v>
      </c>
    </row>
    <row r="621">
      <c r="A621" s="22" t="s">
        <v>111</v>
      </c>
      <c r="B621" s="24"/>
      <c r="C621" s="24"/>
      <c r="D621" s="24"/>
      <c r="E621" s="24"/>
    </row>
    <row r="622">
      <c r="A622" s="22" t="s">
        <v>98</v>
      </c>
      <c r="B622" s="24">
        <v>1.0</v>
      </c>
      <c r="C622" s="24">
        <v>1.0</v>
      </c>
      <c r="D622" s="24">
        <v>1.0</v>
      </c>
      <c r="E622" s="24">
        <v>1.0</v>
      </c>
    </row>
    <row r="623">
      <c r="A623" s="22" t="s">
        <v>112</v>
      </c>
      <c r="B623" s="26">
        <f>round(((B618/B617)*100),2)</f>
        <v>91.48</v>
      </c>
      <c r="C623" s="26">
        <f>round(((C618/C617)*100),2)</f>
        <v>91.57</v>
      </c>
      <c r="D623" s="26">
        <f>round(((D618/D617)*100),2)</f>
        <v>90.45</v>
      </c>
      <c r="E623" s="26">
        <f>round(((E618/E617)*100),2)</f>
        <v>91.87</v>
      </c>
    </row>
    <row r="624">
      <c r="A624" s="22" t="s">
        <v>100</v>
      </c>
      <c r="B624" s="24">
        <v>640.0</v>
      </c>
      <c r="C624" s="24">
        <v>634.0</v>
      </c>
      <c r="D624" s="24">
        <v>624.0</v>
      </c>
      <c r="E624" s="24">
        <v>641.0</v>
      </c>
    </row>
    <row r="625">
      <c r="A625" s="11" t="s">
        <v>471</v>
      </c>
      <c r="C625" s="3" t="s">
        <v>132</v>
      </c>
      <c r="D625" s="3" t="s">
        <v>132</v>
      </c>
    </row>
    <row r="626">
      <c r="A626" s="25" t="s">
        <v>178</v>
      </c>
      <c r="B626" s="24" t="s">
        <v>472</v>
      </c>
      <c r="C626" s="24" t="s">
        <v>509</v>
      </c>
    </row>
    <row r="627">
      <c r="A627" s="22" t="s">
        <v>103</v>
      </c>
      <c r="B627" s="24" t="s">
        <v>583</v>
      </c>
      <c r="D627" s="24" t="s">
        <v>584</v>
      </c>
    </row>
    <row r="630">
      <c r="A630" s="44" t="s">
        <v>50</v>
      </c>
      <c r="B630" s="46">
        <v>45879.0</v>
      </c>
    </row>
    <row r="631">
      <c r="B631" s="21" t="s">
        <v>4</v>
      </c>
      <c r="C631" s="21" t="s">
        <v>5</v>
      </c>
      <c r="D631" s="21" t="s">
        <v>6</v>
      </c>
      <c r="E631" s="21" t="s">
        <v>7</v>
      </c>
    </row>
    <row r="632">
      <c r="A632" s="22" t="s">
        <v>91</v>
      </c>
      <c r="B632" s="24">
        <v>62.7</v>
      </c>
      <c r="C632" s="24">
        <v>61.5</v>
      </c>
      <c r="D632" s="24">
        <v>67.5</v>
      </c>
      <c r="E632" s="24">
        <v>65.4</v>
      </c>
    </row>
    <row r="633">
      <c r="A633" s="22" t="s">
        <v>92</v>
      </c>
      <c r="B633" s="24">
        <v>5.0</v>
      </c>
      <c r="C633" s="24">
        <v>4.0</v>
      </c>
      <c r="D633" s="24">
        <v>6.0</v>
      </c>
      <c r="E633" s="24">
        <v>4.0</v>
      </c>
    </row>
    <row r="634">
      <c r="A634" s="22" t="s">
        <v>93</v>
      </c>
      <c r="B634" s="24">
        <f t="shared" ref="B634:E634" si="102">B617-B633</f>
        <v>20984</v>
      </c>
      <c r="C634" s="24">
        <f t="shared" si="102"/>
        <v>20767</v>
      </c>
      <c r="D634" s="24">
        <f t="shared" si="102"/>
        <v>20691</v>
      </c>
      <c r="E634" s="24">
        <f t="shared" si="102"/>
        <v>20928</v>
      </c>
    </row>
    <row r="635">
      <c r="A635" s="22" t="s">
        <v>94</v>
      </c>
      <c r="B635" s="23">
        <f t="shared" ref="B635:E635" si="103">B641*30</f>
        <v>19230</v>
      </c>
      <c r="C635" s="23">
        <f t="shared" si="103"/>
        <v>19050</v>
      </c>
      <c r="D635" s="23">
        <f t="shared" si="103"/>
        <v>18690</v>
      </c>
      <c r="E635" s="23">
        <f t="shared" si="103"/>
        <v>19230</v>
      </c>
    </row>
    <row r="636">
      <c r="A636" s="22" t="s">
        <v>95</v>
      </c>
      <c r="B636" s="24">
        <v>22.0</v>
      </c>
      <c r="C636" s="24">
        <v>12.0</v>
      </c>
      <c r="D636" s="24">
        <v>13.0</v>
      </c>
      <c r="E636" s="24">
        <v>9.0</v>
      </c>
    </row>
    <row r="637">
      <c r="A637" s="22" t="s">
        <v>96</v>
      </c>
      <c r="B637" s="24">
        <v>7.0</v>
      </c>
      <c r="C637" s="24">
        <v>8.0</v>
      </c>
      <c r="D637" s="24">
        <v>3.0</v>
      </c>
      <c r="E637" s="24">
        <v>7.0</v>
      </c>
    </row>
    <row r="638">
      <c r="A638" s="22" t="s">
        <v>111</v>
      </c>
      <c r="B638" s="24"/>
      <c r="C638" s="24"/>
      <c r="D638" s="24"/>
      <c r="E638" s="24"/>
    </row>
    <row r="639">
      <c r="A639" s="22" t="s">
        <v>98</v>
      </c>
      <c r="B639" s="24">
        <v>1.0</v>
      </c>
      <c r="C639" s="24">
        <v>1.0</v>
      </c>
      <c r="D639" s="24">
        <v>1.0</v>
      </c>
      <c r="E639" s="24">
        <v>1.0</v>
      </c>
    </row>
    <row r="640">
      <c r="A640" s="22" t="s">
        <v>112</v>
      </c>
      <c r="B640" s="26">
        <f>round(((B635/B634)*100),2)</f>
        <v>91.64</v>
      </c>
      <c r="C640" s="26">
        <f>round(((C635/C634)*100),2)</f>
        <v>91.73</v>
      </c>
      <c r="D640" s="26">
        <f>round(((D635/D634)*100),2)</f>
        <v>90.33</v>
      </c>
      <c r="E640" s="26">
        <f>round(((E635/E634)*100),2)</f>
        <v>91.89</v>
      </c>
    </row>
    <row r="641">
      <c r="A641" s="22" t="s">
        <v>100</v>
      </c>
      <c r="B641" s="24">
        <v>641.0</v>
      </c>
      <c r="C641" s="24">
        <v>635.0</v>
      </c>
      <c r="D641" s="24">
        <v>623.0</v>
      </c>
      <c r="E641" s="24">
        <v>641.0</v>
      </c>
    </row>
    <row r="642">
      <c r="A642" s="11" t="s">
        <v>471</v>
      </c>
      <c r="C642" s="3" t="s">
        <v>132</v>
      </c>
      <c r="D642" s="3" t="s">
        <v>132</v>
      </c>
    </row>
    <row r="643">
      <c r="A643" s="25" t="s">
        <v>178</v>
      </c>
      <c r="B643" s="24" t="s">
        <v>585</v>
      </c>
      <c r="C643" s="24" t="s">
        <v>126</v>
      </c>
    </row>
    <row r="644">
      <c r="A644" s="22" t="s">
        <v>103</v>
      </c>
      <c r="B644" s="24" t="s">
        <v>586</v>
      </c>
      <c r="D644" s="24" t="s">
        <v>587</v>
      </c>
    </row>
    <row r="647">
      <c r="A647" s="44" t="s">
        <v>50</v>
      </c>
      <c r="B647" s="46">
        <v>45910.0</v>
      </c>
    </row>
    <row r="648">
      <c r="B648" s="21" t="s">
        <v>4</v>
      </c>
      <c r="C648" s="21" t="s">
        <v>5</v>
      </c>
      <c r="D648" s="21" t="s">
        <v>6</v>
      </c>
      <c r="E648" s="21" t="s">
        <v>7</v>
      </c>
    </row>
    <row r="649">
      <c r="A649" s="22" t="s">
        <v>91</v>
      </c>
      <c r="B649" s="24">
        <v>63.1</v>
      </c>
      <c r="C649" s="24">
        <v>61.6</v>
      </c>
      <c r="D649" s="24">
        <v>67.6</v>
      </c>
      <c r="E649" s="24">
        <v>65.5</v>
      </c>
    </row>
    <row r="650">
      <c r="A650" s="22" t="s">
        <v>92</v>
      </c>
      <c r="B650" s="24">
        <v>4.0</v>
      </c>
      <c r="C650" s="24">
        <v>1.0</v>
      </c>
      <c r="D650" s="24">
        <v>4.0</v>
      </c>
      <c r="E650" s="24">
        <v>5.0</v>
      </c>
    </row>
    <row r="651">
      <c r="A651" s="22" t="s">
        <v>93</v>
      </c>
      <c r="B651" s="24">
        <f t="shared" ref="B651:E651" si="104">B634-B650</f>
        <v>20980</v>
      </c>
      <c r="C651" s="24">
        <f t="shared" si="104"/>
        <v>20766</v>
      </c>
      <c r="D651" s="24">
        <f t="shared" si="104"/>
        <v>20687</v>
      </c>
      <c r="E651" s="24">
        <f t="shared" si="104"/>
        <v>20923</v>
      </c>
    </row>
    <row r="652">
      <c r="A652" s="22" t="s">
        <v>94</v>
      </c>
      <c r="B652" s="23">
        <f t="shared" ref="B652:E652" si="105">B658*30</f>
        <v>19200</v>
      </c>
      <c r="C652" s="23">
        <f t="shared" si="105"/>
        <v>19080</v>
      </c>
      <c r="D652" s="23">
        <f t="shared" si="105"/>
        <v>18630</v>
      </c>
      <c r="E652" s="23">
        <f t="shared" si="105"/>
        <v>19470</v>
      </c>
    </row>
    <row r="653">
      <c r="A653" s="22" t="s">
        <v>95</v>
      </c>
      <c r="B653" s="24">
        <v>23.0</v>
      </c>
      <c r="C653" s="24">
        <v>16.0</v>
      </c>
      <c r="D653" s="24">
        <v>15.0</v>
      </c>
      <c r="E653" s="24">
        <v>24.0</v>
      </c>
    </row>
    <row r="654">
      <c r="A654" s="22" t="s">
        <v>96</v>
      </c>
      <c r="B654" s="24">
        <v>11.0</v>
      </c>
      <c r="C654" s="24">
        <v>9.0</v>
      </c>
      <c r="D654" s="24">
        <v>7.0</v>
      </c>
      <c r="E654" s="24">
        <v>4.0</v>
      </c>
    </row>
    <row r="655">
      <c r="A655" s="22" t="s">
        <v>111</v>
      </c>
      <c r="B655" s="24">
        <v>110.0</v>
      </c>
      <c r="C655" s="24">
        <v>110.0</v>
      </c>
      <c r="D655" s="24">
        <v>110.0</v>
      </c>
      <c r="E655" s="24">
        <v>110.0</v>
      </c>
    </row>
    <row r="656">
      <c r="A656" s="22" t="s">
        <v>98</v>
      </c>
      <c r="B656" s="24">
        <v>1.0</v>
      </c>
      <c r="C656" s="24">
        <v>1.0</v>
      </c>
      <c r="D656" s="24">
        <v>1.0</v>
      </c>
      <c r="E656" s="24">
        <v>1.0</v>
      </c>
    </row>
    <row r="657">
      <c r="A657" s="22" t="s">
        <v>112</v>
      </c>
      <c r="B657" s="26">
        <f>round(((B652/B651)*100),2)</f>
        <v>91.52</v>
      </c>
      <c r="C657" s="26">
        <f>round(((C652/C651)*100),2)</f>
        <v>91.88</v>
      </c>
      <c r="D657" s="26">
        <f>round(((D652/D651)*100),2)</f>
        <v>90.06</v>
      </c>
      <c r="E657" s="26">
        <f>round(((E652/E651)*100),2)</f>
        <v>93.06</v>
      </c>
    </row>
    <row r="658">
      <c r="A658" s="22" t="s">
        <v>100</v>
      </c>
      <c r="B658" s="24">
        <v>640.0</v>
      </c>
      <c r="C658" s="24">
        <v>636.0</v>
      </c>
      <c r="D658" s="24">
        <v>621.0</v>
      </c>
      <c r="E658" s="24">
        <v>649.0</v>
      </c>
    </row>
    <row r="659">
      <c r="A659" s="11" t="s">
        <v>471</v>
      </c>
      <c r="C659" s="3" t="s">
        <v>588</v>
      </c>
      <c r="D659" s="3" t="s">
        <v>132</v>
      </c>
    </row>
    <row r="660">
      <c r="A660" s="25" t="s">
        <v>178</v>
      </c>
      <c r="B660" s="24" t="s">
        <v>589</v>
      </c>
      <c r="C660" s="24" t="s">
        <v>590</v>
      </c>
    </row>
    <row r="661">
      <c r="A661" s="22" t="s">
        <v>103</v>
      </c>
      <c r="B661" s="24" t="s">
        <v>591</v>
      </c>
      <c r="D661" s="24" t="s">
        <v>592</v>
      </c>
    </row>
    <row r="664">
      <c r="A664" s="44" t="s">
        <v>50</v>
      </c>
      <c r="B664" s="46">
        <v>45940.0</v>
      </c>
    </row>
    <row r="665">
      <c r="B665" s="21" t="s">
        <v>4</v>
      </c>
      <c r="C665" s="21" t="s">
        <v>5</v>
      </c>
      <c r="D665" s="21" t="s">
        <v>6</v>
      </c>
      <c r="E665" s="21" t="s">
        <v>7</v>
      </c>
    </row>
    <row r="666">
      <c r="A666" s="22" t="s">
        <v>91</v>
      </c>
      <c r="B666" s="24">
        <v>63.2</v>
      </c>
      <c r="C666" s="24">
        <v>61.7</v>
      </c>
      <c r="D666" s="24">
        <v>67.7</v>
      </c>
      <c r="E666" s="24">
        <v>65.6</v>
      </c>
    </row>
    <row r="667">
      <c r="A667" s="22" t="s">
        <v>92</v>
      </c>
      <c r="B667" s="24">
        <v>3.0</v>
      </c>
      <c r="C667" s="24">
        <v>1.0</v>
      </c>
      <c r="D667" s="24">
        <v>6.0</v>
      </c>
      <c r="E667" s="24">
        <v>7.0</v>
      </c>
    </row>
    <row r="668">
      <c r="A668" s="22" t="s">
        <v>93</v>
      </c>
      <c r="B668" s="24">
        <f>B651-B667</f>
        <v>20977</v>
      </c>
      <c r="C668" s="24">
        <f>C651-C667-10</f>
        <v>20755</v>
      </c>
      <c r="D668" s="24">
        <f t="shared" ref="D668:E668" si="106">D651-D667</f>
        <v>20681</v>
      </c>
      <c r="E668" s="24">
        <f t="shared" si="106"/>
        <v>20916</v>
      </c>
    </row>
    <row r="669">
      <c r="A669" s="22" t="s">
        <v>94</v>
      </c>
      <c r="B669" s="23">
        <f t="shared" ref="B669:E669" si="107">B675*30</f>
        <v>19200</v>
      </c>
      <c r="C669" s="23">
        <f t="shared" si="107"/>
        <v>19080</v>
      </c>
      <c r="D669" s="23">
        <f t="shared" si="107"/>
        <v>18630</v>
      </c>
      <c r="E669" s="23">
        <f t="shared" si="107"/>
        <v>19500</v>
      </c>
    </row>
    <row r="670">
      <c r="A670" s="22" t="s">
        <v>95</v>
      </c>
      <c r="B670" s="24">
        <v>15.0</v>
      </c>
      <c r="C670" s="24">
        <v>7.0</v>
      </c>
      <c r="D670" s="24">
        <v>10.0</v>
      </c>
      <c r="E670" s="24">
        <v>14.0</v>
      </c>
    </row>
    <row r="671">
      <c r="A671" s="22" t="s">
        <v>96</v>
      </c>
      <c r="B671" s="24">
        <v>9.0</v>
      </c>
      <c r="C671" s="24">
        <v>4.0</v>
      </c>
      <c r="D671" s="24">
        <v>6.0</v>
      </c>
      <c r="E671" s="24">
        <v>4.0</v>
      </c>
    </row>
    <row r="672">
      <c r="A672" s="22" t="s">
        <v>111</v>
      </c>
      <c r="B672" s="24"/>
      <c r="C672" s="24"/>
      <c r="D672" s="24"/>
      <c r="E672" s="24"/>
    </row>
    <row r="673">
      <c r="A673" s="22" t="s">
        <v>98</v>
      </c>
      <c r="B673" s="24">
        <v>1.0</v>
      </c>
      <c r="C673" s="24">
        <v>1.0</v>
      </c>
      <c r="D673" s="24">
        <v>1.0</v>
      </c>
      <c r="E673" s="24">
        <v>1.0</v>
      </c>
    </row>
    <row r="674">
      <c r="A674" s="22" t="s">
        <v>112</v>
      </c>
      <c r="B674" s="26">
        <f>round(((B669/B668)*100),2)</f>
        <v>91.53</v>
      </c>
      <c r="C674" s="26">
        <f>round(((C669/C668)*100),2)</f>
        <v>91.93</v>
      </c>
      <c r="D674" s="26">
        <f>round(((D669/D668)*100),2)</f>
        <v>90.08</v>
      </c>
      <c r="E674" s="26">
        <f>round(((E669/E668)*100),2)</f>
        <v>93.23</v>
      </c>
    </row>
    <row r="675">
      <c r="A675" s="22" t="s">
        <v>100</v>
      </c>
      <c r="B675" s="24">
        <v>640.0</v>
      </c>
      <c r="C675" s="24">
        <v>636.0</v>
      </c>
      <c r="D675" s="24">
        <v>621.0</v>
      </c>
      <c r="E675" s="24">
        <v>650.0</v>
      </c>
    </row>
    <row r="676">
      <c r="A676" s="11" t="s">
        <v>471</v>
      </c>
      <c r="C676" s="3" t="s">
        <v>132</v>
      </c>
      <c r="D676" s="3" t="s">
        <v>132</v>
      </c>
    </row>
    <row r="677">
      <c r="A677" s="25" t="s">
        <v>178</v>
      </c>
      <c r="B677" s="24" t="s">
        <v>593</v>
      </c>
      <c r="C677" s="24" t="s">
        <v>486</v>
      </c>
    </row>
    <row r="678">
      <c r="A678" s="22" t="s">
        <v>103</v>
      </c>
      <c r="B678" s="24" t="s">
        <v>594</v>
      </c>
      <c r="D678" s="24" t="s">
        <v>595</v>
      </c>
    </row>
    <row r="681">
      <c r="A681" s="44" t="s">
        <v>50</v>
      </c>
      <c r="B681" s="46">
        <v>45971.0</v>
      </c>
    </row>
    <row r="682">
      <c r="B682" s="21" t="s">
        <v>4</v>
      </c>
      <c r="C682" s="21" t="s">
        <v>5</v>
      </c>
      <c r="D682" s="21" t="s">
        <v>6</v>
      </c>
      <c r="E682" s="21" t="s">
        <v>7</v>
      </c>
    </row>
    <row r="683">
      <c r="A683" s="22" t="s">
        <v>91</v>
      </c>
      <c r="B683" s="24">
        <v>63.3</v>
      </c>
      <c r="C683" s="24">
        <v>62.1</v>
      </c>
      <c r="D683" s="24">
        <v>68.1</v>
      </c>
      <c r="E683" s="24">
        <v>65.7</v>
      </c>
    </row>
    <row r="684">
      <c r="A684" s="22" t="s">
        <v>92</v>
      </c>
      <c r="B684" s="24">
        <v>3.0</v>
      </c>
      <c r="C684" s="24">
        <v>5.0</v>
      </c>
      <c r="D684" s="24">
        <v>4.0</v>
      </c>
      <c r="E684" s="24">
        <v>2.0</v>
      </c>
    </row>
    <row r="685">
      <c r="A685" s="22" t="s">
        <v>93</v>
      </c>
      <c r="B685" s="24">
        <f t="shared" ref="B685:E685" si="108">B668-B684</f>
        <v>20974</v>
      </c>
      <c r="C685" s="24">
        <f t="shared" si="108"/>
        <v>20750</v>
      </c>
      <c r="D685" s="24">
        <f t="shared" si="108"/>
        <v>20677</v>
      </c>
      <c r="E685" s="24">
        <f t="shared" si="108"/>
        <v>20914</v>
      </c>
    </row>
    <row r="686">
      <c r="A686" s="22" t="s">
        <v>94</v>
      </c>
      <c r="B686" s="23">
        <f t="shared" ref="B686:E686" si="109">B692*30</f>
        <v>19230</v>
      </c>
      <c r="C686" s="23">
        <f t="shared" si="109"/>
        <v>18840</v>
      </c>
      <c r="D686" s="23">
        <f t="shared" si="109"/>
        <v>18660</v>
      </c>
      <c r="E686" s="23">
        <f t="shared" si="109"/>
        <v>19320</v>
      </c>
    </row>
    <row r="687">
      <c r="A687" s="22" t="s">
        <v>95</v>
      </c>
      <c r="B687" s="24">
        <v>22.0</v>
      </c>
      <c r="C687" s="24">
        <v>12.0</v>
      </c>
      <c r="D687" s="24">
        <v>21.0</v>
      </c>
      <c r="E687" s="24">
        <v>16.0</v>
      </c>
    </row>
    <row r="688">
      <c r="A688" s="22" t="s">
        <v>96</v>
      </c>
      <c r="B688" s="24">
        <v>11.0</v>
      </c>
      <c r="C688" s="24">
        <v>5.0</v>
      </c>
      <c r="D688" s="24">
        <v>3.0</v>
      </c>
      <c r="E688" s="24">
        <v>3.0</v>
      </c>
    </row>
    <row r="689">
      <c r="A689" s="22" t="s">
        <v>111</v>
      </c>
      <c r="B689" s="24">
        <v>55.0</v>
      </c>
      <c r="C689" s="24">
        <v>55.0</v>
      </c>
      <c r="D689" s="24">
        <v>55.0</v>
      </c>
      <c r="E689" s="24">
        <v>55.0</v>
      </c>
    </row>
    <row r="690">
      <c r="A690" s="22" t="s">
        <v>98</v>
      </c>
      <c r="B690" s="24">
        <v>1.0</v>
      </c>
      <c r="C690" s="24">
        <v>1.0</v>
      </c>
      <c r="D690" s="24">
        <v>1.0</v>
      </c>
      <c r="E690" s="24">
        <v>1.0</v>
      </c>
    </row>
    <row r="691">
      <c r="A691" s="22" t="s">
        <v>112</v>
      </c>
      <c r="B691" s="26">
        <f t="shared" ref="B691:D691" si="110">round(((B686/B685)*100),2)</f>
        <v>91.68</v>
      </c>
      <c r="C691" s="26">
        <f t="shared" si="110"/>
        <v>90.8</v>
      </c>
      <c r="D691" s="26">
        <f t="shared" si="110"/>
        <v>90.25</v>
      </c>
      <c r="E691" s="26">
        <f>round(((E686/E685)*100),2)</f>
        <v>92.38</v>
      </c>
    </row>
    <row r="692">
      <c r="A692" s="22" t="s">
        <v>100</v>
      </c>
      <c r="B692" s="24">
        <v>641.0</v>
      </c>
      <c r="C692" s="24">
        <v>628.0</v>
      </c>
      <c r="D692" s="24">
        <v>622.0</v>
      </c>
      <c r="E692" s="24">
        <v>644.0</v>
      </c>
    </row>
    <row r="693">
      <c r="A693" s="11" t="s">
        <v>471</v>
      </c>
      <c r="C693" s="3" t="s">
        <v>132</v>
      </c>
      <c r="D693" s="3" t="s">
        <v>132</v>
      </c>
    </row>
    <row r="694">
      <c r="A694" s="25" t="s">
        <v>178</v>
      </c>
      <c r="B694" s="24" t="s">
        <v>596</v>
      </c>
      <c r="C694" s="24" t="s">
        <v>486</v>
      </c>
    </row>
    <row r="695">
      <c r="A695" s="22" t="s">
        <v>103</v>
      </c>
      <c r="B695" s="24" t="s">
        <v>597</v>
      </c>
      <c r="D695" s="24" t="s">
        <v>598</v>
      </c>
    </row>
    <row r="698">
      <c r="A698" s="44" t="s">
        <v>50</v>
      </c>
      <c r="B698" s="46">
        <v>46001.0</v>
      </c>
    </row>
    <row r="699">
      <c r="B699" s="21" t="s">
        <v>4</v>
      </c>
      <c r="C699" s="21" t="s">
        <v>5</v>
      </c>
      <c r="D699" s="21" t="s">
        <v>6</v>
      </c>
      <c r="E699" s="21" t="s">
        <v>7</v>
      </c>
    </row>
    <row r="700">
      <c r="A700" s="22" t="s">
        <v>91</v>
      </c>
      <c r="B700" s="24">
        <v>63.4</v>
      </c>
      <c r="C700" s="24">
        <v>62.2</v>
      </c>
      <c r="D700" s="24">
        <v>68.2</v>
      </c>
      <c r="E700" s="24">
        <v>66.1</v>
      </c>
    </row>
    <row r="701">
      <c r="A701" s="22" t="s">
        <v>92</v>
      </c>
      <c r="B701" s="24">
        <v>7.0</v>
      </c>
      <c r="C701" s="24">
        <v>3.0</v>
      </c>
      <c r="D701" s="24">
        <v>1.0</v>
      </c>
      <c r="E701" s="24">
        <v>5.0</v>
      </c>
    </row>
    <row r="702">
      <c r="A702" s="22" t="s">
        <v>93</v>
      </c>
      <c r="B702" s="24">
        <f t="shared" ref="B702:E702" si="111">B685-B701</f>
        <v>20967</v>
      </c>
      <c r="C702" s="24">
        <f t="shared" si="111"/>
        <v>20747</v>
      </c>
      <c r="D702" s="24">
        <f t="shared" si="111"/>
        <v>20676</v>
      </c>
      <c r="E702" s="24">
        <f t="shared" si="111"/>
        <v>20909</v>
      </c>
    </row>
    <row r="703">
      <c r="A703" s="22" t="s">
        <v>94</v>
      </c>
      <c r="B703" s="23">
        <f t="shared" ref="B703:E703" si="112">B709*30</f>
        <v>19170</v>
      </c>
      <c r="C703" s="23">
        <f t="shared" si="112"/>
        <v>18930</v>
      </c>
      <c r="D703" s="23">
        <f t="shared" si="112"/>
        <v>18690</v>
      </c>
      <c r="E703" s="23">
        <f t="shared" si="112"/>
        <v>19260</v>
      </c>
    </row>
    <row r="704">
      <c r="A704" s="22" t="s">
        <v>95</v>
      </c>
      <c r="B704" s="24">
        <v>9.0</v>
      </c>
      <c r="C704" s="24">
        <v>16.0</v>
      </c>
      <c r="D704" s="24">
        <v>17.0</v>
      </c>
      <c r="E704" s="24">
        <v>20.0</v>
      </c>
    </row>
    <row r="705">
      <c r="A705" s="22" t="s">
        <v>96</v>
      </c>
      <c r="B705" s="24">
        <v>11.0</v>
      </c>
      <c r="C705" s="24">
        <v>5.0</v>
      </c>
      <c r="D705" s="24">
        <v>5.0</v>
      </c>
      <c r="E705" s="24">
        <v>6.0</v>
      </c>
    </row>
    <row r="706">
      <c r="A706" s="22" t="s">
        <v>111</v>
      </c>
      <c r="B706" s="24"/>
      <c r="C706" s="24"/>
      <c r="D706" s="24"/>
      <c r="E706" s="24"/>
    </row>
    <row r="707">
      <c r="A707" s="22" t="s">
        <v>98</v>
      </c>
      <c r="B707" s="24">
        <v>1.0</v>
      </c>
      <c r="C707" s="24">
        <v>1.0</v>
      </c>
      <c r="D707" s="24">
        <v>1.0</v>
      </c>
      <c r="E707" s="24">
        <v>1.0</v>
      </c>
    </row>
    <row r="708">
      <c r="A708" s="22" t="s">
        <v>112</v>
      </c>
      <c r="B708" s="26">
        <f>round(((B703/B702)*100),2)</f>
        <v>91.43</v>
      </c>
      <c r="C708" s="26">
        <f>round(((C703/C702)*100),2)</f>
        <v>91.24</v>
      </c>
      <c r="D708" s="26">
        <f>round(((D703/D702)*100),2)</f>
        <v>90.39</v>
      </c>
      <c r="E708" s="26">
        <f>round(((E703/E702)*100),2)</f>
        <v>92.11</v>
      </c>
    </row>
    <row r="709">
      <c r="A709" s="22" t="s">
        <v>100</v>
      </c>
      <c r="B709" s="24">
        <v>639.0</v>
      </c>
      <c r="C709" s="24">
        <v>631.0</v>
      </c>
      <c r="D709" s="24">
        <v>623.0</v>
      </c>
      <c r="E709" s="24">
        <v>642.0</v>
      </c>
    </row>
    <row r="710">
      <c r="A710" s="11" t="s">
        <v>471</v>
      </c>
      <c r="C710" s="3" t="s">
        <v>132</v>
      </c>
      <c r="D710" s="3" t="s">
        <v>132</v>
      </c>
    </row>
    <row r="711">
      <c r="A711" s="25" t="s">
        <v>178</v>
      </c>
      <c r="B711" s="24" t="s">
        <v>596</v>
      </c>
      <c r="C711" s="24" t="s">
        <v>509</v>
      </c>
    </row>
    <row r="712">
      <c r="A712" s="22" t="s">
        <v>103</v>
      </c>
      <c r="B712" s="24" t="s">
        <v>599</v>
      </c>
      <c r="D712" s="24" t="s">
        <v>600</v>
      </c>
    </row>
    <row r="715">
      <c r="A715" s="44" t="s">
        <v>50</v>
      </c>
      <c r="B715" s="20" t="s">
        <v>601</v>
      </c>
      <c r="G715" s="3" t="s">
        <v>602</v>
      </c>
    </row>
    <row r="716">
      <c r="B716" s="21" t="s">
        <v>4</v>
      </c>
      <c r="C716" s="21" t="s">
        <v>5</v>
      </c>
      <c r="D716" s="21" t="s">
        <v>6</v>
      </c>
      <c r="E716" s="21" t="s">
        <v>7</v>
      </c>
      <c r="G716" s="3" t="s">
        <v>603</v>
      </c>
    </row>
    <row r="717">
      <c r="A717" s="22" t="s">
        <v>91</v>
      </c>
      <c r="B717" s="24">
        <v>63.5</v>
      </c>
      <c r="C717" s="24">
        <v>62.3</v>
      </c>
      <c r="D717" s="24">
        <v>68.3</v>
      </c>
      <c r="E717" s="24">
        <v>66.2</v>
      </c>
      <c r="G717" s="3" t="s">
        <v>604</v>
      </c>
    </row>
    <row r="718">
      <c r="A718" s="22" t="s">
        <v>92</v>
      </c>
      <c r="B718" s="24">
        <v>3.0</v>
      </c>
      <c r="C718" s="24">
        <v>7.0</v>
      </c>
      <c r="D718" s="24">
        <v>1.0</v>
      </c>
      <c r="E718" s="24">
        <v>4.0</v>
      </c>
      <c r="G718" s="3" t="s">
        <v>398</v>
      </c>
    </row>
    <row r="719">
      <c r="A719" s="22" t="s">
        <v>93</v>
      </c>
      <c r="B719" s="24">
        <f t="shared" ref="B719:E719" si="113">B702-B718</f>
        <v>20964</v>
      </c>
      <c r="C719" s="24">
        <f t="shared" si="113"/>
        <v>20740</v>
      </c>
      <c r="D719" s="24">
        <f t="shared" si="113"/>
        <v>20675</v>
      </c>
      <c r="E719" s="24">
        <f t="shared" si="113"/>
        <v>20905</v>
      </c>
      <c r="G719" s="3" t="s">
        <v>605</v>
      </c>
    </row>
    <row r="720">
      <c r="A720" s="22" t="s">
        <v>94</v>
      </c>
      <c r="B720" s="23">
        <f t="shared" ref="B720:E720" si="114">B726*30</f>
        <v>18900</v>
      </c>
      <c r="C720" s="23">
        <f t="shared" si="114"/>
        <v>19050</v>
      </c>
      <c r="D720" s="23">
        <f t="shared" si="114"/>
        <v>18720</v>
      </c>
      <c r="E720" s="23">
        <f t="shared" si="114"/>
        <v>19350</v>
      </c>
    </row>
    <row r="721">
      <c r="A721" s="22" t="s">
        <v>95</v>
      </c>
      <c r="B721" s="24">
        <v>25.0</v>
      </c>
      <c r="C721" s="24">
        <v>18.0</v>
      </c>
      <c r="D721" s="24">
        <v>14.0</v>
      </c>
      <c r="E721" s="24">
        <v>15.0</v>
      </c>
    </row>
    <row r="722">
      <c r="A722" s="22" t="s">
        <v>96</v>
      </c>
      <c r="B722" s="24">
        <v>7.0</v>
      </c>
      <c r="C722" s="24">
        <v>5.0</v>
      </c>
      <c r="D722" s="24">
        <v>4.0</v>
      </c>
      <c r="E722" s="24">
        <v>11.0</v>
      </c>
    </row>
    <row r="723">
      <c r="A723" s="22" t="s">
        <v>111</v>
      </c>
      <c r="B723" s="24">
        <v>110.0</v>
      </c>
      <c r="C723" s="24">
        <v>110.0</v>
      </c>
      <c r="D723" s="24">
        <v>110.0</v>
      </c>
      <c r="E723" s="24">
        <v>110.0</v>
      </c>
    </row>
    <row r="724">
      <c r="A724" s="22" t="s">
        <v>98</v>
      </c>
      <c r="B724" s="24">
        <v>1.0</v>
      </c>
      <c r="C724" s="24">
        <v>1.0</v>
      </c>
      <c r="D724" s="24">
        <v>1.0</v>
      </c>
      <c r="E724" s="24">
        <v>1.0</v>
      </c>
    </row>
    <row r="725">
      <c r="A725" s="22" t="s">
        <v>112</v>
      </c>
      <c r="B725" s="26">
        <f>round(((B720/B719)*100),2)</f>
        <v>90.15</v>
      </c>
      <c r="C725" s="26">
        <f>round(((C720/C719)*100),2)</f>
        <v>91.85</v>
      </c>
      <c r="D725" s="26">
        <f>round(((D720/D719)*100),2)</f>
        <v>90.54</v>
      </c>
      <c r="E725" s="26">
        <f>round(((E720/E719)*100),2)</f>
        <v>92.56</v>
      </c>
    </row>
    <row r="726">
      <c r="A726" s="22" t="s">
        <v>100</v>
      </c>
      <c r="B726" s="24">
        <v>630.0</v>
      </c>
      <c r="C726" s="24">
        <v>635.0</v>
      </c>
      <c r="D726" s="24">
        <v>624.0</v>
      </c>
      <c r="E726" s="24">
        <v>645.0</v>
      </c>
    </row>
    <row r="727">
      <c r="A727" s="11" t="s">
        <v>471</v>
      </c>
      <c r="C727" s="3" t="s">
        <v>132</v>
      </c>
      <c r="D727" s="3" t="s">
        <v>132</v>
      </c>
    </row>
    <row r="728">
      <c r="A728" s="25" t="s">
        <v>178</v>
      </c>
      <c r="B728" s="24" t="s">
        <v>575</v>
      </c>
      <c r="C728" s="24" t="s">
        <v>509</v>
      </c>
    </row>
    <row r="729">
      <c r="A729" s="22" t="s">
        <v>103</v>
      </c>
      <c r="B729" s="24" t="s">
        <v>606</v>
      </c>
      <c r="D729" s="24" t="s">
        <v>607</v>
      </c>
    </row>
    <row r="732">
      <c r="A732" s="44" t="s">
        <v>50</v>
      </c>
      <c r="B732" s="20" t="s">
        <v>608</v>
      </c>
    </row>
    <row r="733">
      <c r="B733" s="21" t="s">
        <v>4</v>
      </c>
      <c r="C733" s="21" t="s">
        <v>5</v>
      </c>
      <c r="D733" s="21" t="s">
        <v>6</v>
      </c>
      <c r="E733" s="21" t="s">
        <v>7</v>
      </c>
    </row>
    <row r="734">
      <c r="A734" s="22" t="s">
        <v>91</v>
      </c>
      <c r="B734" s="24">
        <v>63.6</v>
      </c>
      <c r="C734" s="24">
        <v>62.4</v>
      </c>
      <c r="D734" s="24">
        <v>68.4</v>
      </c>
      <c r="E734" s="24">
        <v>66.3</v>
      </c>
    </row>
    <row r="735">
      <c r="A735" s="22" t="s">
        <v>92</v>
      </c>
      <c r="B735" s="24">
        <v>8.0</v>
      </c>
      <c r="C735" s="24">
        <v>3.0</v>
      </c>
      <c r="D735" s="24">
        <v>3.0</v>
      </c>
      <c r="E735" s="24">
        <v>2.0</v>
      </c>
    </row>
    <row r="736">
      <c r="A736" s="22" t="s">
        <v>93</v>
      </c>
      <c r="B736" s="24">
        <f t="shared" ref="B736:E736" si="115">B719-B735</f>
        <v>20956</v>
      </c>
      <c r="C736" s="24">
        <f t="shared" si="115"/>
        <v>20737</v>
      </c>
      <c r="D736" s="24">
        <f t="shared" si="115"/>
        <v>20672</v>
      </c>
      <c r="E736" s="24">
        <f t="shared" si="115"/>
        <v>20903</v>
      </c>
    </row>
    <row r="737">
      <c r="A737" s="22" t="s">
        <v>94</v>
      </c>
      <c r="B737" s="23">
        <f t="shared" ref="B737:E737" si="116">B743*30</f>
        <v>18960</v>
      </c>
      <c r="C737" s="23">
        <f t="shared" si="116"/>
        <v>18960</v>
      </c>
      <c r="D737" s="23">
        <f t="shared" si="116"/>
        <v>18480</v>
      </c>
      <c r="E737" s="23">
        <f t="shared" si="116"/>
        <v>19110</v>
      </c>
    </row>
    <row r="738">
      <c r="A738" s="22" t="s">
        <v>95</v>
      </c>
      <c r="B738" s="24">
        <v>17.0</v>
      </c>
      <c r="C738" s="24">
        <v>10.0</v>
      </c>
      <c r="D738" s="24">
        <v>3.0</v>
      </c>
      <c r="E738" s="24">
        <v>12.0</v>
      </c>
    </row>
    <row r="739">
      <c r="A739" s="22" t="s">
        <v>96</v>
      </c>
      <c r="B739" s="24">
        <v>12.0</v>
      </c>
      <c r="C739" s="24">
        <v>3.0</v>
      </c>
      <c r="D739" s="24">
        <v>4.0</v>
      </c>
      <c r="E739" s="24">
        <v>6.0</v>
      </c>
    </row>
    <row r="740">
      <c r="A740" s="22" t="s">
        <v>111</v>
      </c>
      <c r="B740" s="24"/>
      <c r="C740" s="24"/>
      <c r="D740" s="24"/>
      <c r="E740" s="24"/>
    </row>
    <row r="741">
      <c r="A741" s="22" t="s">
        <v>98</v>
      </c>
      <c r="B741" s="24">
        <v>1.0</v>
      </c>
      <c r="C741" s="24" t="s">
        <v>281</v>
      </c>
      <c r="D741" s="24">
        <v>1.0</v>
      </c>
      <c r="E741" s="24">
        <v>1.0</v>
      </c>
    </row>
    <row r="742">
      <c r="A742" s="22" t="s">
        <v>112</v>
      </c>
      <c r="B742" s="26">
        <f>round(((B737/B736)*100),2)</f>
        <v>90.48</v>
      </c>
      <c r="C742" s="26">
        <f>round(((C737/C736)*100),2)</f>
        <v>91.43</v>
      </c>
      <c r="D742" s="26">
        <f>round(((D737/D736)*100),2)</f>
        <v>89.4</v>
      </c>
      <c r="E742" s="26">
        <f>round(((E737/E736)*100),2)</f>
        <v>91.42</v>
      </c>
    </row>
    <row r="743">
      <c r="A743" s="22" t="s">
        <v>100</v>
      </c>
      <c r="B743" s="24">
        <v>632.0</v>
      </c>
      <c r="C743" s="24">
        <v>632.0</v>
      </c>
      <c r="D743" s="24">
        <v>616.0</v>
      </c>
      <c r="E743" s="24">
        <v>637.0</v>
      </c>
    </row>
    <row r="744">
      <c r="A744" s="11" t="s">
        <v>471</v>
      </c>
      <c r="C744" s="3" t="s">
        <v>132</v>
      </c>
      <c r="D744" s="3" t="s">
        <v>132</v>
      </c>
    </row>
    <row r="745">
      <c r="A745" s="25" t="s">
        <v>178</v>
      </c>
      <c r="B745" s="24" t="s">
        <v>609</v>
      </c>
      <c r="C745" s="24" t="s">
        <v>492</v>
      </c>
    </row>
    <row r="746">
      <c r="A746" s="22" t="s">
        <v>103</v>
      </c>
      <c r="B746" s="24" t="s">
        <v>610</v>
      </c>
      <c r="D746" s="24" t="s">
        <v>611</v>
      </c>
    </row>
    <row r="749">
      <c r="A749" s="44" t="s">
        <v>50</v>
      </c>
      <c r="B749" s="20" t="s">
        <v>612</v>
      </c>
    </row>
    <row r="750">
      <c r="B750" s="21" t="s">
        <v>4</v>
      </c>
      <c r="C750" s="21" t="s">
        <v>5</v>
      </c>
      <c r="D750" s="21" t="s">
        <v>6</v>
      </c>
      <c r="E750" s="21" t="s">
        <v>7</v>
      </c>
    </row>
    <row r="751">
      <c r="A751" s="22" t="s">
        <v>91</v>
      </c>
      <c r="B751" s="24">
        <v>63.7</v>
      </c>
      <c r="C751" s="24">
        <v>62.5</v>
      </c>
      <c r="D751" s="24">
        <v>68.5</v>
      </c>
      <c r="E751" s="24">
        <v>66.4</v>
      </c>
    </row>
    <row r="752">
      <c r="A752" s="22" t="s">
        <v>92</v>
      </c>
      <c r="B752" s="24">
        <v>3.0</v>
      </c>
      <c r="C752" s="24">
        <v>4.0</v>
      </c>
      <c r="D752" s="24">
        <v>5.0</v>
      </c>
      <c r="E752" s="24">
        <v>7.0</v>
      </c>
    </row>
    <row r="753">
      <c r="A753" s="22" t="s">
        <v>93</v>
      </c>
      <c r="B753" s="24">
        <f t="shared" ref="B753:E753" si="117">B736-B752</f>
        <v>20953</v>
      </c>
      <c r="C753" s="24">
        <f t="shared" si="117"/>
        <v>20733</v>
      </c>
      <c r="D753" s="24">
        <f t="shared" si="117"/>
        <v>20667</v>
      </c>
      <c r="E753" s="24">
        <f t="shared" si="117"/>
        <v>20896</v>
      </c>
    </row>
    <row r="754">
      <c r="A754" s="22" t="s">
        <v>94</v>
      </c>
      <c r="B754" s="23">
        <f t="shared" ref="B754:E754" si="118">B760*30</f>
        <v>18960</v>
      </c>
      <c r="C754" s="23">
        <f t="shared" si="118"/>
        <v>19050</v>
      </c>
      <c r="D754" s="23">
        <f t="shared" si="118"/>
        <v>18450</v>
      </c>
      <c r="E754" s="23">
        <f t="shared" si="118"/>
        <v>19350</v>
      </c>
    </row>
    <row r="755">
      <c r="A755" s="22" t="s">
        <v>95</v>
      </c>
      <c r="B755" s="24">
        <v>21.0</v>
      </c>
      <c r="C755" s="24">
        <v>10.0</v>
      </c>
      <c r="D755" s="24">
        <v>20.0</v>
      </c>
      <c r="E755" s="24">
        <v>10.0</v>
      </c>
    </row>
    <row r="756">
      <c r="A756" s="22" t="s">
        <v>96</v>
      </c>
      <c r="B756" s="24">
        <v>11.0</v>
      </c>
      <c r="C756" s="24">
        <v>4.0</v>
      </c>
      <c r="D756" s="24">
        <v>3.0</v>
      </c>
      <c r="E756" s="24">
        <v>5.0</v>
      </c>
    </row>
    <row r="757">
      <c r="A757" s="22" t="s">
        <v>111</v>
      </c>
      <c r="B757" s="24"/>
      <c r="C757" s="24"/>
      <c r="D757" s="24"/>
      <c r="E757" s="24"/>
    </row>
    <row r="758">
      <c r="A758" s="22" t="s">
        <v>98</v>
      </c>
      <c r="B758" s="24">
        <v>1.0</v>
      </c>
      <c r="C758" s="24">
        <v>1.0</v>
      </c>
      <c r="D758" s="24">
        <v>1.0</v>
      </c>
      <c r="E758" s="24">
        <v>1.0</v>
      </c>
    </row>
    <row r="759">
      <c r="A759" s="22" t="s">
        <v>112</v>
      </c>
      <c r="B759" s="26">
        <f>round(((B754/B753)*100),2)</f>
        <v>90.49</v>
      </c>
      <c r="C759" s="26">
        <f>round(((C754/C753)*100),2)</f>
        <v>91.88</v>
      </c>
      <c r="D759" s="26">
        <f>round(((D754/D753)*100),2)</f>
        <v>89.27</v>
      </c>
      <c r="E759" s="26">
        <f>round(((E754/E753)*100),2)</f>
        <v>92.6</v>
      </c>
    </row>
    <row r="760">
      <c r="A760" s="22" t="s">
        <v>100</v>
      </c>
      <c r="B760" s="24">
        <v>632.0</v>
      </c>
      <c r="C760" s="24">
        <v>635.0</v>
      </c>
      <c r="D760" s="24">
        <v>615.0</v>
      </c>
      <c r="E760" s="24">
        <v>645.0</v>
      </c>
    </row>
    <row r="761">
      <c r="A761" s="11" t="s">
        <v>471</v>
      </c>
      <c r="C761" s="3" t="s">
        <v>132</v>
      </c>
      <c r="D761" s="3" t="s">
        <v>132</v>
      </c>
    </row>
    <row r="762">
      <c r="A762" s="25" t="s">
        <v>178</v>
      </c>
      <c r="B762" s="24" t="s">
        <v>613</v>
      </c>
      <c r="C762" s="24" t="s">
        <v>492</v>
      </c>
    </row>
    <row r="763">
      <c r="A763" s="22" t="s">
        <v>103</v>
      </c>
      <c r="B763" s="24" t="s">
        <v>614</v>
      </c>
      <c r="D763" s="24" t="s">
        <v>615</v>
      </c>
    </row>
    <row r="766">
      <c r="A766" s="44" t="s">
        <v>50</v>
      </c>
      <c r="B766" s="20" t="s">
        <v>616</v>
      </c>
    </row>
    <row r="767">
      <c r="B767" s="21" t="s">
        <v>4</v>
      </c>
      <c r="C767" s="21" t="s">
        <v>5</v>
      </c>
      <c r="D767" s="21" t="s">
        <v>6</v>
      </c>
      <c r="E767" s="21" t="s">
        <v>7</v>
      </c>
    </row>
    <row r="768">
      <c r="A768" s="22" t="s">
        <v>91</v>
      </c>
      <c r="B768" s="24">
        <v>64.1</v>
      </c>
      <c r="C768" s="24">
        <v>62.6</v>
      </c>
      <c r="D768" s="24">
        <v>68.6</v>
      </c>
      <c r="E768" s="24">
        <v>66.5</v>
      </c>
    </row>
    <row r="769">
      <c r="A769" s="22" t="s">
        <v>92</v>
      </c>
      <c r="B769" s="24">
        <v>8.0</v>
      </c>
      <c r="C769" s="24">
        <v>2.0</v>
      </c>
      <c r="D769" s="24">
        <v>3.0</v>
      </c>
      <c r="E769" s="24">
        <v>4.0</v>
      </c>
    </row>
    <row r="770">
      <c r="A770" s="22" t="s">
        <v>93</v>
      </c>
      <c r="B770" s="24">
        <f t="shared" ref="B770:E770" si="119">B753-B769</f>
        <v>20945</v>
      </c>
      <c r="C770" s="24">
        <f t="shared" si="119"/>
        <v>20731</v>
      </c>
      <c r="D770" s="24">
        <f t="shared" si="119"/>
        <v>20664</v>
      </c>
      <c r="E770" s="24">
        <f t="shared" si="119"/>
        <v>20892</v>
      </c>
    </row>
    <row r="771">
      <c r="A771" s="22" t="s">
        <v>94</v>
      </c>
      <c r="B771" s="23">
        <f t="shared" ref="B771:E771" si="120">B777*30</f>
        <v>19050</v>
      </c>
      <c r="C771" s="23">
        <f t="shared" si="120"/>
        <v>18960</v>
      </c>
      <c r="D771" s="23">
        <f t="shared" si="120"/>
        <v>18660</v>
      </c>
      <c r="E771" s="23">
        <f t="shared" si="120"/>
        <v>19260</v>
      </c>
    </row>
    <row r="772">
      <c r="A772" s="22" t="s">
        <v>95</v>
      </c>
      <c r="B772" s="24">
        <v>19.0</v>
      </c>
      <c r="C772" s="24">
        <v>4.0</v>
      </c>
      <c r="D772" s="24">
        <v>16.0</v>
      </c>
      <c r="E772" s="24">
        <v>8.0</v>
      </c>
    </row>
    <row r="773">
      <c r="A773" s="22" t="s">
        <v>96</v>
      </c>
      <c r="B773" s="24">
        <v>8.0</v>
      </c>
      <c r="C773" s="24">
        <v>1.0</v>
      </c>
      <c r="D773" s="24">
        <v>5.0</v>
      </c>
      <c r="E773" s="24">
        <v>3.0</v>
      </c>
    </row>
    <row r="774">
      <c r="A774" s="22" t="s">
        <v>111</v>
      </c>
      <c r="B774" s="24">
        <v>110.0</v>
      </c>
      <c r="C774" s="24">
        <v>110.0</v>
      </c>
      <c r="D774" s="24">
        <v>110.0</v>
      </c>
      <c r="E774" s="24">
        <v>110.0</v>
      </c>
    </row>
    <row r="775">
      <c r="A775" s="22" t="s">
        <v>98</v>
      </c>
      <c r="B775" s="24">
        <v>1.0</v>
      </c>
      <c r="C775" s="24">
        <v>1.0</v>
      </c>
      <c r="D775" s="24">
        <v>1.0</v>
      </c>
      <c r="E775" s="24">
        <v>1.0</v>
      </c>
    </row>
    <row r="776">
      <c r="A776" s="22" t="s">
        <v>112</v>
      </c>
      <c r="B776" s="26">
        <f>round(((B771/B770)*100),2)</f>
        <v>90.95</v>
      </c>
      <c r="C776" s="26">
        <f>round(((C771/C770)*100),2)</f>
        <v>91.46</v>
      </c>
      <c r="D776" s="26">
        <f>round(((D771/D770)*100),2)</f>
        <v>90.3</v>
      </c>
      <c r="E776" s="26">
        <f>round(((E771/E770)*100),2)</f>
        <v>92.19</v>
      </c>
    </row>
    <row r="777">
      <c r="A777" s="22" t="s">
        <v>100</v>
      </c>
      <c r="B777" s="24">
        <v>635.0</v>
      </c>
      <c r="C777" s="24">
        <v>632.0</v>
      </c>
      <c r="D777" s="24">
        <v>622.0</v>
      </c>
      <c r="E777" s="24">
        <v>642.0</v>
      </c>
    </row>
    <row r="778">
      <c r="A778" s="11" t="s">
        <v>471</v>
      </c>
      <c r="C778" s="3" t="s">
        <v>132</v>
      </c>
      <c r="D778" s="3" t="s">
        <v>132</v>
      </c>
    </row>
    <row r="779">
      <c r="A779" s="25" t="s">
        <v>178</v>
      </c>
      <c r="B779" s="24" t="s">
        <v>585</v>
      </c>
      <c r="C779" s="24" t="s">
        <v>492</v>
      </c>
    </row>
    <row r="780">
      <c r="A780" s="22" t="s">
        <v>103</v>
      </c>
      <c r="B780" s="24" t="s">
        <v>617</v>
      </c>
      <c r="D780" s="24" t="s">
        <v>618</v>
      </c>
    </row>
    <row r="783">
      <c r="A783" s="44" t="s">
        <v>50</v>
      </c>
      <c r="B783" s="20" t="s">
        <v>619</v>
      </c>
    </row>
    <row r="784">
      <c r="B784" s="21" t="s">
        <v>4</v>
      </c>
      <c r="C784" s="21" t="s">
        <v>5</v>
      </c>
      <c r="D784" s="21" t="s">
        <v>6</v>
      </c>
      <c r="E784" s="21" t="s">
        <v>7</v>
      </c>
    </row>
    <row r="785">
      <c r="A785" s="22" t="s">
        <v>91</v>
      </c>
      <c r="B785" s="24">
        <v>64.1</v>
      </c>
      <c r="C785" s="24">
        <v>62.7</v>
      </c>
      <c r="D785" s="24">
        <v>68.7</v>
      </c>
      <c r="E785" s="24">
        <v>66.6</v>
      </c>
      <c r="G785" s="3" t="s">
        <v>296</v>
      </c>
    </row>
    <row r="786">
      <c r="A786" s="22" t="s">
        <v>92</v>
      </c>
      <c r="B786" s="24">
        <v>3.0</v>
      </c>
      <c r="C786" s="24">
        <v>7.0</v>
      </c>
      <c r="D786" s="24">
        <v>6.0</v>
      </c>
      <c r="E786" s="24">
        <v>2.0</v>
      </c>
    </row>
    <row r="787">
      <c r="A787" s="22" t="s">
        <v>93</v>
      </c>
      <c r="B787" s="24">
        <f t="shared" ref="B787:E787" si="121">B770-B786</f>
        <v>20942</v>
      </c>
      <c r="C787" s="24">
        <f t="shared" si="121"/>
        <v>20724</v>
      </c>
      <c r="D787" s="24">
        <f t="shared" si="121"/>
        <v>20658</v>
      </c>
      <c r="E787" s="24">
        <f t="shared" si="121"/>
        <v>20890</v>
      </c>
    </row>
    <row r="788">
      <c r="A788" s="22" t="s">
        <v>94</v>
      </c>
      <c r="B788" s="23">
        <f t="shared" ref="B788:E788" si="122">B794*30</f>
        <v>19140</v>
      </c>
      <c r="C788" s="23">
        <f t="shared" si="122"/>
        <v>18780</v>
      </c>
      <c r="D788" s="23">
        <f t="shared" si="122"/>
        <v>18540</v>
      </c>
      <c r="E788" s="23">
        <f t="shared" si="122"/>
        <v>19260</v>
      </c>
    </row>
    <row r="789">
      <c r="A789" s="22" t="s">
        <v>95</v>
      </c>
      <c r="B789" s="24">
        <v>19.0</v>
      </c>
      <c r="C789" s="24">
        <v>13.0</v>
      </c>
      <c r="D789" s="24">
        <v>22.0</v>
      </c>
      <c r="E789" s="24">
        <v>14.0</v>
      </c>
    </row>
    <row r="790">
      <c r="A790" s="22" t="s">
        <v>96</v>
      </c>
      <c r="B790" s="24">
        <v>7.0</v>
      </c>
      <c r="C790" s="24">
        <v>6.0</v>
      </c>
      <c r="D790" s="24">
        <v>9.0</v>
      </c>
      <c r="E790" s="24">
        <v>6.0</v>
      </c>
    </row>
    <row r="791">
      <c r="A791" s="22" t="s">
        <v>111</v>
      </c>
      <c r="B791" s="24"/>
      <c r="C791" s="24"/>
      <c r="D791" s="24"/>
      <c r="E791" s="24"/>
    </row>
    <row r="792">
      <c r="A792" s="22" t="s">
        <v>98</v>
      </c>
      <c r="B792" s="24">
        <v>1.0</v>
      </c>
      <c r="C792" s="24">
        <v>1.0</v>
      </c>
      <c r="D792" s="24">
        <v>1.0</v>
      </c>
      <c r="E792" s="24">
        <v>1.0</v>
      </c>
    </row>
    <row r="793">
      <c r="A793" s="22" t="s">
        <v>112</v>
      </c>
      <c r="B793" s="26">
        <f>round(((B788/B787)*100),2)</f>
        <v>91.4</v>
      </c>
      <c r="C793" s="26">
        <f>round(((C788/C787)*100),2)</f>
        <v>90.62</v>
      </c>
      <c r="D793" s="26">
        <f>round(((D788/D787)*100),2)</f>
        <v>89.75</v>
      </c>
      <c r="E793" s="26">
        <f>round(((E788/E787)*100),2)</f>
        <v>92.2</v>
      </c>
    </row>
    <row r="794">
      <c r="A794" s="22" t="s">
        <v>100</v>
      </c>
      <c r="B794" s="24">
        <v>638.0</v>
      </c>
      <c r="C794" s="24">
        <v>626.0</v>
      </c>
      <c r="D794" s="24">
        <v>618.0</v>
      </c>
      <c r="E794" s="24">
        <v>642.0</v>
      </c>
    </row>
    <row r="795">
      <c r="A795" s="11" t="s">
        <v>471</v>
      </c>
      <c r="C795" s="3" t="s">
        <v>132</v>
      </c>
      <c r="D795" s="3" t="s">
        <v>132</v>
      </c>
    </row>
    <row r="796">
      <c r="A796" s="25" t="s">
        <v>178</v>
      </c>
      <c r="B796" s="24" t="s">
        <v>620</v>
      </c>
      <c r="C796" s="24" t="s">
        <v>621</v>
      </c>
    </row>
    <row r="797">
      <c r="A797" s="22" t="s">
        <v>103</v>
      </c>
      <c r="B797" s="24" t="s">
        <v>622</v>
      </c>
      <c r="D797" s="24" t="s">
        <v>623</v>
      </c>
    </row>
    <row r="800">
      <c r="A800" s="44" t="s">
        <v>50</v>
      </c>
      <c r="B800" s="20" t="s">
        <v>624</v>
      </c>
    </row>
    <row r="801">
      <c r="B801" s="21" t="s">
        <v>4</v>
      </c>
      <c r="C801" s="21" t="s">
        <v>5</v>
      </c>
      <c r="D801" s="21" t="s">
        <v>6</v>
      </c>
      <c r="E801" s="21" t="s">
        <v>7</v>
      </c>
    </row>
    <row r="802">
      <c r="A802" s="22" t="s">
        <v>91</v>
      </c>
      <c r="B802" s="24">
        <v>64.2</v>
      </c>
      <c r="C802" s="24">
        <v>63.1</v>
      </c>
      <c r="D802" s="24">
        <v>69.1</v>
      </c>
      <c r="E802" s="24">
        <v>66.7</v>
      </c>
    </row>
    <row r="803">
      <c r="A803" s="22" t="s">
        <v>92</v>
      </c>
      <c r="B803" s="24">
        <v>4.0</v>
      </c>
      <c r="C803" s="24">
        <v>5.0</v>
      </c>
      <c r="D803" s="24">
        <v>3.0</v>
      </c>
      <c r="E803" s="24">
        <v>3.0</v>
      </c>
    </row>
    <row r="804">
      <c r="A804" s="22" t="s">
        <v>93</v>
      </c>
      <c r="B804" s="24">
        <f t="shared" ref="B804:E804" si="123">B787-B803</f>
        <v>20938</v>
      </c>
      <c r="C804" s="24">
        <f t="shared" si="123"/>
        <v>20719</v>
      </c>
      <c r="D804" s="24">
        <f t="shared" si="123"/>
        <v>20655</v>
      </c>
      <c r="E804" s="24">
        <f t="shared" si="123"/>
        <v>20887</v>
      </c>
      <c r="G804" s="3" t="s">
        <v>625</v>
      </c>
    </row>
    <row r="805">
      <c r="A805" s="22" t="s">
        <v>94</v>
      </c>
      <c r="B805" s="23">
        <f t="shared" ref="B805:E805" si="124">B811*30</f>
        <v>19140</v>
      </c>
      <c r="C805" s="23">
        <f t="shared" si="124"/>
        <v>18600</v>
      </c>
      <c r="D805" s="23">
        <f t="shared" si="124"/>
        <v>18630</v>
      </c>
      <c r="E805" s="23">
        <f t="shared" si="124"/>
        <v>19110</v>
      </c>
    </row>
    <row r="806">
      <c r="A806" s="22" t="s">
        <v>95</v>
      </c>
      <c r="B806" s="24">
        <v>22.0</v>
      </c>
      <c r="C806" s="24">
        <v>8.0</v>
      </c>
      <c r="D806" s="24">
        <v>20.0</v>
      </c>
      <c r="E806" s="24">
        <v>9.0</v>
      </c>
    </row>
    <row r="807">
      <c r="A807" s="22" t="s">
        <v>96</v>
      </c>
      <c r="B807" s="24">
        <v>11.0</v>
      </c>
      <c r="C807" s="24">
        <v>8.0</v>
      </c>
      <c r="D807" s="24">
        <v>6.0</v>
      </c>
      <c r="E807" s="24">
        <v>3.0</v>
      </c>
    </row>
    <row r="808">
      <c r="A808" s="22" t="s">
        <v>111</v>
      </c>
      <c r="B808" s="24">
        <v>55.0</v>
      </c>
      <c r="C808" s="24">
        <v>55.0</v>
      </c>
      <c r="D808" s="24">
        <v>55.0</v>
      </c>
      <c r="E808" s="24">
        <v>55.0</v>
      </c>
    </row>
    <row r="809">
      <c r="A809" s="22" t="s">
        <v>98</v>
      </c>
      <c r="B809" s="24">
        <v>1.0</v>
      </c>
      <c r="C809" s="24">
        <v>1.0</v>
      </c>
      <c r="D809" s="24">
        <v>1.0</v>
      </c>
      <c r="E809" s="24">
        <v>1.0</v>
      </c>
    </row>
    <row r="810">
      <c r="A810" s="22" t="s">
        <v>112</v>
      </c>
      <c r="B810" s="26">
        <f>round(((B805/B804)*100),2)</f>
        <v>91.41</v>
      </c>
      <c r="C810" s="26">
        <f>round(((C805/C804)*100),2)</f>
        <v>89.77</v>
      </c>
      <c r="D810" s="26">
        <f>round(((D805/D804)*100),2)</f>
        <v>90.2</v>
      </c>
      <c r="E810" s="26">
        <f>round(((E805/E804)*100),2)</f>
        <v>91.49</v>
      </c>
    </row>
    <row r="811">
      <c r="A811" s="22" t="s">
        <v>100</v>
      </c>
      <c r="B811" s="24">
        <v>638.0</v>
      </c>
      <c r="C811" s="24">
        <v>620.0</v>
      </c>
      <c r="D811" s="24">
        <v>621.0</v>
      </c>
      <c r="E811" s="24">
        <v>637.0</v>
      </c>
    </row>
    <row r="812">
      <c r="A812" s="11" t="s">
        <v>471</v>
      </c>
      <c r="C812" s="3" t="s">
        <v>588</v>
      </c>
      <c r="D812" s="3" t="s">
        <v>132</v>
      </c>
    </row>
    <row r="813">
      <c r="A813" s="25" t="s">
        <v>178</v>
      </c>
      <c r="B813" s="24" t="s">
        <v>626</v>
      </c>
      <c r="C813" s="24" t="s">
        <v>107</v>
      </c>
    </row>
    <row r="814">
      <c r="A814" s="22" t="s">
        <v>103</v>
      </c>
      <c r="B814" s="24" t="s">
        <v>627</v>
      </c>
      <c r="D814" s="24" t="s">
        <v>628</v>
      </c>
    </row>
    <row r="817">
      <c r="A817" s="44" t="s">
        <v>50</v>
      </c>
      <c r="B817" s="20" t="s">
        <v>629</v>
      </c>
    </row>
    <row r="818">
      <c r="B818" s="21" t="s">
        <v>4</v>
      </c>
      <c r="C818" s="21" t="s">
        <v>5</v>
      </c>
      <c r="D818" s="21" t="s">
        <v>6</v>
      </c>
      <c r="E818" s="21" t="s">
        <v>7</v>
      </c>
    </row>
    <row r="819">
      <c r="A819" s="22" t="s">
        <v>91</v>
      </c>
      <c r="B819" s="24">
        <v>64.3</v>
      </c>
      <c r="C819" s="24">
        <v>63.2</v>
      </c>
      <c r="D819" s="24">
        <v>69.2</v>
      </c>
      <c r="E819" s="24">
        <v>67.1</v>
      </c>
    </row>
    <row r="820">
      <c r="A820" s="22" t="s">
        <v>92</v>
      </c>
      <c r="B820" s="24">
        <v>3.0</v>
      </c>
      <c r="C820" s="24">
        <v>4.0</v>
      </c>
      <c r="D820" s="24">
        <v>2.0</v>
      </c>
      <c r="E820" s="24">
        <v>4.0</v>
      </c>
    </row>
    <row r="821">
      <c r="A821" s="22" t="s">
        <v>93</v>
      </c>
      <c r="B821" s="24">
        <f>B804-B820</f>
        <v>20935</v>
      </c>
      <c r="C821" s="24">
        <f>C804-C820-10</f>
        <v>20705</v>
      </c>
      <c r="D821" s="24">
        <f t="shared" ref="D821:E821" si="125">D804-D820</f>
        <v>20653</v>
      </c>
      <c r="E821" s="24">
        <f t="shared" si="125"/>
        <v>20883</v>
      </c>
    </row>
    <row r="822">
      <c r="A822" s="22" t="s">
        <v>94</v>
      </c>
      <c r="B822" s="23">
        <f t="shared" ref="B822:E822" si="126">B828*30</f>
        <v>19140</v>
      </c>
      <c r="C822" s="23">
        <f t="shared" si="126"/>
        <v>18750</v>
      </c>
      <c r="D822" s="23">
        <f t="shared" si="126"/>
        <v>18630</v>
      </c>
      <c r="E822" s="23">
        <f t="shared" si="126"/>
        <v>19230</v>
      </c>
    </row>
    <row r="823">
      <c r="A823" s="22" t="s">
        <v>95</v>
      </c>
      <c r="B823" s="24">
        <v>24.0</v>
      </c>
      <c r="C823" s="24">
        <v>13.0</v>
      </c>
      <c r="D823" s="24">
        <v>16.0</v>
      </c>
      <c r="E823" s="24">
        <v>8.0</v>
      </c>
    </row>
    <row r="824">
      <c r="A824" s="22" t="s">
        <v>96</v>
      </c>
      <c r="B824" s="24">
        <v>7.0</v>
      </c>
      <c r="C824" s="24">
        <v>6.0</v>
      </c>
      <c r="D824" s="24">
        <v>3.0</v>
      </c>
      <c r="E824" s="24">
        <v>11.0</v>
      </c>
    </row>
    <row r="825">
      <c r="A825" s="22" t="s">
        <v>111</v>
      </c>
      <c r="B825" s="24"/>
      <c r="C825" s="24"/>
      <c r="D825" s="24"/>
      <c r="E825" s="24"/>
    </row>
    <row r="826">
      <c r="A826" s="22" t="s">
        <v>98</v>
      </c>
      <c r="B826" s="24">
        <v>1.0</v>
      </c>
      <c r="C826" s="24">
        <v>1.0</v>
      </c>
      <c r="D826" s="24">
        <v>1.0</v>
      </c>
      <c r="E826" s="24">
        <v>1.0</v>
      </c>
    </row>
    <row r="827">
      <c r="A827" s="22" t="s">
        <v>112</v>
      </c>
      <c r="B827" s="26">
        <f>round(((B822/B821)*100),2)</f>
        <v>91.43</v>
      </c>
      <c r="C827" s="26">
        <f>round(((C822/C821)*100),2)</f>
        <v>90.56</v>
      </c>
      <c r="D827" s="26">
        <f>round(((D822/D821)*100),2)</f>
        <v>90.2</v>
      </c>
      <c r="E827" s="26">
        <f>round(((E822/E821)*100),2)</f>
        <v>92.08</v>
      </c>
    </row>
    <row r="828">
      <c r="A828" s="22" t="s">
        <v>100</v>
      </c>
      <c r="B828" s="24">
        <v>638.0</v>
      </c>
      <c r="C828" s="24">
        <v>625.0</v>
      </c>
      <c r="D828" s="24">
        <v>621.0</v>
      </c>
      <c r="E828" s="24">
        <v>641.0</v>
      </c>
    </row>
    <row r="829">
      <c r="A829" s="11" t="s">
        <v>471</v>
      </c>
      <c r="C829" s="3" t="s">
        <v>132</v>
      </c>
      <c r="D829" s="3" t="s">
        <v>132</v>
      </c>
    </row>
    <row r="830">
      <c r="A830" s="25" t="s">
        <v>178</v>
      </c>
      <c r="B830" s="24" t="s">
        <v>630</v>
      </c>
      <c r="C830" s="24" t="s">
        <v>492</v>
      </c>
    </row>
    <row r="831">
      <c r="A831" s="22" t="s">
        <v>103</v>
      </c>
      <c r="B831" s="24" t="s">
        <v>631</v>
      </c>
      <c r="D831" s="24" t="s">
        <v>632</v>
      </c>
    </row>
    <row r="834">
      <c r="A834" s="44" t="s">
        <v>50</v>
      </c>
      <c r="B834" s="20" t="s">
        <v>633</v>
      </c>
    </row>
    <row r="835">
      <c r="B835" s="21" t="s">
        <v>4</v>
      </c>
      <c r="C835" s="21" t="s">
        <v>5</v>
      </c>
      <c r="D835" s="21" t="s">
        <v>6</v>
      </c>
      <c r="E835" s="21" t="s">
        <v>7</v>
      </c>
    </row>
    <row r="836">
      <c r="A836" s="22" t="s">
        <v>91</v>
      </c>
      <c r="B836" s="24">
        <v>64.4</v>
      </c>
      <c r="C836" s="24">
        <v>63.3</v>
      </c>
      <c r="D836" s="24">
        <v>69.3</v>
      </c>
      <c r="E836" s="24">
        <v>67.2</v>
      </c>
    </row>
    <row r="837">
      <c r="A837" s="22" t="s">
        <v>92</v>
      </c>
      <c r="B837" s="24">
        <v>2.0</v>
      </c>
      <c r="C837" s="24">
        <v>9.0</v>
      </c>
      <c r="D837" s="24">
        <v>12.0</v>
      </c>
      <c r="E837" s="24">
        <v>2.0</v>
      </c>
    </row>
    <row r="838">
      <c r="A838" s="22" t="s">
        <v>93</v>
      </c>
      <c r="B838" s="24">
        <f t="shared" ref="B838:E838" si="127">B821-B837</f>
        <v>20933</v>
      </c>
      <c r="C838" s="24">
        <f t="shared" si="127"/>
        <v>20696</v>
      </c>
      <c r="D838" s="24">
        <f t="shared" si="127"/>
        <v>20641</v>
      </c>
      <c r="E838" s="24">
        <f t="shared" si="127"/>
        <v>20881</v>
      </c>
    </row>
    <row r="839">
      <c r="A839" s="22" t="s">
        <v>94</v>
      </c>
      <c r="B839" s="23">
        <f t="shared" ref="B839:E839" si="128">B845*30</f>
        <v>18450</v>
      </c>
      <c r="C839" s="23">
        <f t="shared" si="128"/>
        <v>18030</v>
      </c>
      <c r="D839" s="23">
        <f t="shared" si="128"/>
        <v>18090</v>
      </c>
      <c r="E839" s="23">
        <f t="shared" si="128"/>
        <v>18660</v>
      </c>
    </row>
    <row r="840">
      <c r="A840" s="22" t="s">
        <v>95</v>
      </c>
      <c r="B840" s="24">
        <v>12.0</v>
      </c>
      <c r="C840" s="24">
        <v>11.0</v>
      </c>
      <c r="D840" s="24">
        <v>14.0</v>
      </c>
      <c r="E840" s="24">
        <v>7.0</v>
      </c>
    </row>
    <row r="841">
      <c r="A841" s="22" t="s">
        <v>96</v>
      </c>
      <c r="B841" s="24">
        <v>8.0</v>
      </c>
      <c r="C841" s="24">
        <v>12.0</v>
      </c>
      <c r="D841" s="24">
        <v>7.0</v>
      </c>
      <c r="E841" s="24">
        <v>5.0</v>
      </c>
    </row>
    <row r="842">
      <c r="A842" s="22" t="s">
        <v>111</v>
      </c>
      <c r="B842" s="24">
        <v>110.0</v>
      </c>
      <c r="C842" s="24">
        <v>110.0</v>
      </c>
      <c r="D842" s="24">
        <v>110.0</v>
      </c>
      <c r="E842" s="24">
        <v>110.0</v>
      </c>
    </row>
    <row r="843">
      <c r="A843" s="22" t="s">
        <v>98</v>
      </c>
      <c r="B843" s="24">
        <v>1.0</v>
      </c>
      <c r="C843" s="24">
        <v>1.0</v>
      </c>
      <c r="D843" s="24">
        <v>1.0</v>
      </c>
      <c r="E843" s="24">
        <v>1.0</v>
      </c>
    </row>
    <row r="844">
      <c r="A844" s="22" t="s">
        <v>112</v>
      </c>
      <c r="B844" s="26">
        <f>round(((B839/B838)*100),2)</f>
        <v>88.14</v>
      </c>
      <c r="C844" s="26">
        <f>round(((C839/C838)*100),2)</f>
        <v>87.12</v>
      </c>
      <c r="D844" s="26">
        <f>round(((D839/D838)*100),2)</f>
        <v>87.64</v>
      </c>
      <c r="E844" s="26">
        <f>round(((E839/E838)*100),2)</f>
        <v>89.36</v>
      </c>
    </row>
    <row r="845">
      <c r="A845" s="22" t="s">
        <v>100</v>
      </c>
      <c r="B845" s="24">
        <v>615.0</v>
      </c>
      <c r="C845" s="24">
        <v>601.0</v>
      </c>
      <c r="D845" s="24">
        <v>603.0</v>
      </c>
      <c r="E845" s="24">
        <v>622.0</v>
      </c>
    </row>
    <row r="846">
      <c r="A846" s="11" t="s">
        <v>471</v>
      </c>
      <c r="C846" s="3" t="s">
        <v>132</v>
      </c>
      <c r="D846" s="3" t="s">
        <v>132</v>
      </c>
    </row>
    <row r="847">
      <c r="A847" s="25" t="s">
        <v>178</v>
      </c>
      <c r="B847" s="24" t="s">
        <v>475</v>
      </c>
      <c r="C847" s="24" t="s">
        <v>126</v>
      </c>
    </row>
    <row r="848">
      <c r="A848" s="22" t="s">
        <v>103</v>
      </c>
      <c r="B848" s="24"/>
      <c r="D848" s="24" t="s">
        <v>634</v>
      </c>
    </row>
    <row r="851">
      <c r="A851" s="44" t="s">
        <v>50</v>
      </c>
      <c r="B851" s="20" t="s">
        <v>635</v>
      </c>
    </row>
    <row r="852">
      <c r="B852" s="21" t="s">
        <v>4</v>
      </c>
      <c r="C852" s="21" t="s">
        <v>5</v>
      </c>
      <c r="D852" s="21" t="s">
        <v>6</v>
      </c>
      <c r="E852" s="21" t="s">
        <v>7</v>
      </c>
    </row>
    <row r="853">
      <c r="A853" s="22" t="s">
        <v>91</v>
      </c>
      <c r="B853" s="24">
        <v>64.5</v>
      </c>
      <c r="C853" s="24">
        <v>63.4</v>
      </c>
      <c r="D853" s="24">
        <v>69.4</v>
      </c>
      <c r="E853" s="24">
        <v>67.3</v>
      </c>
      <c r="G853" s="3" t="s">
        <v>636</v>
      </c>
    </row>
    <row r="854">
      <c r="A854" s="22" t="s">
        <v>92</v>
      </c>
      <c r="B854" s="24">
        <v>4.0</v>
      </c>
      <c r="C854" s="24">
        <v>5.0</v>
      </c>
      <c r="D854" s="24">
        <v>6.0</v>
      </c>
      <c r="E854" s="24">
        <v>4.0</v>
      </c>
      <c r="G854" s="3" t="s">
        <v>637</v>
      </c>
    </row>
    <row r="855">
      <c r="A855" s="22" t="s">
        <v>93</v>
      </c>
      <c r="B855" s="24">
        <f t="shared" ref="B855:E855" si="129">B838-B854</f>
        <v>20929</v>
      </c>
      <c r="C855" s="24">
        <f t="shared" si="129"/>
        <v>20691</v>
      </c>
      <c r="D855" s="24">
        <f t="shared" si="129"/>
        <v>20635</v>
      </c>
      <c r="E855" s="24">
        <f t="shared" si="129"/>
        <v>20877</v>
      </c>
      <c r="G855" s="3" t="s">
        <v>291</v>
      </c>
    </row>
    <row r="856">
      <c r="A856" s="22" t="s">
        <v>94</v>
      </c>
      <c r="B856" s="23">
        <f t="shared" ref="B856:E856" si="130">B862*30</f>
        <v>19530</v>
      </c>
      <c r="C856" s="23">
        <f t="shared" si="130"/>
        <v>19530</v>
      </c>
      <c r="D856" s="23">
        <f t="shared" si="130"/>
        <v>18870</v>
      </c>
      <c r="E856" s="23">
        <f t="shared" si="130"/>
        <v>19740</v>
      </c>
    </row>
    <row r="857">
      <c r="A857" s="22" t="s">
        <v>95</v>
      </c>
      <c r="B857" s="24">
        <v>15.0</v>
      </c>
      <c r="C857" s="24">
        <v>8.0</v>
      </c>
      <c r="D857" s="24">
        <v>22.0</v>
      </c>
      <c r="E857" s="24">
        <v>8.0</v>
      </c>
    </row>
    <row r="858">
      <c r="A858" s="22" t="s">
        <v>96</v>
      </c>
      <c r="B858" s="24">
        <v>7.0</v>
      </c>
      <c r="C858" s="24">
        <v>7.0</v>
      </c>
      <c r="D858" s="24">
        <v>8.0</v>
      </c>
      <c r="E858" s="24">
        <v>5.0</v>
      </c>
    </row>
    <row r="859">
      <c r="A859" s="22" t="s">
        <v>111</v>
      </c>
      <c r="B859" s="24"/>
      <c r="C859" s="24"/>
      <c r="D859" s="24"/>
      <c r="E859" s="24"/>
    </row>
    <row r="860">
      <c r="A860" s="22" t="s">
        <v>98</v>
      </c>
      <c r="B860" s="24">
        <v>1.0</v>
      </c>
      <c r="C860" s="24">
        <v>1.0</v>
      </c>
      <c r="D860" s="24">
        <v>1.0</v>
      </c>
      <c r="E860" s="24">
        <v>1.0</v>
      </c>
    </row>
    <row r="861">
      <c r="A861" s="22" t="s">
        <v>112</v>
      </c>
      <c r="B861" s="26">
        <f>round(((B856/B855)*100),2)</f>
        <v>93.32</v>
      </c>
      <c r="C861" s="26">
        <f>round(((C856/C855)*100),2)</f>
        <v>94.39</v>
      </c>
      <c r="D861" s="26">
        <f>round(((D856/D855)*100),2)</f>
        <v>91.45</v>
      </c>
      <c r="E861" s="26">
        <f>round(((E856/E855)*100),2)</f>
        <v>94.55</v>
      </c>
    </row>
    <row r="862">
      <c r="A862" s="22" t="s">
        <v>100</v>
      </c>
      <c r="B862" s="24">
        <v>651.0</v>
      </c>
      <c r="C862" s="24">
        <v>651.0</v>
      </c>
      <c r="D862" s="24">
        <v>629.0</v>
      </c>
      <c r="E862" s="24">
        <v>658.0</v>
      </c>
    </row>
    <row r="863">
      <c r="A863" s="11" t="s">
        <v>471</v>
      </c>
      <c r="C863" s="3" t="s">
        <v>638</v>
      </c>
      <c r="D863" s="3" t="s">
        <v>132</v>
      </c>
    </row>
    <row r="864">
      <c r="A864" s="25" t="s">
        <v>178</v>
      </c>
      <c r="B864" s="24" t="s">
        <v>626</v>
      </c>
      <c r="C864" s="24" t="s">
        <v>185</v>
      </c>
    </row>
    <row r="865">
      <c r="A865" s="22" t="s">
        <v>103</v>
      </c>
      <c r="B865" s="24" t="s">
        <v>639</v>
      </c>
      <c r="D865" s="24" t="s">
        <v>640</v>
      </c>
    </row>
    <row r="868">
      <c r="A868" s="44" t="s">
        <v>50</v>
      </c>
      <c r="B868" s="20" t="s">
        <v>641</v>
      </c>
    </row>
    <row r="869">
      <c r="B869" s="21" t="s">
        <v>4</v>
      </c>
      <c r="C869" s="21" t="s">
        <v>5</v>
      </c>
      <c r="D869" s="21" t="s">
        <v>6</v>
      </c>
      <c r="E869" s="21" t="s">
        <v>7</v>
      </c>
    </row>
    <row r="870">
      <c r="A870" s="22" t="s">
        <v>91</v>
      </c>
      <c r="B870" s="24">
        <v>64.6</v>
      </c>
      <c r="C870" s="24">
        <v>63.5</v>
      </c>
      <c r="D870" s="24">
        <v>69.5</v>
      </c>
      <c r="E870" s="24">
        <v>67.4</v>
      </c>
      <c r="G870" s="3" t="s">
        <v>642</v>
      </c>
    </row>
    <row r="871">
      <c r="A871" s="22" t="s">
        <v>92</v>
      </c>
      <c r="B871" s="24">
        <v>7.0</v>
      </c>
      <c r="C871" s="24">
        <v>3.0</v>
      </c>
      <c r="D871" s="24">
        <v>3.0</v>
      </c>
      <c r="E871" s="24">
        <v>6.0</v>
      </c>
    </row>
    <row r="872">
      <c r="A872" s="22" t="s">
        <v>93</v>
      </c>
      <c r="B872" s="24">
        <f>B855-B871</f>
        <v>20922</v>
      </c>
      <c r="C872" s="24">
        <f>C855-C871-11</f>
        <v>20677</v>
      </c>
      <c r="D872" s="24">
        <f t="shared" ref="D872:E872" si="131">D855-D871</f>
        <v>20632</v>
      </c>
      <c r="E872" s="24">
        <f t="shared" si="131"/>
        <v>20871</v>
      </c>
    </row>
    <row r="873">
      <c r="A873" s="22" t="s">
        <v>94</v>
      </c>
      <c r="B873" s="23">
        <f t="shared" ref="B873:E873" si="132">B879*30</f>
        <v>18960</v>
      </c>
      <c r="C873" s="23">
        <f t="shared" si="132"/>
        <v>18840</v>
      </c>
      <c r="D873" s="23">
        <f t="shared" si="132"/>
        <v>18570</v>
      </c>
      <c r="E873" s="23">
        <f t="shared" si="132"/>
        <v>19020</v>
      </c>
    </row>
    <row r="874">
      <c r="A874" s="22" t="s">
        <v>95</v>
      </c>
      <c r="B874" s="24">
        <v>15.0</v>
      </c>
      <c r="C874" s="24">
        <v>15.0</v>
      </c>
      <c r="D874" s="24">
        <v>14.0</v>
      </c>
      <c r="E874" s="24">
        <v>19.0</v>
      </c>
    </row>
    <row r="875">
      <c r="A875" s="22" t="s">
        <v>96</v>
      </c>
      <c r="B875" s="24">
        <v>9.0</v>
      </c>
      <c r="C875" s="24">
        <v>10.0</v>
      </c>
      <c r="D875" s="24">
        <v>5.0</v>
      </c>
      <c r="E875" s="24">
        <v>4.0</v>
      </c>
    </row>
    <row r="876">
      <c r="A876" s="22" t="s">
        <v>111</v>
      </c>
      <c r="B876" s="24"/>
      <c r="C876" s="24"/>
      <c r="D876" s="24"/>
      <c r="E876" s="24"/>
    </row>
    <row r="877">
      <c r="A877" s="22" t="s">
        <v>98</v>
      </c>
      <c r="B877" s="24">
        <v>1.0</v>
      </c>
      <c r="C877" s="24">
        <v>1.0</v>
      </c>
      <c r="D877" s="24">
        <v>1.0</v>
      </c>
      <c r="E877" s="24">
        <v>1.0</v>
      </c>
    </row>
    <row r="878">
      <c r="A878" s="22" t="s">
        <v>112</v>
      </c>
      <c r="B878" s="26">
        <f>round(((B873/B872)*100),2)</f>
        <v>90.62</v>
      </c>
      <c r="C878" s="26">
        <f>round(((C873/C872)*100),2)</f>
        <v>91.12</v>
      </c>
      <c r="D878" s="26">
        <f>round(((D873/D872)*100),2)</f>
        <v>90.01</v>
      </c>
      <c r="E878" s="26">
        <f>round(((E873/E872)*100),2)</f>
        <v>91.13</v>
      </c>
    </row>
    <row r="879">
      <c r="A879" s="22" t="s">
        <v>100</v>
      </c>
      <c r="B879" s="24">
        <v>632.0</v>
      </c>
      <c r="C879" s="24">
        <v>628.0</v>
      </c>
      <c r="D879" s="24">
        <v>619.0</v>
      </c>
      <c r="E879" s="24">
        <v>634.0</v>
      </c>
    </row>
    <row r="880">
      <c r="A880" s="11" t="s">
        <v>471</v>
      </c>
      <c r="C880" s="3" t="s">
        <v>132</v>
      </c>
      <c r="D880" s="3" t="s">
        <v>132</v>
      </c>
    </row>
    <row r="881">
      <c r="A881" s="25" t="s">
        <v>178</v>
      </c>
      <c r="B881" s="24" t="s">
        <v>186</v>
      </c>
      <c r="C881" s="24" t="s">
        <v>185</v>
      </c>
    </row>
    <row r="882">
      <c r="A882" s="22" t="s">
        <v>103</v>
      </c>
      <c r="B882" s="24"/>
      <c r="D882" s="24" t="s">
        <v>643</v>
      </c>
    </row>
    <row r="885">
      <c r="A885" s="44" t="s">
        <v>50</v>
      </c>
      <c r="B885" s="20" t="s">
        <v>644</v>
      </c>
    </row>
    <row r="886">
      <c r="B886" s="21" t="s">
        <v>4</v>
      </c>
      <c r="C886" s="21" t="s">
        <v>5</v>
      </c>
      <c r="D886" s="21" t="s">
        <v>6</v>
      </c>
      <c r="E886" s="21" t="s">
        <v>7</v>
      </c>
      <c r="G886" s="3" t="s">
        <v>645</v>
      </c>
    </row>
    <row r="887">
      <c r="A887" s="22" t="s">
        <v>91</v>
      </c>
      <c r="B887" s="24">
        <v>64.7</v>
      </c>
      <c r="C887" s="24">
        <v>63.6</v>
      </c>
      <c r="D887" s="24">
        <v>69.6</v>
      </c>
      <c r="E887" s="24">
        <v>67.5</v>
      </c>
    </row>
    <row r="888">
      <c r="A888" s="22" t="s">
        <v>92</v>
      </c>
      <c r="B888" s="24">
        <v>5.0</v>
      </c>
      <c r="C888" s="24">
        <v>2.0</v>
      </c>
      <c r="D888" s="24">
        <v>4.0</v>
      </c>
      <c r="E888" s="24">
        <v>7.0</v>
      </c>
    </row>
    <row r="889">
      <c r="A889" s="22" t="s">
        <v>93</v>
      </c>
      <c r="B889" s="24">
        <f t="shared" ref="B889:E889" si="133">B872-B888</f>
        <v>20917</v>
      </c>
      <c r="C889" s="24">
        <f t="shared" si="133"/>
        <v>20675</v>
      </c>
      <c r="D889" s="24">
        <f t="shared" si="133"/>
        <v>20628</v>
      </c>
      <c r="E889" s="24">
        <f t="shared" si="133"/>
        <v>20864</v>
      </c>
    </row>
    <row r="890">
      <c r="A890" s="22" t="s">
        <v>94</v>
      </c>
      <c r="B890" s="23">
        <f t="shared" ref="B890:E890" si="134">B896*30</f>
        <v>19050</v>
      </c>
      <c r="C890" s="23">
        <f t="shared" si="134"/>
        <v>18450</v>
      </c>
      <c r="D890" s="23">
        <f t="shared" si="134"/>
        <v>18480</v>
      </c>
      <c r="E890" s="23">
        <f t="shared" si="134"/>
        <v>19230</v>
      </c>
    </row>
    <row r="891">
      <c r="A891" s="22" t="s">
        <v>95</v>
      </c>
      <c r="B891" s="24">
        <v>11.0</v>
      </c>
      <c r="C891" s="24">
        <v>14.0</v>
      </c>
      <c r="D891" s="24">
        <v>19.0</v>
      </c>
      <c r="E891" s="24">
        <v>15.0</v>
      </c>
    </row>
    <row r="892">
      <c r="A892" s="22" t="s">
        <v>96</v>
      </c>
      <c r="B892" s="24">
        <v>9.0</v>
      </c>
      <c r="C892" s="24">
        <v>2.0</v>
      </c>
      <c r="D892" s="24">
        <v>6.0</v>
      </c>
      <c r="E892" s="24">
        <v>8.0</v>
      </c>
    </row>
    <row r="893">
      <c r="A893" s="22" t="s">
        <v>111</v>
      </c>
      <c r="B893" s="24">
        <v>110.0</v>
      </c>
      <c r="C893" s="24">
        <v>110.0</v>
      </c>
      <c r="D893" s="24">
        <v>110.0</v>
      </c>
      <c r="E893" s="24">
        <v>110.0</v>
      </c>
    </row>
    <row r="894">
      <c r="A894" s="22" t="s">
        <v>98</v>
      </c>
      <c r="B894" s="24">
        <v>1.0</v>
      </c>
      <c r="C894" s="24">
        <v>1.0</v>
      </c>
      <c r="D894" s="24">
        <v>1.0</v>
      </c>
      <c r="E894" s="24">
        <v>1.0</v>
      </c>
    </row>
    <row r="895">
      <c r="A895" s="22" t="s">
        <v>112</v>
      </c>
      <c r="B895" s="26">
        <f>round(((B890/B889)*100),2)</f>
        <v>91.07</v>
      </c>
      <c r="C895" s="26">
        <f>round(((C890/C889)*100),2)</f>
        <v>89.24</v>
      </c>
      <c r="D895" s="26">
        <f>round(((D890/D889)*100),2)</f>
        <v>89.59</v>
      </c>
      <c r="E895" s="26">
        <f>round(((E890/E889)*100),2)</f>
        <v>92.17</v>
      </c>
    </row>
    <row r="896">
      <c r="A896" s="22" t="s">
        <v>100</v>
      </c>
      <c r="B896" s="24">
        <v>635.0</v>
      </c>
      <c r="C896" s="24">
        <v>615.0</v>
      </c>
      <c r="D896" s="24">
        <v>616.0</v>
      </c>
      <c r="E896" s="24">
        <v>641.0</v>
      </c>
    </row>
    <row r="897">
      <c r="A897" s="11" t="s">
        <v>471</v>
      </c>
      <c r="C897" s="3" t="s">
        <v>132</v>
      </c>
      <c r="D897" s="3" t="s">
        <v>132</v>
      </c>
    </row>
    <row r="898">
      <c r="A898" s="25" t="s">
        <v>178</v>
      </c>
      <c r="B898" s="24" t="s">
        <v>472</v>
      </c>
      <c r="C898" s="24" t="s">
        <v>486</v>
      </c>
    </row>
    <row r="899">
      <c r="A899" s="22" t="s">
        <v>103</v>
      </c>
      <c r="B899" s="24"/>
      <c r="D899" s="24" t="s">
        <v>646</v>
      </c>
    </row>
    <row r="902">
      <c r="A902" s="44" t="s">
        <v>50</v>
      </c>
      <c r="B902" s="20" t="s">
        <v>647</v>
      </c>
    </row>
    <row r="903">
      <c r="B903" s="21" t="s">
        <v>4</v>
      </c>
      <c r="C903" s="21" t="s">
        <v>5</v>
      </c>
      <c r="D903" s="21" t="s">
        <v>6</v>
      </c>
      <c r="E903" s="21" t="s">
        <v>7</v>
      </c>
    </row>
    <row r="904">
      <c r="A904" s="22" t="s">
        <v>91</v>
      </c>
      <c r="B904" s="24">
        <v>65.1</v>
      </c>
      <c r="C904" s="24">
        <v>63.7</v>
      </c>
      <c r="D904" s="24">
        <v>69.7</v>
      </c>
      <c r="E904" s="24">
        <v>67.6</v>
      </c>
      <c r="G904" s="3" t="s">
        <v>648</v>
      </c>
    </row>
    <row r="905">
      <c r="A905" s="22" t="s">
        <v>92</v>
      </c>
      <c r="B905" s="24">
        <v>5.0</v>
      </c>
      <c r="C905" s="24">
        <v>9.0</v>
      </c>
      <c r="D905" s="24">
        <v>4.0</v>
      </c>
      <c r="E905" s="24">
        <v>4.0</v>
      </c>
      <c r="G905" s="3" t="s">
        <v>649</v>
      </c>
    </row>
    <row r="906">
      <c r="A906" s="22" t="s">
        <v>93</v>
      </c>
      <c r="B906" s="24">
        <f t="shared" ref="B906:E906" si="135">B889-B905</f>
        <v>20912</v>
      </c>
      <c r="C906" s="24">
        <f t="shared" si="135"/>
        <v>20666</v>
      </c>
      <c r="D906" s="24">
        <f t="shared" si="135"/>
        <v>20624</v>
      </c>
      <c r="E906" s="24">
        <f t="shared" si="135"/>
        <v>20860</v>
      </c>
    </row>
    <row r="907">
      <c r="A907" s="22" t="s">
        <v>94</v>
      </c>
      <c r="B907" s="23">
        <f t="shared" ref="B907:E907" si="136">B913*30</f>
        <v>19110</v>
      </c>
      <c r="C907" s="23">
        <f t="shared" si="136"/>
        <v>19110</v>
      </c>
      <c r="D907" s="23">
        <f t="shared" si="136"/>
        <v>18510</v>
      </c>
      <c r="E907" s="23">
        <f t="shared" si="136"/>
        <v>19050</v>
      </c>
    </row>
    <row r="908">
      <c r="A908" s="22" t="s">
        <v>95</v>
      </c>
      <c r="B908" s="24">
        <v>17.0</v>
      </c>
      <c r="C908" s="24">
        <v>10.0</v>
      </c>
      <c r="D908" s="24">
        <v>15.0</v>
      </c>
      <c r="E908" s="24">
        <v>13.0</v>
      </c>
    </row>
    <row r="909">
      <c r="A909" s="22" t="s">
        <v>96</v>
      </c>
      <c r="B909" s="24">
        <v>12.0</v>
      </c>
      <c r="C909" s="24">
        <v>8.0</v>
      </c>
      <c r="D909" s="24">
        <v>5.0</v>
      </c>
      <c r="E909" s="24">
        <v>8.0</v>
      </c>
    </row>
    <row r="910">
      <c r="A910" s="22" t="s">
        <v>111</v>
      </c>
      <c r="B910" s="24"/>
      <c r="C910" s="24"/>
      <c r="D910" s="24"/>
      <c r="E910" s="24"/>
    </row>
    <row r="911">
      <c r="A911" s="22" t="s">
        <v>98</v>
      </c>
      <c r="B911" s="24">
        <v>2.0</v>
      </c>
      <c r="C911" s="24">
        <v>1.0</v>
      </c>
      <c r="D911" s="24">
        <v>1.0</v>
      </c>
      <c r="E911" s="24">
        <v>1.0</v>
      </c>
    </row>
    <row r="912">
      <c r="A912" s="22" t="s">
        <v>112</v>
      </c>
      <c r="B912" s="26">
        <f>round(((B907/B906)*100),2)</f>
        <v>91.38</v>
      </c>
      <c r="C912" s="26">
        <f>round(((C907/C906)*100),2)</f>
        <v>92.47</v>
      </c>
      <c r="D912" s="26">
        <f>round(((D907/D906)*100),2)</f>
        <v>89.75</v>
      </c>
      <c r="E912" s="26">
        <f>round(((E907/E906)*100),2)</f>
        <v>91.32</v>
      </c>
    </row>
    <row r="913">
      <c r="A913" s="22" t="s">
        <v>100</v>
      </c>
      <c r="B913" s="24">
        <v>637.0</v>
      </c>
      <c r="C913" s="24">
        <v>637.0</v>
      </c>
      <c r="D913" s="24">
        <v>617.0</v>
      </c>
      <c r="E913" s="24">
        <v>635.0</v>
      </c>
    </row>
    <row r="914">
      <c r="A914" s="11" t="s">
        <v>471</v>
      </c>
      <c r="C914" s="3" t="s">
        <v>132</v>
      </c>
      <c r="D914" s="3" t="s">
        <v>132</v>
      </c>
    </row>
    <row r="915">
      <c r="A915" s="25" t="s">
        <v>178</v>
      </c>
      <c r="B915" s="24" t="s">
        <v>626</v>
      </c>
      <c r="C915" s="24" t="s">
        <v>509</v>
      </c>
    </row>
    <row r="916">
      <c r="A916" s="22" t="s">
        <v>103</v>
      </c>
      <c r="B916" s="24" t="s">
        <v>650</v>
      </c>
      <c r="D916" s="24" t="s">
        <v>531</v>
      </c>
    </row>
    <row r="919">
      <c r="A919" s="44" t="s">
        <v>50</v>
      </c>
      <c r="B919" s="20" t="s">
        <v>651</v>
      </c>
    </row>
    <row r="920">
      <c r="B920" s="21" t="s">
        <v>4</v>
      </c>
      <c r="C920" s="21" t="s">
        <v>5</v>
      </c>
      <c r="D920" s="21" t="s">
        <v>6</v>
      </c>
      <c r="E920" s="21" t="s">
        <v>7</v>
      </c>
      <c r="G920" s="3" t="s">
        <v>652</v>
      </c>
    </row>
    <row r="921">
      <c r="A921" s="22" t="s">
        <v>91</v>
      </c>
      <c r="B921" s="24">
        <v>65.2</v>
      </c>
      <c r="C921" s="24">
        <v>64.1</v>
      </c>
      <c r="D921" s="24">
        <v>70.1</v>
      </c>
      <c r="E921" s="24">
        <v>67.7</v>
      </c>
      <c r="G921" s="3" t="s">
        <v>653</v>
      </c>
    </row>
    <row r="922">
      <c r="A922" s="22" t="s">
        <v>92</v>
      </c>
      <c r="B922" s="24">
        <v>2.0</v>
      </c>
      <c r="C922" s="24">
        <v>2.0</v>
      </c>
      <c r="D922" s="24">
        <v>2.0</v>
      </c>
      <c r="E922" s="24">
        <v>3.0</v>
      </c>
      <c r="G922" s="3" t="s">
        <v>654</v>
      </c>
    </row>
    <row r="923">
      <c r="A923" s="22" t="s">
        <v>93</v>
      </c>
      <c r="B923" s="24">
        <f t="shared" ref="B923:E923" si="137">B906-B922</f>
        <v>20910</v>
      </c>
      <c r="C923" s="24">
        <f t="shared" si="137"/>
        <v>20664</v>
      </c>
      <c r="D923" s="24">
        <f t="shared" si="137"/>
        <v>20622</v>
      </c>
      <c r="E923" s="24">
        <f t="shared" si="137"/>
        <v>20857</v>
      </c>
    </row>
    <row r="924">
      <c r="A924" s="22" t="s">
        <v>94</v>
      </c>
      <c r="B924" s="23">
        <f t="shared" ref="B924:E924" si="138">B930*30</f>
        <v>19110</v>
      </c>
      <c r="C924" s="23">
        <f t="shared" si="138"/>
        <v>18720</v>
      </c>
      <c r="D924" s="23">
        <f t="shared" si="138"/>
        <v>18510</v>
      </c>
      <c r="E924" s="23">
        <f t="shared" si="138"/>
        <v>19290</v>
      </c>
    </row>
    <row r="925">
      <c r="A925" s="22" t="s">
        <v>95</v>
      </c>
      <c r="B925" s="24">
        <v>13.0</v>
      </c>
      <c r="C925" s="24">
        <v>9.0</v>
      </c>
      <c r="D925" s="24">
        <v>23.0</v>
      </c>
      <c r="E925" s="24">
        <v>17.0</v>
      </c>
      <c r="G925" s="3" t="s">
        <v>655</v>
      </c>
    </row>
    <row r="926">
      <c r="A926" s="22" t="s">
        <v>96</v>
      </c>
      <c r="B926" s="24">
        <v>7.0</v>
      </c>
      <c r="C926" s="24">
        <v>5.0</v>
      </c>
      <c r="D926" s="24">
        <v>7.0</v>
      </c>
      <c r="E926" s="24">
        <v>20.0</v>
      </c>
    </row>
    <row r="927">
      <c r="A927" s="22" t="s">
        <v>111</v>
      </c>
      <c r="B927" s="24">
        <v>55.0</v>
      </c>
      <c r="C927" s="24">
        <v>55.0</v>
      </c>
      <c r="D927" s="24">
        <v>55.0</v>
      </c>
      <c r="E927" s="24">
        <v>55.0</v>
      </c>
    </row>
    <row r="928">
      <c r="A928" s="22" t="s">
        <v>98</v>
      </c>
      <c r="B928" s="24">
        <v>1.0</v>
      </c>
      <c r="C928" s="24">
        <v>1.0</v>
      </c>
      <c r="D928" s="24">
        <v>1.0</v>
      </c>
      <c r="E928" s="24">
        <v>1.0</v>
      </c>
    </row>
    <row r="929">
      <c r="A929" s="22" t="s">
        <v>112</v>
      </c>
      <c r="B929" s="26">
        <f>round(((B924/B923)*100),2)</f>
        <v>91.39</v>
      </c>
      <c r="C929" s="26">
        <f>round(((C924/C923)*100),2)</f>
        <v>90.59</v>
      </c>
      <c r="D929" s="26">
        <f>round(((D924/D923)*100),2)</f>
        <v>89.76</v>
      </c>
      <c r="E929" s="26">
        <f>round(((E924/E923)*100),2)</f>
        <v>92.49</v>
      </c>
    </row>
    <row r="930">
      <c r="A930" s="22" t="s">
        <v>100</v>
      </c>
      <c r="B930" s="24">
        <v>637.0</v>
      </c>
      <c r="C930" s="24">
        <v>624.0</v>
      </c>
      <c r="D930" s="24">
        <v>617.0</v>
      </c>
      <c r="E930" s="24">
        <v>643.0</v>
      </c>
    </row>
    <row r="931">
      <c r="A931" s="11" t="s">
        <v>471</v>
      </c>
      <c r="C931" s="3" t="s">
        <v>132</v>
      </c>
      <c r="D931" s="3" t="s">
        <v>132</v>
      </c>
    </row>
    <row r="932">
      <c r="A932" s="25" t="s">
        <v>178</v>
      </c>
      <c r="B932" s="24" t="s">
        <v>656</v>
      </c>
      <c r="C932" s="24" t="s">
        <v>484</v>
      </c>
    </row>
    <row r="933">
      <c r="A933" s="22" t="s">
        <v>103</v>
      </c>
      <c r="B933" s="24" t="s">
        <v>657</v>
      </c>
      <c r="D933" s="24" t="s">
        <v>658</v>
      </c>
    </row>
    <row r="936">
      <c r="A936" s="44" t="s">
        <v>50</v>
      </c>
      <c r="B936" s="20" t="s">
        <v>659</v>
      </c>
    </row>
    <row r="937">
      <c r="B937" s="21" t="s">
        <v>4</v>
      </c>
      <c r="C937" s="21" t="s">
        <v>5</v>
      </c>
      <c r="D937" s="21" t="s">
        <v>6</v>
      </c>
      <c r="E937" s="21" t="s">
        <v>7</v>
      </c>
    </row>
    <row r="938">
      <c r="A938" s="22" t="s">
        <v>91</v>
      </c>
      <c r="B938" s="24">
        <v>65.3</v>
      </c>
      <c r="C938" s="24">
        <v>64.2</v>
      </c>
      <c r="D938" s="24">
        <v>70.2</v>
      </c>
      <c r="E938" s="24">
        <v>68.1</v>
      </c>
    </row>
    <row r="939">
      <c r="A939" s="22" t="s">
        <v>92</v>
      </c>
      <c r="B939" s="24">
        <v>1.0</v>
      </c>
      <c r="C939" s="24">
        <v>3.0</v>
      </c>
      <c r="D939" s="24">
        <v>1.0</v>
      </c>
      <c r="E939" s="24">
        <v>2.0</v>
      </c>
      <c r="G939" s="3" t="s">
        <v>660</v>
      </c>
    </row>
    <row r="940">
      <c r="A940" s="22" t="s">
        <v>93</v>
      </c>
      <c r="B940" s="24">
        <f t="shared" ref="B940:E940" si="139">B923-B939</f>
        <v>20909</v>
      </c>
      <c r="C940" s="24">
        <f t="shared" si="139"/>
        <v>20661</v>
      </c>
      <c r="D940" s="24">
        <f t="shared" si="139"/>
        <v>20621</v>
      </c>
      <c r="E940" s="24">
        <f t="shared" si="139"/>
        <v>20855</v>
      </c>
      <c r="G940" s="3" t="s">
        <v>661</v>
      </c>
    </row>
    <row r="941">
      <c r="A941" s="22" t="s">
        <v>94</v>
      </c>
      <c r="B941" s="23">
        <f t="shared" ref="B941:E941" si="140">B947*30</f>
        <v>19080</v>
      </c>
      <c r="C941" s="23">
        <f t="shared" si="140"/>
        <v>18630</v>
      </c>
      <c r="D941" s="23">
        <f t="shared" si="140"/>
        <v>18540</v>
      </c>
      <c r="E941" s="23">
        <f t="shared" si="140"/>
        <v>19140</v>
      </c>
    </row>
    <row r="942">
      <c r="A942" s="22" t="s">
        <v>95</v>
      </c>
      <c r="B942" s="24">
        <v>20.0</v>
      </c>
      <c r="C942" s="24">
        <v>25.0</v>
      </c>
      <c r="D942" s="24">
        <v>17.0</v>
      </c>
      <c r="E942" s="24">
        <v>13.0</v>
      </c>
    </row>
    <row r="943">
      <c r="A943" s="22" t="s">
        <v>96</v>
      </c>
      <c r="B943" s="24">
        <v>8.0</v>
      </c>
      <c r="C943" s="24">
        <v>3.0</v>
      </c>
      <c r="D943" s="24">
        <v>6.0</v>
      </c>
      <c r="E943" s="24">
        <v>10.0</v>
      </c>
    </row>
    <row r="944">
      <c r="A944" s="22" t="s">
        <v>111</v>
      </c>
      <c r="B944" s="24"/>
      <c r="C944" s="24"/>
      <c r="D944" s="24"/>
      <c r="E944" s="24"/>
    </row>
    <row r="945">
      <c r="A945" s="22" t="s">
        <v>98</v>
      </c>
      <c r="B945" s="24">
        <v>1.0</v>
      </c>
      <c r="C945" s="24">
        <v>1.0</v>
      </c>
      <c r="D945" s="24">
        <v>1.0</v>
      </c>
      <c r="E945" s="24">
        <v>1.0</v>
      </c>
    </row>
    <row r="946">
      <c r="A946" s="22" t="s">
        <v>112</v>
      </c>
      <c r="B946" s="26">
        <f>round(((B941/B940)*100),2)</f>
        <v>91.25</v>
      </c>
      <c r="C946" s="26">
        <f>round(((C941/C940)*100),2)</f>
        <v>90.17</v>
      </c>
      <c r="D946" s="26">
        <f>round(((D941/D940)*100),2)</f>
        <v>89.91</v>
      </c>
      <c r="E946" s="26">
        <f>round(((E941/E940)*100),2)</f>
        <v>91.78</v>
      </c>
    </row>
    <row r="947">
      <c r="A947" s="22" t="s">
        <v>100</v>
      </c>
      <c r="B947" s="24">
        <v>636.0</v>
      </c>
      <c r="C947" s="24">
        <v>621.0</v>
      </c>
      <c r="D947" s="24">
        <v>618.0</v>
      </c>
      <c r="E947" s="24">
        <v>638.0</v>
      </c>
    </row>
    <row r="948">
      <c r="A948" s="11" t="s">
        <v>471</v>
      </c>
      <c r="C948" s="3" t="s">
        <v>662</v>
      </c>
      <c r="D948" s="3" t="s">
        <v>132</v>
      </c>
    </row>
    <row r="949">
      <c r="A949" s="25" t="s">
        <v>178</v>
      </c>
      <c r="B949" s="24" t="s">
        <v>663</v>
      </c>
      <c r="C949" s="24" t="s">
        <v>473</v>
      </c>
    </row>
    <row r="950">
      <c r="A950" s="22" t="s">
        <v>103</v>
      </c>
      <c r="B950" s="24" t="s">
        <v>664</v>
      </c>
      <c r="D950" s="24" t="s">
        <v>665</v>
      </c>
    </row>
    <row r="953">
      <c r="A953" s="44" t="s">
        <v>50</v>
      </c>
      <c r="B953" s="20" t="s">
        <v>666</v>
      </c>
    </row>
    <row r="954">
      <c r="B954" s="21" t="s">
        <v>4</v>
      </c>
      <c r="C954" s="21" t="s">
        <v>5</v>
      </c>
      <c r="D954" s="21" t="s">
        <v>6</v>
      </c>
      <c r="E954" s="21" t="s">
        <v>7</v>
      </c>
      <c r="G954" s="3" t="s">
        <v>398</v>
      </c>
    </row>
    <row r="955">
      <c r="A955" s="22" t="s">
        <v>91</v>
      </c>
      <c r="B955" s="24">
        <v>65.4</v>
      </c>
      <c r="C955" s="24">
        <v>64.3</v>
      </c>
      <c r="D955" s="24">
        <v>70.3</v>
      </c>
      <c r="E955" s="24">
        <v>68.2</v>
      </c>
      <c r="G955" s="3" t="s">
        <v>667</v>
      </c>
    </row>
    <row r="956">
      <c r="A956" s="22" t="s">
        <v>92</v>
      </c>
      <c r="B956" s="24">
        <v>4.0</v>
      </c>
      <c r="C956" s="24">
        <v>10.0</v>
      </c>
      <c r="D956" s="24">
        <v>5.0</v>
      </c>
      <c r="E956" s="24">
        <v>4.0</v>
      </c>
    </row>
    <row r="957">
      <c r="A957" s="22" t="s">
        <v>93</v>
      </c>
      <c r="B957" s="24">
        <f t="shared" ref="B957:E957" si="141">B940-B956</f>
        <v>20905</v>
      </c>
      <c r="C957" s="24">
        <f t="shared" si="141"/>
        <v>20651</v>
      </c>
      <c r="D957" s="24">
        <f t="shared" si="141"/>
        <v>20616</v>
      </c>
      <c r="E957" s="24">
        <f t="shared" si="141"/>
        <v>20851</v>
      </c>
    </row>
    <row r="958">
      <c r="A958" s="22" t="s">
        <v>94</v>
      </c>
      <c r="B958" s="23">
        <f t="shared" ref="B958:E958" si="142">B964*30</f>
        <v>19020</v>
      </c>
      <c r="C958" s="23">
        <f t="shared" si="142"/>
        <v>18720</v>
      </c>
      <c r="D958" s="23">
        <f t="shared" si="142"/>
        <v>18570</v>
      </c>
      <c r="E958" s="23">
        <f t="shared" si="142"/>
        <v>19320</v>
      </c>
    </row>
    <row r="959">
      <c r="A959" s="22" t="s">
        <v>95</v>
      </c>
      <c r="B959" s="24">
        <v>23.0</v>
      </c>
      <c r="C959" s="24">
        <v>5.0</v>
      </c>
      <c r="D959" s="24">
        <v>22.0</v>
      </c>
      <c r="E959" s="24">
        <v>16.0</v>
      </c>
      <c r="G959" s="3" t="s">
        <v>668</v>
      </c>
    </row>
    <row r="960">
      <c r="A960" s="22" t="s">
        <v>96</v>
      </c>
      <c r="B960" s="24">
        <v>12.0</v>
      </c>
      <c r="C960" s="24">
        <v>2.0</v>
      </c>
      <c r="D960" s="24">
        <v>9.0</v>
      </c>
      <c r="E960" s="24">
        <v>9.0</v>
      </c>
    </row>
    <row r="961">
      <c r="A961" s="22" t="s">
        <v>111</v>
      </c>
      <c r="B961" s="24">
        <v>110.0</v>
      </c>
      <c r="C961" s="24">
        <v>110.0</v>
      </c>
      <c r="D961" s="24">
        <v>110.0</v>
      </c>
      <c r="E961" s="24">
        <v>110.0</v>
      </c>
    </row>
    <row r="962">
      <c r="A962" s="22" t="s">
        <v>98</v>
      </c>
      <c r="B962" s="24">
        <v>1.0</v>
      </c>
      <c r="C962" s="24">
        <v>1.0</v>
      </c>
      <c r="D962" s="24">
        <v>1.0</v>
      </c>
      <c r="E962" s="24">
        <v>1.0</v>
      </c>
    </row>
    <row r="963">
      <c r="A963" s="22" t="s">
        <v>112</v>
      </c>
      <c r="B963" s="26">
        <f>round(((B958/B957)*100),2)</f>
        <v>90.98</v>
      </c>
      <c r="C963" s="26">
        <f>round(((C958/C957)*100),2)</f>
        <v>90.65</v>
      </c>
      <c r="D963" s="26">
        <f>round(((D958/D957)*100),2)</f>
        <v>90.08</v>
      </c>
      <c r="E963" s="26">
        <f>round(((E958/E957)*100),2)</f>
        <v>92.66</v>
      </c>
    </row>
    <row r="964">
      <c r="A964" s="22" t="s">
        <v>100</v>
      </c>
      <c r="B964" s="24">
        <v>634.0</v>
      </c>
      <c r="C964" s="24">
        <v>624.0</v>
      </c>
      <c r="D964" s="24">
        <v>619.0</v>
      </c>
      <c r="E964" s="24">
        <v>644.0</v>
      </c>
    </row>
    <row r="965">
      <c r="A965" s="11" t="s">
        <v>471</v>
      </c>
      <c r="C965" s="3" t="s">
        <v>662</v>
      </c>
      <c r="D965" s="3" t="s">
        <v>132</v>
      </c>
    </row>
    <row r="966">
      <c r="A966" s="25" t="s">
        <v>178</v>
      </c>
      <c r="B966" s="24" t="s">
        <v>669</v>
      </c>
      <c r="C966" s="24" t="s">
        <v>545</v>
      </c>
    </row>
    <row r="967">
      <c r="A967" s="22" t="s">
        <v>103</v>
      </c>
      <c r="B967" s="24" t="s">
        <v>670</v>
      </c>
      <c r="D967" s="24" t="s">
        <v>671</v>
      </c>
    </row>
    <row r="970">
      <c r="A970" s="44" t="s">
        <v>50</v>
      </c>
      <c r="B970" s="20" t="s">
        <v>672</v>
      </c>
    </row>
    <row r="971">
      <c r="B971" s="21" t="s">
        <v>4</v>
      </c>
      <c r="C971" s="21" t="s">
        <v>5</v>
      </c>
      <c r="D971" s="21" t="s">
        <v>6</v>
      </c>
      <c r="E971" s="21" t="s">
        <v>7</v>
      </c>
    </row>
    <row r="972">
      <c r="A972" s="22" t="s">
        <v>91</v>
      </c>
      <c r="B972" s="24">
        <v>65.5</v>
      </c>
      <c r="C972" s="24">
        <v>64.4</v>
      </c>
      <c r="D972" s="24">
        <v>70.4</v>
      </c>
      <c r="E972" s="24">
        <v>68.3</v>
      </c>
    </row>
    <row r="973">
      <c r="A973" s="22" t="s">
        <v>92</v>
      </c>
      <c r="B973" s="24">
        <v>2.0</v>
      </c>
      <c r="C973" s="24">
        <v>3.0</v>
      </c>
      <c r="D973" s="24">
        <v>3.0</v>
      </c>
      <c r="E973" s="24">
        <v>3.0</v>
      </c>
      <c r="G973" s="3" t="s">
        <v>330</v>
      </c>
    </row>
    <row r="974">
      <c r="A974" s="22" t="s">
        <v>93</v>
      </c>
      <c r="B974" s="24">
        <f t="shared" ref="B974:E974" si="143">B957-B973</f>
        <v>20903</v>
      </c>
      <c r="C974" s="24">
        <f t="shared" si="143"/>
        <v>20648</v>
      </c>
      <c r="D974" s="24">
        <f t="shared" si="143"/>
        <v>20613</v>
      </c>
      <c r="E974" s="24">
        <f t="shared" si="143"/>
        <v>20848</v>
      </c>
    </row>
    <row r="975">
      <c r="A975" s="22" t="s">
        <v>94</v>
      </c>
      <c r="B975" s="23">
        <f t="shared" ref="B975:E975" si="144">B981*30</f>
        <v>18840</v>
      </c>
      <c r="C975" s="23">
        <f t="shared" si="144"/>
        <v>18780</v>
      </c>
      <c r="D975" s="23">
        <f t="shared" si="144"/>
        <v>18480</v>
      </c>
      <c r="E975" s="23">
        <f t="shared" si="144"/>
        <v>18990</v>
      </c>
    </row>
    <row r="976">
      <c r="A976" s="22" t="s">
        <v>95</v>
      </c>
      <c r="B976" s="24">
        <v>18.0</v>
      </c>
      <c r="C976" s="24">
        <v>10.0</v>
      </c>
      <c r="D976" s="24">
        <v>22.0</v>
      </c>
      <c r="E976" s="24">
        <v>6.0</v>
      </c>
    </row>
    <row r="977">
      <c r="A977" s="22" t="s">
        <v>96</v>
      </c>
      <c r="B977" s="24">
        <v>12.0</v>
      </c>
      <c r="C977" s="24">
        <v>4.0</v>
      </c>
      <c r="D977" s="24">
        <v>8.0</v>
      </c>
      <c r="E977" s="24">
        <v>15.0</v>
      </c>
    </row>
    <row r="978">
      <c r="A978" s="22" t="s">
        <v>111</v>
      </c>
      <c r="B978" s="24"/>
      <c r="C978" s="24"/>
      <c r="D978" s="24"/>
      <c r="E978" s="24"/>
    </row>
    <row r="979">
      <c r="A979" s="22" t="s">
        <v>98</v>
      </c>
      <c r="B979" s="24">
        <v>1.0</v>
      </c>
      <c r="C979" s="24">
        <v>1.0</v>
      </c>
      <c r="D979" s="24">
        <v>1.0</v>
      </c>
      <c r="E979" s="24">
        <v>1.0</v>
      </c>
    </row>
    <row r="980">
      <c r="A980" s="22" t="s">
        <v>112</v>
      </c>
      <c r="B980" s="26">
        <f>round(((B975/B974)*100),2)</f>
        <v>90.13</v>
      </c>
      <c r="C980" s="26">
        <f>round(((C975/C974)*100),2)</f>
        <v>90.95</v>
      </c>
      <c r="D980" s="26">
        <f>round(((D975/D974)*100),2)</f>
        <v>89.65</v>
      </c>
      <c r="E980" s="26">
        <f>round(((E975/E974)*100),2)</f>
        <v>91.09</v>
      </c>
    </row>
    <row r="981">
      <c r="A981" s="22" t="s">
        <v>100</v>
      </c>
      <c r="B981" s="24">
        <v>628.0</v>
      </c>
      <c r="C981" s="24">
        <v>626.0</v>
      </c>
      <c r="D981" s="24">
        <v>616.0</v>
      </c>
      <c r="E981" s="24">
        <v>633.0</v>
      </c>
    </row>
    <row r="982">
      <c r="A982" s="11" t="s">
        <v>471</v>
      </c>
      <c r="C982" s="3" t="s">
        <v>662</v>
      </c>
      <c r="D982" s="3" t="s">
        <v>132</v>
      </c>
    </row>
    <row r="983">
      <c r="A983" s="25" t="s">
        <v>178</v>
      </c>
      <c r="B983" s="24" t="s">
        <v>673</v>
      </c>
      <c r="C983" s="24" t="s">
        <v>486</v>
      </c>
    </row>
    <row r="984">
      <c r="A984" s="22" t="s">
        <v>103</v>
      </c>
      <c r="B984" s="24"/>
      <c r="D984" s="24" t="s">
        <v>674</v>
      </c>
    </row>
    <row r="988">
      <c r="A988" s="44" t="s">
        <v>50</v>
      </c>
      <c r="B988" s="20" t="s">
        <v>675</v>
      </c>
    </row>
    <row r="989">
      <c r="B989" s="21" t="s">
        <v>4</v>
      </c>
      <c r="C989" s="21" t="s">
        <v>5</v>
      </c>
      <c r="D989" s="21" t="s">
        <v>6</v>
      </c>
      <c r="E989" s="21" t="s">
        <v>7</v>
      </c>
    </row>
    <row r="990">
      <c r="A990" s="22" t="s">
        <v>91</v>
      </c>
      <c r="B990" s="24">
        <v>65.6</v>
      </c>
      <c r="C990" s="24">
        <v>64.5</v>
      </c>
      <c r="D990" s="24">
        <v>70.5</v>
      </c>
      <c r="E990" s="24">
        <v>68.4</v>
      </c>
    </row>
    <row r="991">
      <c r="A991" s="22" t="s">
        <v>92</v>
      </c>
      <c r="B991" s="24">
        <v>3.0</v>
      </c>
      <c r="C991" s="24">
        <v>5.0</v>
      </c>
      <c r="D991" s="24">
        <v>2.0</v>
      </c>
      <c r="E991" s="24">
        <v>6.0</v>
      </c>
    </row>
    <row r="992">
      <c r="A992" s="22" t="s">
        <v>93</v>
      </c>
      <c r="B992" s="24">
        <f t="shared" ref="B992:E992" si="145">B974-B991</f>
        <v>20900</v>
      </c>
      <c r="C992" s="24">
        <f t="shared" si="145"/>
        <v>20643</v>
      </c>
      <c r="D992" s="24">
        <f t="shared" si="145"/>
        <v>20611</v>
      </c>
      <c r="E992" s="24">
        <f t="shared" si="145"/>
        <v>20842</v>
      </c>
    </row>
    <row r="993">
      <c r="A993" s="22" t="s">
        <v>94</v>
      </c>
      <c r="B993" s="23">
        <f t="shared" ref="B993:E993" si="146">B999*30</f>
        <v>18930</v>
      </c>
      <c r="C993" s="23">
        <f t="shared" si="146"/>
        <v>18780</v>
      </c>
      <c r="D993" s="23">
        <f t="shared" si="146"/>
        <v>18510</v>
      </c>
      <c r="E993" s="23">
        <f t="shared" si="146"/>
        <v>18810</v>
      </c>
    </row>
    <row r="994">
      <c r="A994" s="22" t="s">
        <v>95</v>
      </c>
      <c r="B994" s="24">
        <v>15.0</v>
      </c>
      <c r="C994" s="24">
        <v>20.0</v>
      </c>
      <c r="D994" s="24">
        <v>16.0</v>
      </c>
      <c r="E994" s="24">
        <v>14.0</v>
      </c>
    </row>
    <row r="995">
      <c r="A995" s="22" t="s">
        <v>96</v>
      </c>
      <c r="B995" s="24">
        <v>13.0</v>
      </c>
      <c r="C995" s="24">
        <v>3.0</v>
      </c>
      <c r="D995" s="24">
        <v>8.0</v>
      </c>
      <c r="E995" s="24">
        <v>5.0</v>
      </c>
    </row>
    <row r="996">
      <c r="A996" s="22" t="s">
        <v>111</v>
      </c>
      <c r="B996" s="24"/>
      <c r="C996" s="24"/>
      <c r="D996" s="24"/>
      <c r="E996" s="24"/>
    </row>
    <row r="997">
      <c r="A997" s="22" t="s">
        <v>98</v>
      </c>
      <c r="B997" s="24">
        <v>1.0</v>
      </c>
      <c r="C997" s="24">
        <v>1.0</v>
      </c>
      <c r="D997" s="24">
        <v>1.0</v>
      </c>
      <c r="E997" s="24">
        <v>1.0</v>
      </c>
    </row>
    <row r="998">
      <c r="A998" s="22" t="s">
        <v>112</v>
      </c>
      <c r="B998" s="26">
        <f>round(((B993/B992)*100),2)</f>
        <v>90.57</v>
      </c>
      <c r="C998" s="26">
        <f>round(((C993/C992)*100),2)</f>
        <v>90.98</v>
      </c>
      <c r="D998" s="26">
        <f>round(((D993/D992)*100),2)</f>
        <v>89.81</v>
      </c>
      <c r="E998" s="26">
        <f>round(((E993/E992)*100),2)</f>
        <v>90.25</v>
      </c>
    </row>
    <row r="999">
      <c r="A999" s="22" t="s">
        <v>100</v>
      </c>
      <c r="B999" s="24">
        <v>631.0</v>
      </c>
      <c r="C999" s="24">
        <v>626.0</v>
      </c>
      <c r="D999" s="24">
        <v>617.0</v>
      </c>
      <c r="E999" s="24">
        <v>627.0</v>
      </c>
    </row>
    <row r="1000">
      <c r="A1000" s="11" t="s">
        <v>471</v>
      </c>
      <c r="C1000" s="3" t="s">
        <v>662</v>
      </c>
      <c r="D1000" s="3" t="s">
        <v>132</v>
      </c>
    </row>
    <row r="1001">
      <c r="A1001" s="25" t="s">
        <v>178</v>
      </c>
      <c r="B1001" s="24" t="s">
        <v>676</v>
      </c>
      <c r="C1001" s="24" t="s">
        <v>185</v>
      </c>
    </row>
    <row r="1002">
      <c r="A1002" s="22"/>
      <c r="B1002" s="24"/>
      <c r="C1002" s="24"/>
      <c r="D1002" s="24"/>
      <c r="E1002" s="24"/>
    </row>
    <row r="1003">
      <c r="A1003" s="22" t="s">
        <v>103</v>
      </c>
      <c r="B1003" s="24" t="s">
        <v>677</v>
      </c>
      <c r="D1003" s="24" t="s">
        <v>678</v>
      </c>
    </row>
    <row r="1004">
      <c r="A1004" s="22"/>
      <c r="B1004" s="24"/>
      <c r="C1004" s="24"/>
      <c r="D1004" s="24"/>
      <c r="E1004" s="24"/>
    </row>
    <row r="1005">
      <c r="A1005" s="22"/>
      <c r="B1005" s="24"/>
      <c r="C1005" s="24"/>
      <c r="D1005" s="24"/>
      <c r="E1005" s="24"/>
    </row>
    <row r="1006">
      <c r="A1006" s="44" t="s">
        <v>50</v>
      </c>
      <c r="B1006" s="20" t="s">
        <v>679</v>
      </c>
    </row>
    <row r="1007">
      <c r="B1007" s="21" t="s">
        <v>4</v>
      </c>
      <c r="C1007" s="21" t="s">
        <v>5</v>
      </c>
      <c r="D1007" s="21" t="s">
        <v>6</v>
      </c>
      <c r="E1007" s="21" t="s">
        <v>7</v>
      </c>
      <c r="G1007" s="3" t="s">
        <v>649</v>
      </c>
    </row>
    <row r="1008">
      <c r="A1008" s="22" t="s">
        <v>91</v>
      </c>
      <c r="B1008" s="24">
        <v>65.7</v>
      </c>
      <c r="C1008" s="24">
        <v>64.6</v>
      </c>
      <c r="D1008" s="24">
        <v>70.6</v>
      </c>
      <c r="E1008" s="24">
        <v>68.5</v>
      </c>
      <c r="G1008" s="3" t="s">
        <v>420</v>
      </c>
    </row>
    <row r="1009">
      <c r="A1009" s="22" t="s">
        <v>92</v>
      </c>
      <c r="B1009" s="24">
        <v>3.0</v>
      </c>
      <c r="C1009" s="24">
        <v>7.0</v>
      </c>
      <c r="D1009" s="24">
        <v>3.0</v>
      </c>
      <c r="E1009" s="24">
        <v>4.0</v>
      </c>
      <c r="G1009" s="3" t="s">
        <v>680</v>
      </c>
    </row>
    <row r="1010">
      <c r="A1010" s="22" t="s">
        <v>93</v>
      </c>
      <c r="B1010" s="24">
        <f t="shared" ref="B1010:E1010" si="147">B992-B1009</f>
        <v>20897</v>
      </c>
      <c r="C1010" s="24">
        <f t="shared" si="147"/>
        <v>20636</v>
      </c>
      <c r="D1010" s="24">
        <f t="shared" si="147"/>
        <v>20608</v>
      </c>
      <c r="E1010" s="24">
        <f t="shared" si="147"/>
        <v>20838</v>
      </c>
    </row>
    <row r="1011">
      <c r="A1011" s="22" t="s">
        <v>94</v>
      </c>
      <c r="B1011" s="23">
        <f t="shared" ref="B1011:E1011" si="148">B1017*30</f>
        <v>18960</v>
      </c>
      <c r="C1011" s="23">
        <f t="shared" si="148"/>
        <v>18780</v>
      </c>
      <c r="D1011" s="23">
        <f t="shared" si="148"/>
        <v>18510</v>
      </c>
      <c r="E1011" s="23">
        <f t="shared" si="148"/>
        <v>19470</v>
      </c>
    </row>
    <row r="1012">
      <c r="A1012" s="22" t="s">
        <v>95</v>
      </c>
      <c r="B1012" s="24">
        <v>20.0</v>
      </c>
      <c r="C1012" s="24">
        <v>18.0</v>
      </c>
      <c r="D1012" s="24">
        <v>19.0</v>
      </c>
      <c r="E1012" s="24">
        <v>12.0</v>
      </c>
    </row>
    <row r="1013">
      <c r="A1013" s="22" t="s">
        <v>96</v>
      </c>
      <c r="B1013" s="24">
        <v>12.0</v>
      </c>
      <c r="C1013" s="24">
        <v>10.0</v>
      </c>
      <c r="D1013" s="24">
        <v>12.0</v>
      </c>
      <c r="E1013" s="24">
        <v>6.0</v>
      </c>
    </row>
    <row r="1014">
      <c r="A1014" s="22" t="s">
        <v>111</v>
      </c>
      <c r="B1014" s="24">
        <v>110.0</v>
      </c>
      <c r="C1014" s="24">
        <v>110.0</v>
      </c>
      <c r="D1014" s="24">
        <v>110.0</v>
      </c>
      <c r="E1014" s="24">
        <v>110.0</v>
      </c>
    </row>
    <row r="1015">
      <c r="A1015" s="22" t="s">
        <v>98</v>
      </c>
      <c r="B1015" s="24">
        <v>1.0</v>
      </c>
      <c r="C1015" s="24">
        <v>1.0</v>
      </c>
      <c r="D1015" s="24">
        <v>1.0</v>
      </c>
      <c r="E1015" s="24">
        <v>1.0</v>
      </c>
    </row>
    <row r="1016">
      <c r="A1016" s="22" t="s">
        <v>112</v>
      </c>
      <c r="B1016" s="26">
        <f>round(((B1011/B1010)*100),2)</f>
        <v>90.73</v>
      </c>
      <c r="C1016" s="26">
        <f>round(((C1011/C1010)*100),2)</f>
        <v>91.01</v>
      </c>
      <c r="D1016" s="26">
        <f>round(((D1011/D1010)*100),2)</f>
        <v>89.82</v>
      </c>
      <c r="E1016" s="26">
        <f>round(((E1011/E1010)*100),2)</f>
        <v>93.44</v>
      </c>
    </row>
    <row r="1017">
      <c r="A1017" s="22" t="s">
        <v>100</v>
      </c>
      <c r="B1017" s="24">
        <v>632.0</v>
      </c>
      <c r="C1017" s="24">
        <v>626.0</v>
      </c>
      <c r="D1017" s="24">
        <v>617.0</v>
      </c>
      <c r="E1017" s="24">
        <v>649.0</v>
      </c>
    </row>
    <row r="1018">
      <c r="A1018" s="11" t="s">
        <v>471</v>
      </c>
      <c r="C1018" s="3" t="s">
        <v>662</v>
      </c>
      <c r="D1018" s="3" t="s">
        <v>132</v>
      </c>
    </row>
    <row r="1019">
      <c r="A1019" s="25" t="s">
        <v>178</v>
      </c>
      <c r="B1019" s="24" t="s">
        <v>669</v>
      </c>
      <c r="C1019" s="24" t="s">
        <v>126</v>
      </c>
    </row>
    <row r="1020">
      <c r="A1020" s="22"/>
      <c r="B1020" s="24"/>
      <c r="C1020" s="24"/>
      <c r="D1020" s="24"/>
      <c r="E1020" s="24"/>
    </row>
    <row r="1021">
      <c r="A1021" s="22" t="s">
        <v>103</v>
      </c>
      <c r="B1021" s="24" t="s">
        <v>681</v>
      </c>
      <c r="D1021" s="24" t="s">
        <v>682</v>
      </c>
    </row>
    <row r="1022">
      <c r="A1022" s="22"/>
      <c r="B1022" s="24"/>
      <c r="C1022" s="24"/>
      <c r="D1022" s="24"/>
      <c r="E1022" s="24"/>
    </row>
    <row r="1023">
      <c r="A1023" s="22"/>
      <c r="B1023" s="24"/>
      <c r="C1023" s="24"/>
      <c r="D1023" s="24"/>
      <c r="E1023" s="24"/>
    </row>
    <row r="1024">
      <c r="A1024" s="44" t="s">
        <v>50</v>
      </c>
      <c r="B1024" s="20" t="s">
        <v>683</v>
      </c>
    </row>
    <row r="1025">
      <c r="B1025" s="21" t="s">
        <v>4</v>
      </c>
      <c r="C1025" s="21" t="s">
        <v>5</v>
      </c>
      <c r="D1025" s="21" t="s">
        <v>6</v>
      </c>
      <c r="E1025" s="21" t="s">
        <v>7</v>
      </c>
      <c r="G1025" s="3" t="s">
        <v>684</v>
      </c>
    </row>
    <row r="1026">
      <c r="A1026" s="22" t="s">
        <v>91</v>
      </c>
      <c r="B1026" s="24">
        <v>66.1</v>
      </c>
      <c r="C1026" s="24">
        <v>64.7</v>
      </c>
      <c r="D1026" s="24">
        <v>70.7</v>
      </c>
      <c r="E1026" s="24">
        <v>68.6</v>
      </c>
    </row>
    <row r="1027">
      <c r="A1027" s="22" t="s">
        <v>92</v>
      </c>
      <c r="B1027" s="24">
        <v>3.0</v>
      </c>
      <c r="C1027" s="24">
        <v>2.0</v>
      </c>
      <c r="D1027" s="24">
        <v>5.0</v>
      </c>
      <c r="E1027" s="24">
        <v>2.0</v>
      </c>
    </row>
    <row r="1028">
      <c r="A1028" s="22" t="s">
        <v>93</v>
      </c>
      <c r="B1028" s="24">
        <f t="shared" ref="B1028:E1028" si="149">B1010-B1027</f>
        <v>20894</v>
      </c>
      <c r="C1028" s="24">
        <f t="shared" si="149"/>
        <v>20634</v>
      </c>
      <c r="D1028" s="24">
        <f t="shared" si="149"/>
        <v>20603</v>
      </c>
      <c r="E1028" s="24">
        <f t="shared" si="149"/>
        <v>20836</v>
      </c>
    </row>
    <row r="1029">
      <c r="A1029" s="22" t="s">
        <v>94</v>
      </c>
      <c r="B1029" s="23">
        <f t="shared" ref="B1029:E1029" si="150">B1035*30</f>
        <v>18930</v>
      </c>
      <c r="C1029" s="23">
        <f t="shared" si="150"/>
        <v>18810</v>
      </c>
      <c r="D1029" s="23">
        <f t="shared" si="150"/>
        <v>18510</v>
      </c>
      <c r="E1029" s="23">
        <f t="shared" si="150"/>
        <v>19140</v>
      </c>
    </row>
    <row r="1030">
      <c r="A1030" s="22" t="s">
        <v>95</v>
      </c>
      <c r="B1030" s="24">
        <v>8.0</v>
      </c>
      <c r="C1030" s="24">
        <v>25.0</v>
      </c>
      <c r="D1030" s="24">
        <v>10.0</v>
      </c>
      <c r="E1030" s="24">
        <v>6.0</v>
      </c>
    </row>
    <row r="1031">
      <c r="A1031" s="22" t="s">
        <v>96</v>
      </c>
      <c r="B1031" s="24">
        <v>15.0</v>
      </c>
      <c r="C1031" s="24">
        <v>7.0</v>
      </c>
      <c r="D1031" s="24">
        <v>12.0</v>
      </c>
      <c r="E1031" s="24">
        <v>11.0</v>
      </c>
    </row>
    <row r="1032">
      <c r="A1032" s="22" t="s">
        <v>111</v>
      </c>
      <c r="B1032" s="24"/>
      <c r="C1032" s="24"/>
      <c r="D1032" s="24"/>
      <c r="E1032" s="24"/>
    </row>
    <row r="1033">
      <c r="A1033" s="22" t="s">
        <v>98</v>
      </c>
      <c r="B1033" s="24">
        <v>1.0</v>
      </c>
      <c r="C1033" s="24">
        <v>1.0</v>
      </c>
      <c r="D1033" s="24">
        <v>1.0</v>
      </c>
      <c r="E1033" s="24">
        <v>1.0</v>
      </c>
    </row>
    <row r="1034">
      <c r="A1034" s="22" t="s">
        <v>112</v>
      </c>
      <c r="B1034" s="26">
        <f>round(((B1029/B1028)*100),2)</f>
        <v>90.6</v>
      </c>
      <c r="C1034" s="26">
        <f>round(((C1029/C1028)*100),2)</f>
        <v>91.16</v>
      </c>
      <c r="D1034" s="26">
        <f>round(((D1029/D1028)*100),2)</f>
        <v>89.84</v>
      </c>
      <c r="E1034" s="26">
        <f>round(((E1029/E1028)*100),2)</f>
        <v>91.86</v>
      </c>
    </row>
    <row r="1035">
      <c r="A1035" s="22" t="s">
        <v>100</v>
      </c>
      <c r="B1035" s="24">
        <v>631.0</v>
      </c>
      <c r="C1035" s="24">
        <v>627.0</v>
      </c>
      <c r="D1035" s="24">
        <v>617.0</v>
      </c>
      <c r="E1035" s="24">
        <v>638.0</v>
      </c>
    </row>
    <row r="1036">
      <c r="A1036" s="11" t="s">
        <v>471</v>
      </c>
      <c r="C1036" s="3" t="s">
        <v>662</v>
      </c>
      <c r="D1036" s="3" t="s">
        <v>132</v>
      </c>
    </row>
    <row r="1037">
      <c r="A1037" s="25" t="s">
        <v>178</v>
      </c>
      <c r="B1037" s="24" t="s">
        <v>669</v>
      </c>
      <c r="C1037" s="24" t="s">
        <v>126</v>
      </c>
    </row>
    <row r="1038">
      <c r="A1038" s="22"/>
      <c r="B1038" s="24"/>
      <c r="C1038" s="24"/>
      <c r="D1038" s="24"/>
      <c r="E1038" s="24"/>
    </row>
    <row r="1039">
      <c r="A1039" s="22" t="s">
        <v>103</v>
      </c>
      <c r="B1039" s="24"/>
      <c r="D1039" s="24" t="s">
        <v>685</v>
      </c>
    </row>
    <row r="1040">
      <c r="A1040" s="22"/>
      <c r="B1040" s="24"/>
      <c r="C1040" s="24"/>
      <c r="D1040" s="24"/>
      <c r="E1040" s="24"/>
    </row>
    <row r="1041">
      <c r="A1041" s="22"/>
      <c r="B1041" s="24"/>
      <c r="C1041" s="24"/>
      <c r="D1041" s="24"/>
      <c r="E1041" s="24"/>
    </row>
    <row r="1042">
      <c r="A1042" s="22"/>
      <c r="B1042" s="24"/>
      <c r="C1042" s="24"/>
      <c r="D1042" s="24"/>
      <c r="E1042" s="24"/>
    </row>
    <row r="1043">
      <c r="A1043" s="22"/>
      <c r="B1043" s="24"/>
      <c r="C1043" s="24"/>
      <c r="D1043" s="24"/>
      <c r="E1043" s="24"/>
    </row>
    <row r="1044">
      <c r="A1044" s="22"/>
      <c r="B1044" s="24"/>
      <c r="C1044" s="24"/>
      <c r="D1044" s="24"/>
      <c r="E1044" s="24"/>
    </row>
    <row r="1045">
      <c r="A1045" s="22"/>
      <c r="B1045" s="24"/>
      <c r="C1045" s="24"/>
      <c r="D1045" s="24"/>
      <c r="E1045" s="24"/>
    </row>
  </sheetData>
  <mergeCells count="240">
    <mergeCell ref="A613:A614"/>
    <mergeCell ref="B613:E613"/>
    <mergeCell ref="B627:C627"/>
    <mergeCell ref="D627:E627"/>
    <mergeCell ref="A630:A631"/>
    <mergeCell ref="B630:E630"/>
    <mergeCell ref="D644:E644"/>
    <mergeCell ref="B644:C644"/>
    <mergeCell ref="A647:A648"/>
    <mergeCell ref="B647:E647"/>
    <mergeCell ref="B661:C661"/>
    <mergeCell ref="D661:E661"/>
    <mergeCell ref="A664:A665"/>
    <mergeCell ref="B664:E664"/>
    <mergeCell ref="B678:C678"/>
    <mergeCell ref="D678:E678"/>
    <mergeCell ref="A681:A682"/>
    <mergeCell ref="B681:E681"/>
    <mergeCell ref="D695:E695"/>
    <mergeCell ref="A698:A699"/>
    <mergeCell ref="B698:E698"/>
    <mergeCell ref="B695:C695"/>
    <mergeCell ref="B712:C712"/>
    <mergeCell ref="D712:E712"/>
    <mergeCell ref="A715:A716"/>
    <mergeCell ref="B715:E715"/>
    <mergeCell ref="B729:C729"/>
    <mergeCell ref="D729:E729"/>
    <mergeCell ref="A732:A733"/>
    <mergeCell ref="B732:E732"/>
    <mergeCell ref="B746:C746"/>
    <mergeCell ref="D746:E746"/>
    <mergeCell ref="A749:A750"/>
    <mergeCell ref="B749:E749"/>
    <mergeCell ref="D763:E763"/>
    <mergeCell ref="B763:C763"/>
    <mergeCell ref="A766:A767"/>
    <mergeCell ref="B766:E766"/>
    <mergeCell ref="B780:C780"/>
    <mergeCell ref="D780:E780"/>
    <mergeCell ref="A783:A784"/>
    <mergeCell ref="B783:E783"/>
    <mergeCell ref="B797:C797"/>
    <mergeCell ref="D797:E797"/>
    <mergeCell ref="A800:A801"/>
    <mergeCell ref="B800:E800"/>
    <mergeCell ref="D814:E814"/>
    <mergeCell ref="A817:A818"/>
    <mergeCell ref="B817:E817"/>
    <mergeCell ref="B814:C814"/>
    <mergeCell ref="B831:C831"/>
    <mergeCell ref="D831:E831"/>
    <mergeCell ref="A834:A835"/>
    <mergeCell ref="B834:E834"/>
    <mergeCell ref="B848:C848"/>
    <mergeCell ref="D848:E848"/>
    <mergeCell ref="A851:A852"/>
    <mergeCell ref="B851:E851"/>
    <mergeCell ref="B865:C865"/>
    <mergeCell ref="D865:E865"/>
    <mergeCell ref="A868:A869"/>
    <mergeCell ref="B868:E868"/>
    <mergeCell ref="D882:E882"/>
    <mergeCell ref="B882:C882"/>
    <mergeCell ref="A885:A886"/>
    <mergeCell ref="B885:E885"/>
    <mergeCell ref="B899:C899"/>
    <mergeCell ref="D899:E899"/>
    <mergeCell ref="A902:A903"/>
    <mergeCell ref="B902:E902"/>
    <mergeCell ref="B916:C916"/>
    <mergeCell ref="D916:E916"/>
    <mergeCell ref="A919:A920"/>
    <mergeCell ref="B919:E919"/>
    <mergeCell ref="D933:E933"/>
    <mergeCell ref="A936:A937"/>
    <mergeCell ref="B936:E936"/>
    <mergeCell ref="B933:C933"/>
    <mergeCell ref="B950:C950"/>
    <mergeCell ref="D950:E950"/>
    <mergeCell ref="A953:A954"/>
    <mergeCell ref="B953:E953"/>
    <mergeCell ref="B967:C967"/>
    <mergeCell ref="D967:E967"/>
    <mergeCell ref="A970:A971"/>
    <mergeCell ref="B970:E970"/>
    <mergeCell ref="B984:C984"/>
    <mergeCell ref="D984:E984"/>
    <mergeCell ref="A988:A989"/>
    <mergeCell ref="B988:E988"/>
    <mergeCell ref="D1003:E1003"/>
    <mergeCell ref="B1003:C1003"/>
    <mergeCell ref="A1006:A1007"/>
    <mergeCell ref="B1006:E1006"/>
    <mergeCell ref="B1021:C1021"/>
    <mergeCell ref="D1021:E1021"/>
    <mergeCell ref="A1024:A1025"/>
    <mergeCell ref="B1024:E1024"/>
    <mergeCell ref="A1:A2"/>
    <mergeCell ref="B1:E1"/>
    <mergeCell ref="B15:C15"/>
    <mergeCell ref="D15:E15"/>
    <mergeCell ref="A18:A19"/>
    <mergeCell ref="B18:E18"/>
    <mergeCell ref="B32:E32"/>
    <mergeCell ref="A35:A36"/>
    <mergeCell ref="B35:E35"/>
    <mergeCell ref="B49:E49"/>
    <mergeCell ref="A52:A53"/>
    <mergeCell ref="B52:E52"/>
    <mergeCell ref="B66:E66"/>
    <mergeCell ref="A69:A70"/>
    <mergeCell ref="B69:E69"/>
    <mergeCell ref="B83:E83"/>
    <mergeCell ref="A86:A87"/>
    <mergeCell ref="B86:E86"/>
    <mergeCell ref="D100:E100"/>
    <mergeCell ref="A103:A104"/>
    <mergeCell ref="B103:E103"/>
    <mergeCell ref="B100:C100"/>
    <mergeCell ref="B117:C117"/>
    <mergeCell ref="D117:E117"/>
    <mergeCell ref="A120:A121"/>
    <mergeCell ref="B120:E120"/>
    <mergeCell ref="B134:C134"/>
    <mergeCell ref="D134:E134"/>
    <mergeCell ref="A137:A138"/>
    <mergeCell ref="B137:E137"/>
    <mergeCell ref="B151:C151"/>
    <mergeCell ref="D151:E151"/>
    <mergeCell ref="A154:A155"/>
    <mergeCell ref="B154:E154"/>
    <mergeCell ref="D168:E168"/>
    <mergeCell ref="B168:C168"/>
    <mergeCell ref="A171:A172"/>
    <mergeCell ref="B171:E171"/>
    <mergeCell ref="B185:C185"/>
    <mergeCell ref="D185:E185"/>
    <mergeCell ref="A188:A189"/>
    <mergeCell ref="B188:E188"/>
    <mergeCell ref="B1039:C1039"/>
    <mergeCell ref="D1039:E1039"/>
    <mergeCell ref="B202:C202"/>
    <mergeCell ref="D202:E202"/>
    <mergeCell ref="A205:A206"/>
    <mergeCell ref="B205:E205"/>
    <mergeCell ref="D219:E219"/>
    <mergeCell ref="A222:A223"/>
    <mergeCell ref="B222:E222"/>
    <mergeCell ref="B219:C219"/>
    <mergeCell ref="B236:C236"/>
    <mergeCell ref="D236:E236"/>
    <mergeCell ref="A239:A240"/>
    <mergeCell ref="B239:E239"/>
    <mergeCell ref="B253:C253"/>
    <mergeCell ref="D253:E253"/>
    <mergeCell ref="A256:A257"/>
    <mergeCell ref="B256:E256"/>
    <mergeCell ref="B270:C270"/>
    <mergeCell ref="D270:E270"/>
    <mergeCell ref="A273:A274"/>
    <mergeCell ref="B273:E273"/>
    <mergeCell ref="D287:E287"/>
    <mergeCell ref="B287:C287"/>
    <mergeCell ref="A290:A291"/>
    <mergeCell ref="B290:E290"/>
    <mergeCell ref="B304:C304"/>
    <mergeCell ref="D304:E304"/>
    <mergeCell ref="A307:A308"/>
    <mergeCell ref="B307:E307"/>
    <mergeCell ref="B321:C321"/>
    <mergeCell ref="D321:E321"/>
    <mergeCell ref="A324:A325"/>
    <mergeCell ref="B324:E324"/>
    <mergeCell ref="D338:E338"/>
    <mergeCell ref="A341:A342"/>
    <mergeCell ref="B341:E341"/>
    <mergeCell ref="B338:C338"/>
    <mergeCell ref="B355:C355"/>
    <mergeCell ref="D355:E355"/>
    <mergeCell ref="A358:A359"/>
    <mergeCell ref="B358:E358"/>
    <mergeCell ref="B372:C372"/>
    <mergeCell ref="D372:E372"/>
    <mergeCell ref="A375:A376"/>
    <mergeCell ref="B375:E375"/>
    <mergeCell ref="B389:C389"/>
    <mergeCell ref="D389:E389"/>
    <mergeCell ref="A392:A393"/>
    <mergeCell ref="B392:E392"/>
    <mergeCell ref="D406:E406"/>
    <mergeCell ref="B406:C406"/>
    <mergeCell ref="A409:A410"/>
    <mergeCell ref="B409:E409"/>
    <mergeCell ref="B423:C423"/>
    <mergeCell ref="D423:E423"/>
    <mergeCell ref="A426:A427"/>
    <mergeCell ref="B426:E426"/>
    <mergeCell ref="B440:C440"/>
    <mergeCell ref="D440:E440"/>
    <mergeCell ref="A443:A444"/>
    <mergeCell ref="B443:E443"/>
    <mergeCell ref="D457:E457"/>
    <mergeCell ref="A460:A461"/>
    <mergeCell ref="B460:E460"/>
    <mergeCell ref="B457:C457"/>
    <mergeCell ref="B474:C474"/>
    <mergeCell ref="D474:E474"/>
    <mergeCell ref="A477:A478"/>
    <mergeCell ref="B477:E477"/>
    <mergeCell ref="B491:C491"/>
    <mergeCell ref="D491:E491"/>
    <mergeCell ref="A494:A495"/>
    <mergeCell ref="B494:E494"/>
    <mergeCell ref="B508:C508"/>
    <mergeCell ref="D508:E508"/>
    <mergeCell ref="A511:A512"/>
    <mergeCell ref="B511:E511"/>
    <mergeCell ref="D525:E525"/>
    <mergeCell ref="B525:C525"/>
    <mergeCell ref="A528:A529"/>
    <mergeCell ref="B528:E528"/>
    <mergeCell ref="B542:C542"/>
    <mergeCell ref="D542:E542"/>
    <mergeCell ref="A545:A546"/>
    <mergeCell ref="B545:E545"/>
    <mergeCell ref="B559:C559"/>
    <mergeCell ref="D559:E559"/>
    <mergeCell ref="A562:A563"/>
    <mergeCell ref="B562:E562"/>
    <mergeCell ref="D576:E576"/>
    <mergeCell ref="A579:A580"/>
    <mergeCell ref="B579:E579"/>
    <mergeCell ref="B576:C576"/>
    <mergeCell ref="B593:C593"/>
    <mergeCell ref="D593:E593"/>
    <mergeCell ref="A596:A597"/>
    <mergeCell ref="B596:E596"/>
    <mergeCell ref="B610:C610"/>
    <mergeCell ref="D610:E61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44" t="s">
        <v>50</v>
      </c>
      <c r="B1" s="46">
        <v>45668.0</v>
      </c>
    </row>
    <row r="2">
      <c r="B2" s="21" t="s">
        <v>4</v>
      </c>
      <c r="C2" s="21" t="s">
        <v>5</v>
      </c>
      <c r="D2" s="21" t="s">
        <v>6</v>
      </c>
      <c r="E2" s="21" t="s">
        <v>7</v>
      </c>
      <c r="G2" s="3" t="s">
        <v>686</v>
      </c>
    </row>
    <row r="3">
      <c r="A3" s="22" t="s">
        <v>91</v>
      </c>
      <c r="B3" s="24">
        <v>66.2</v>
      </c>
      <c r="C3" s="24">
        <v>65.1</v>
      </c>
      <c r="D3" s="24">
        <v>71.1</v>
      </c>
      <c r="E3" s="24">
        <v>68.7</v>
      </c>
      <c r="G3" s="3" t="s">
        <v>332</v>
      </c>
    </row>
    <row r="4">
      <c r="A4" s="22" t="s">
        <v>92</v>
      </c>
      <c r="B4" s="24">
        <v>3.0</v>
      </c>
      <c r="C4" s="24">
        <v>6.0</v>
      </c>
      <c r="D4" s="24">
        <v>5.0</v>
      </c>
      <c r="E4" s="24">
        <v>5.0</v>
      </c>
      <c r="G4" s="3" t="s">
        <v>330</v>
      </c>
    </row>
    <row r="5">
      <c r="A5" s="22" t="s">
        <v>93</v>
      </c>
      <c r="B5" s="24">
        <f>20894-B4</f>
        <v>20891</v>
      </c>
      <c r="C5" s="24">
        <f>20634-C4</f>
        <v>20628</v>
      </c>
      <c r="D5" s="24">
        <f>20603-D4</f>
        <v>20598</v>
      </c>
      <c r="E5" s="24">
        <f>20830-E4</f>
        <v>20825</v>
      </c>
      <c r="G5" s="3" t="s">
        <v>687</v>
      </c>
    </row>
    <row r="6">
      <c r="A6" s="22" t="s">
        <v>94</v>
      </c>
      <c r="B6" s="23">
        <f t="shared" ref="B6:E6" si="1">B12*30</f>
        <v>18930</v>
      </c>
      <c r="C6" s="23">
        <f t="shared" si="1"/>
        <v>18600</v>
      </c>
      <c r="D6" s="23">
        <f t="shared" si="1"/>
        <v>18330</v>
      </c>
      <c r="E6" s="23">
        <f t="shared" si="1"/>
        <v>18390</v>
      </c>
    </row>
    <row r="7">
      <c r="A7" s="22" t="s">
        <v>95</v>
      </c>
      <c r="B7" s="24">
        <v>15.0</v>
      </c>
      <c r="C7" s="24">
        <v>10.0</v>
      </c>
      <c r="D7" s="24">
        <v>22.0</v>
      </c>
      <c r="E7" s="24">
        <v>12.0</v>
      </c>
    </row>
    <row r="8">
      <c r="A8" s="22" t="s">
        <v>96</v>
      </c>
      <c r="B8" s="24">
        <v>12.0</v>
      </c>
      <c r="C8" s="24">
        <v>8.0</v>
      </c>
      <c r="D8" s="24">
        <v>13.0</v>
      </c>
      <c r="E8" s="24">
        <v>4.0</v>
      </c>
    </row>
    <row r="9">
      <c r="A9" s="22" t="s">
        <v>111</v>
      </c>
      <c r="B9" s="24">
        <v>55.0</v>
      </c>
      <c r="C9" s="24">
        <v>55.0</v>
      </c>
      <c r="D9" s="24">
        <v>55.0</v>
      </c>
      <c r="E9" s="24">
        <v>55.0</v>
      </c>
    </row>
    <row r="10">
      <c r="A10" s="22" t="s">
        <v>98</v>
      </c>
      <c r="B10" s="24">
        <v>1.0</v>
      </c>
      <c r="C10" s="24">
        <v>1.0</v>
      </c>
      <c r="D10" s="24">
        <v>1.0</v>
      </c>
      <c r="E10" s="24">
        <v>1.0</v>
      </c>
    </row>
    <row r="11">
      <c r="A11" s="22" t="s">
        <v>112</v>
      </c>
      <c r="B11" s="26">
        <f>round(((B6/B5)*100),2)</f>
        <v>90.61</v>
      </c>
      <c r="C11" s="26">
        <f>round(((C6/C5)*100),2)</f>
        <v>90.17</v>
      </c>
      <c r="D11" s="26">
        <f>round(((D6/D5)*100),2)</f>
        <v>88.99</v>
      </c>
      <c r="E11" s="26">
        <f>round(((E6/E5)*100),2)</f>
        <v>88.31</v>
      </c>
    </row>
    <row r="12">
      <c r="A12" s="22" t="s">
        <v>100</v>
      </c>
      <c r="B12" s="24">
        <v>631.0</v>
      </c>
      <c r="C12" s="24">
        <v>620.0</v>
      </c>
      <c r="D12" s="24">
        <v>611.0</v>
      </c>
      <c r="E12" s="24">
        <v>613.0</v>
      </c>
    </row>
    <row r="13">
      <c r="A13" s="11" t="s">
        <v>471</v>
      </c>
      <c r="C13" s="3" t="s">
        <v>662</v>
      </c>
      <c r="D13" s="3" t="s">
        <v>132</v>
      </c>
    </row>
    <row r="14">
      <c r="A14" s="25" t="s">
        <v>178</v>
      </c>
      <c r="B14" s="24" t="s">
        <v>688</v>
      </c>
      <c r="C14" s="24" t="s">
        <v>509</v>
      </c>
    </row>
    <row r="15">
      <c r="A15" s="25" t="s">
        <v>103</v>
      </c>
      <c r="B15" s="24" t="s">
        <v>689</v>
      </c>
      <c r="D15" s="24"/>
    </row>
    <row r="18">
      <c r="A18" s="44" t="s">
        <v>50</v>
      </c>
      <c r="B18" s="46">
        <v>45699.0</v>
      </c>
    </row>
    <row r="19">
      <c r="B19" s="21" t="s">
        <v>4</v>
      </c>
      <c r="C19" s="21" t="s">
        <v>5</v>
      </c>
      <c r="D19" s="21" t="s">
        <v>6</v>
      </c>
      <c r="E19" s="21" t="s">
        <v>7</v>
      </c>
    </row>
    <row r="20">
      <c r="A20" s="22" t="s">
        <v>91</v>
      </c>
      <c r="B20" s="24">
        <v>66.3</v>
      </c>
      <c r="C20" s="24">
        <v>65.2</v>
      </c>
      <c r="D20" s="24">
        <v>71.2</v>
      </c>
      <c r="E20" s="24">
        <v>69.1</v>
      </c>
    </row>
    <row r="21">
      <c r="A21" s="22" t="s">
        <v>92</v>
      </c>
      <c r="B21" s="24">
        <v>3.0</v>
      </c>
      <c r="C21" s="24">
        <v>5.0</v>
      </c>
      <c r="D21" s="24">
        <v>2.0</v>
      </c>
      <c r="E21" s="24">
        <v>4.0</v>
      </c>
      <c r="G21" s="3" t="s">
        <v>398</v>
      </c>
    </row>
    <row r="22">
      <c r="A22" s="22" t="s">
        <v>93</v>
      </c>
      <c r="B22" s="24">
        <f t="shared" ref="B22:E22" si="2">B5-B21</f>
        <v>20888</v>
      </c>
      <c r="C22" s="24">
        <f t="shared" si="2"/>
        <v>20623</v>
      </c>
      <c r="D22" s="24">
        <f t="shared" si="2"/>
        <v>20596</v>
      </c>
      <c r="E22" s="24">
        <f t="shared" si="2"/>
        <v>20821</v>
      </c>
    </row>
    <row r="23">
      <c r="A23" s="22" t="s">
        <v>94</v>
      </c>
      <c r="B23" s="23">
        <f t="shared" ref="B23:E23" si="3">B29*30</f>
        <v>18960</v>
      </c>
      <c r="C23" s="23">
        <f t="shared" si="3"/>
        <v>18870</v>
      </c>
      <c r="D23" s="23">
        <f t="shared" si="3"/>
        <v>18480</v>
      </c>
      <c r="E23" s="23">
        <f t="shared" si="3"/>
        <v>19260</v>
      </c>
    </row>
    <row r="24">
      <c r="A24" s="22" t="s">
        <v>95</v>
      </c>
      <c r="B24" s="24">
        <v>17.0</v>
      </c>
      <c r="C24" s="24">
        <v>25.0</v>
      </c>
      <c r="D24" s="24">
        <v>18.0</v>
      </c>
      <c r="E24" s="24">
        <v>13.0</v>
      </c>
    </row>
    <row r="25">
      <c r="A25" s="22" t="s">
        <v>96</v>
      </c>
      <c r="B25" s="24">
        <v>11.0</v>
      </c>
      <c r="C25" s="24">
        <v>5.0</v>
      </c>
      <c r="D25" s="24">
        <v>14.0</v>
      </c>
      <c r="E25" s="24">
        <v>13.0</v>
      </c>
    </row>
    <row r="26">
      <c r="A26" s="22" t="s">
        <v>111</v>
      </c>
      <c r="B26" s="24"/>
      <c r="C26" s="24"/>
      <c r="D26" s="24"/>
      <c r="E26" s="24"/>
    </row>
    <row r="27">
      <c r="A27" s="22" t="s">
        <v>98</v>
      </c>
      <c r="B27" s="24">
        <v>1.0</v>
      </c>
      <c r="C27" s="24">
        <v>1.0</v>
      </c>
      <c r="D27" s="24">
        <v>1.0</v>
      </c>
      <c r="E27" s="24">
        <v>1.0</v>
      </c>
    </row>
    <row r="28">
      <c r="A28" s="22" t="s">
        <v>112</v>
      </c>
      <c r="B28" s="26">
        <f>round(((B23/B22)*100),2)</f>
        <v>90.77</v>
      </c>
      <c r="C28" s="26">
        <f>round(((C23/C22)*100),2)</f>
        <v>91.5</v>
      </c>
      <c r="D28" s="26">
        <f>round(((D23/D22)*100),2)</f>
        <v>89.73</v>
      </c>
      <c r="E28" s="26">
        <f>round(((E23/E22)*100),2)</f>
        <v>92.5</v>
      </c>
    </row>
    <row r="29">
      <c r="A29" s="22" t="s">
        <v>100</v>
      </c>
      <c r="B29" s="24">
        <v>632.0</v>
      </c>
      <c r="C29" s="24">
        <v>629.0</v>
      </c>
      <c r="D29" s="24">
        <v>616.0</v>
      </c>
      <c r="E29" s="24">
        <v>642.0</v>
      </c>
    </row>
    <row r="30">
      <c r="A30" s="11" t="s">
        <v>471</v>
      </c>
      <c r="C30" s="3" t="s">
        <v>662</v>
      </c>
      <c r="D30" s="3" t="s">
        <v>132</v>
      </c>
    </row>
    <row r="31">
      <c r="A31" s="25" t="s">
        <v>178</v>
      </c>
      <c r="B31" s="24" t="s">
        <v>479</v>
      </c>
      <c r="C31" s="24" t="s">
        <v>126</v>
      </c>
    </row>
    <row r="32">
      <c r="A32" s="25" t="s">
        <v>103</v>
      </c>
      <c r="B32" s="24" t="s">
        <v>690</v>
      </c>
      <c r="D32" s="24" t="s">
        <v>691</v>
      </c>
    </row>
    <row r="35">
      <c r="A35" s="44" t="s">
        <v>50</v>
      </c>
      <c r="B35" s="46">
        <v>45727.0</v>
      </c>
    </row>
    <row r="36">
      <c r="B36" s="21" t="s">
        <v>4</v>
      </c>
      <c r="C36" s="21" t="s">
        <v>5</v>
      </c>
      <c r="D36" s="21" t="s">
        <v>6</v>
      </c>
      <c r="E36" s="21" t="s">
        <v>7</v>
      </c>
    </row>
    <row r="37">
      <c r="A37" s="22" t="s">
        <v>91</v>
      </c>
      <c r="B37" s="24">
        <v>66.4</v>
      </c>
      <c r="C37" s="24">
        <v>65.3</v>
      </c>
      <c r="D37" s="24">
        <v>71.3</v>
      </c>
      <c r="E37" s="24">
        <v>69.2</v>
      </c>
    </row>
    <row r="38">
      <c r="A38" s="22" t="s">
        <v>92</v>
      </c>
      <c r="B38" s="24">
        <v>5.0</v>
      </c>
      <c r="C38" s="24">
        <v>6.0</v>
      </c>
      <c r="D38" s="24">
        <v>4.0</v>
      </c>
      <c r="E38" s="24">
        <v>8.0</v>
      </c>
      <c r="G38" s="3"/>
    </row>
    <row r="39">
      <c r="A39" s="22" t="s">
        <v>93</v>
      </c>
      <c r="B39" s="24">
        <f t="shared" ref="B39:E39" si="4">B22-B38</f>
        <v>20883</v>
      </c>
      <c r="C39" s="24">
        <f t="shared" si="4"/>
        <v>20617</v>
      </c>
      <c r="D39" s="24">
        <f t="shared" si="4"/>
        <v>20592</v>
      </c>
      <c r="E39" s="24">
        <f t="shared" si="4"/>
        <v>20813</v>
      </c>
    </row>
    <row r="40">
      <c r="A40" s="22" t="s">
        <v>94</v>
      </c>
      <c r="B40" s="23">
        <f t="shared" ref="B40:E40" si="5">B46*30</f>
        <v>18720</v>
      </c>
      <c r="C40" s="23">
        <f t="shared" si="5"/>
        <v>18690</v>
      </c>
      <c r="D40" s="23">
        <f t="shared" si="5"/>
        <v>18360</v>
      </c>
      <c r="E40" s="23">
        <f t="shared" si="5"/>
        <v>19080</v>
      </c>
    </row>
    <row r="41">
      <c r="A41" s="22" t="s">
        <v>95</v>
      </c>
      <c r="B41" s="24">
        <v>16.0</v>
      </c>
      <c r="C41" s="24">
        <v>13.0</v>
      </c>
      <c r="D41" s="24">
        <v>24.0</v>
      </c>
      <c r="E41" s="24">
        <v>25.0</v>
      </c>
    </row>
    <row r="42">
      <c r="A42" s="22" t="s">
        <v>96</v>
      </c>
      <c r="B42" s="24">
        <v>11.0</v>
      </c>
      <c r="C42" s="24">
        <v>6.0</v>
      </c>
      <c r="D42" s="24">
        <v>13.0</v>
      </c>
      <c r="E42" s="24">
        <v>17.0</v>
      </c>
    </row>
    <row r="43">
      <c r="A43" s="22" t="s">
        <v>111</v>
      </c>
      <c r="B43" s="24">
        <v>110.0</v>
      </c>
      <c r="C43" s="24">
        <v>110.0</v>
      </c>
      <c r="D43" s="24">
        <v>110.0</v>
      </c>
      <c r="E43" s="24">
        <v>110.0</v>
      </c>
    </row>
    <row r="44">
      <c r="A44" s="22" t="s">
        <v>98</v>
      </c>
      <c r="B44" s="24">
        <v>1.0</v>
      </c>
      <c r="C44" s="24">
        <v>1.0</v>
      </c>
      <c r="D44" s="24">
        <v>1.0</v>
      </c>
      <c r="E44" s="24">
        <v>1.0</v>
      </c>
    </row>
    <row r="45">
      <c r="A45" s="22" t="s">
        <v>112</v>
      </c>
      <c r="B45" s="26">
        <f>round(((B40/B39)*100),2)</f>
        <v>89.64</v>
      </c>
      <c r="C45" s="26">
        <f>round(((C40/C39)*100),2)</f>
        <v>90.65</v>
      </c>
      <c r="D45" s="26">
        <f>round(((D40/D39)*100),2)</f>
        <v>89.16</v>
      </c>
      <c r="E45" s="26">
        <f>round(((E40/E39)*100),2)</f>
        <v>91.67</v>
      </c>
    </row>
    <row r="46">
      <c r="A46" s="22" t="s">
        <v>100</v>
      </c>
      <c r="B46" s="24">
        <v>624.0</v>
      </c>
      <c r="C46" s="24">
        <v>623.0</v>
      </c>
      <c r="D46" s="24">
        <v>612.0</v>
      </c>
      <c r="E46" s="24">
        <v>636.0</v>
      </c>
    </row>
    <row r="47">
      <c r="A47" s="11" t="s">
        <v>471</v>
      </c>
      <c r="C47" s="3" t="s">
        <v>662</v>
      </c>
      <c r="D47" s="3" t="s">
        <v>132</v>
      </c>
    </row>
    <row r="48">
      <c r="A48" s="25" t="s">
        <v>178</v>
      </c>
      <c r="B48" s="24" t="s">
        <v>692</v>
      </c>
      <c r="C48" s="24" t="s">
        <v>509</v>
      </c>
    </row>
    <row r="49">
      <c r="A49" s="25" t="s">
        <v>103</v>
      </c>
      <c r="B49" s="24" t="s">
        <v>693</v>
      </c>
      <c r="D49" s="24" t="s">
        <v>694</v>
      </c>
    </row>
    <row r="52">
      <c r="A52" s="44" t="s">
        <v>50</v>
      </c>
      <c r="B52" s="46">
        <v>45758.0</v>
      </c>
    </row>
    <row r="53">
      <c r="B53" s="21" t="s">
        <v>4</v>
      </c>
      <c r="C53" s="21" t="s">
        <v>5</v>
      </c>
      <c r="D53" s="21" t="s">
        <v>6</v>
      </c>
      <c r="E53" s="21" t="s">
        <v>7</v>
      </c>
    </row>
    <row r="54">
      <c r="A54" s="22" t="s">
        <v>91</v>
      </c>
      <c r="B54" s="24">
        <v>66.5</v>
      </c>
      <c r="C54" s="24">
        <v>65.4</v>
      </c>
      <c r="D54" s="24">
        <v>71.4</v>
      </c>
      <c r="E54" s="24">
        <v>69.3</v>
      </c>
      <c r="G54" s="3" t="s">
        <v>695</v>
      </c>
    </row>
    <row r="55">
      <c r="A55" s="22" t="s">
        <v>92</v>
      </c>
      <c r="B55" s="24">
        <v>3.0</v>
      </c>
      <c r="C55" s="24">
        <v>4.0</v>
      </c>
      <c r="D55" s="24">
        <v>3.0</v>
      </c>
      <c r="E55" s="24">
        <v>1.0</v>
      </c>
      <c r="G55" s="3" t="s">
        <v>696</v>
      </c>
    </row>
    <row r="56">
      <c r="A56" s="22" t="s">
        <v>93</v>
      </c>
      <c r="B56" s="24">
        <f t="shared" ref="B56:E56" si="6">B39-B55</f>
        <v>20880</v>
      </c>
      <c r="C56" s="24">
        <f t="shared" si="6"/>
        <v>20613</v>
      </c>
      <c r="D56" s="24">
        <f t="shared" si="6"/>
        <v>20589</v>
      </c>
      <c r="E56" s="24">
        <f t="shared" si="6"/>
        <v>20812</v>
      </c>
    </row>
    <row r="57">
      <c r="A57" s="22" t="s">
        <v>94</v>
      </c>
      <c r="B57" s="23">
        <f t="shared" ref="B57:E57" si="7">B63*30</f>
        <v>18750</v>
      </c>
      <c r="C57" s="23">
        <f t="shared" si="7"/>
        <v>18780</v>
      </c>
      <c r="D57" s="23">
        <f t="shared" si="7"/>
        <v>18300</v>
      </c>
      <c r="E57" s="23">
        <f t="shared" si="7"/>
        <v>18420</v>
      </c>
    </row>
    <row r="58">
      <c r="A58" s="22" t="s">
        <v>95</v>
      </c>
      <c r="B58" s="24">
        <v>16.0</v>
      </c>
      <c r="C58" s="24">
        <v>12.0</v>
      </c>
      <c r="D58" s="24">
        <v>16.0</v>
      </c>
      <c r="E58" s="24">
        <v>12.0</v>
      </c>
    </row>
    <row r="59">
      <c r="A59" s="22" t="s">
        <v>96</v>
      </c>
      <c r="B59" s="24">
        <v>8.0</v>
      </c>
      <c r="C59" s="24">
        <v>5.0</v>
      </c>
      <c r="D59" s="24">
        <v>11.0</v>
      </c>
      <c r="E59" s="24">
        <v>11.0</v>
      </c>
    </row>
    <row r="60">
      <c r="A60" s="22" t="s">
        <v>111</v>
      </c>
      <c r="B60" s="24"/>
      <c r="C60" s="24"/>
      <c r="D60" s="24"/>
      <c r="E60" s="24"/>
    </row>
    <row r="61">
      <c r="A61" s="22" t="s">
        <v>98</v>
      </c>
      <c r="B61" s="24">
        <v>1.0</v>
      </c>
      <c r="C61" s="24">
        <v>1.0</v>
      </c>
      <c r="D61" s="24">
        <v>1.0</v>
      </c>
      <c r="E61" s="24">
        <v>1.0</v>
      </c>
    </row>
    <row r="62">
      <c r="A62" s="22" t="s">
        <v>112</v>
      </c>
      <c r="B62" s="26">
        <f>round(((B57/B56)*100),2)</f>
        <v>89.8</v>
      </c>
      <c r="C62" s="26">
        <f>round(((C57/C56)*100),2)</f>
        <v>91.11</v>
      </c>
      <c r="D62" s="26">
        <f>round(((D57/D56)*100),2)</f>
        <v>88.88</v>
      </c>
      <c r="E62" s="26">
        <f>round(((E57/E56)*100),2)</f>
        <v>88.51</v>
      </c>
    </row>
    <row r="63">
      <c r="A63" s="22" t="s">
        <v>100</v>
      </c>
      <c r="B63" s="24">
        <v>625.0</v>
      </c>
      <c r="C63" s="24">
        <v>626.0</v>
      </c>
      <c r="D63" s="24">
        <v>610.0</v>
      </c>
      <c r="E63" s="24">
        <v>614.0</v>
      </c>
    </row>
    <row r="64">
      <c r="A64" s="11" t="s">
        <v>471</v>
      </c>
      <c r="C64" s="3" t="s">
        <v>662</v>
      </c>
      <c r="D64" s="3" t="s">
        <v>132</v>
      </c>
    </row>
    <row r="65">
      <c r="A65" s="25" t="s">
        <v>178</v>
      </c>
      <c r="B65" s="24" t="s">
        <v>697</v>
      </c>
      <c r="C65" s="24" t="s">
        <v>492</v>
      </c>
    </row>
    <row r="66">
      <c r="A66" s="25" t="s">
        <v>103</v>
      </c>
      <c r="B66" s="24" t="s">
        <v>698</v>
      </c>
      <c r="D66" s="24" t="s">
        <v>699</v>
      </c>
    </row>
    <row r="69">
      <c r="A69" s="44" t="s">
        <v>50</v>
      </c>
      <c r="B69" s="46">
        <v>45788.0</v>
      </c>
    </row>
    <row r="70">
      <c r="B70" s="21" t="s">
        <v>4</v>
      </c>
      <c r="C70" s="21" t="s">
        <v>5</v>
      </c>
      <c r="D70" s="21" t="s">
        <v>6</v>
      </c>
      <c r="E70" s="21" t="s">
        <v>7</v>
      </c>
      <c r="G70" s="3" t="s">
        <v>700</v>
      </c>
    </row>
    <row r="71">
      <c r="A71" s="22" t="s">
        <v>91</v>
      </c>
      <c r="B71" s="24">
        <v>66.6</v>
      </c>
      <c r="C71" s="24">
        <v>65.5</v>
      </c>
      <c r="D71" s="24">
        <v>71.5</v>
      </c>
      <c r="E71" s="24">
        <v>69.4</v>
      </c>
      <c r="G71" s="3" t="s">
        <v>604</v>
      </c>
    </row>
    <row r="72">
      <c r="A72" s="22" t="s">
        <v>92</v>
      </c>
      <c r="B72" s="24">
        <v>4.0</v>
      </c>
      <c r="C72" s="24">
        <v>6.0</v>
      </c>
      <c r="D72" s="24">
        <v>7.0</v>
      </c>
      <c r="E72" s="24">
        <v>7.0</v>
      </c>
      <c r="G72" s="3" t="s">
        <v>701</v>
      </c>
    </row>
    <row r="73">
      <c r="A73" s="22" t="s">
        <v>93</v>
      </c>
      <c r="B73" s="24">
        <f t="shared" ref="B73:E73" si="8">B56-B72</f>
        <v>20876</v>
      </c>
      <c r="C73" s="24">
        <f t="shared" si="8"/>
        <v>20607</v>
      </c>
      <c r="D73" s="24">
        <f t="shared" si="8"/>
        <v>20582</v>
      </c>
      <c r="E73" s="24">
        <f t="shared" si="8"/>
        <v>20805</v>
      </c>
    </row>
    <row r="74">
      <c r="A74" s="22" t="s">
        <v>94</v>
      </c>
      <c r="B74" s="23">
        <f t="shared" ref="B74:E74" si="9">B80*30</f>
        <v>18750</v>
      </c>
      <c r="C74" s="23">
        <f t="shared" si="9"/>
        <v>18600</v>
      </c>
      <c r="D74" s="23">
        <f t="shared" si="9"/>
        <v>18180</v>
      </c>
      <c r="E74" s="23">
        <f t="shared" si="9"/>
        <v>18810</v>
      </c>
    </row>
    <row r="75">
      <c r="A75" s="22" t="s">
        <v>95</v>
      </c>
      <c r="B75" s="24">
        <v>16.0</v>
      </c>
      <c r="C75" s="24">
        <v>7.0</v>
      </c>
      <c r="D75" s="24">
        <v>19.0</v>
      </c>
      <c r="E75" s="24">
        <v>16.0</v>
      </c>
    </row>
    <row r="76">
      <c r="A76" s="22" t="s">
        <v>96</v>
      </c>
      <c r="B76" s="24">
        <v>13.0</v>
      </c>
      <c r="C76" s="24">
        <v>6.0</v>
      </c>
      <c r="D76" s="24">
        <v>13.0</v>
      </c>
      <c r="E76" s="24">
        <v>11.0</v>
      </c>
    </row>
    <row r="77">
      <c r="A77" s="22" t="s">
        <v>111</v>
      </c>
      <c r="B77" s="24"/>
      <c r="C77" s="24"/>
      <c r="D77" s="24"/>
      <c r="E77" s="24"/>
    </row>
    <row r="78">
      <c r="A78" s="22" t="s">
        <v>98</v>
      </c>
      <c r="B78" s="24">
        <v>1.0</v>
      </c>
      <c r="C78" s="24">
        <v>1.0</v>
      </c>
      <c r="D78" s="24">
        <v>1.0</v>
      </c>
      <c r="E78" s="24">
        <v>1.0</v>
      </c>
    </row>
    <row r="79">
      <c r="A79" s="22" t="s">
        <v>112</v>
      </c>
      <c r="B79" s="26">
        <f>round(((B74/B73)*100),2)</f>
        <v>89.82</v>
      </c>
      <c r="C79" s="26">
        <f>round(((C74/C73)*100),2)</f>
        <v>90.26</v>
      </c>
      <c r="D79" s="26">
        <f>round(((D74/D73)*100),2)</f>
        <v>88.33</v>
      </c>
      <c r="E79" s="26">
        <f>round(((E74/E73)*100),2)</f>
        <v>90.41</v>
      </c>
    </row>
    <row r="80">
      <c r="A80" s="22" t="s">
        <v>100</v>
      </c>
      <c r="B80" s="24">
        <v>625.0</v>
      </c>
      <c r="C80" s="24">
        <v>620.0</v>
      </c>
      <c r="D80" s="24">
        <v>606.0</v>
      </c>
      <c r="E80" s="24">
        <v>627.0</v>
      </c>
    </row>
    <row r="81">
      <c r="A81" s="11" t="s">
        <v>471</v>
      </c>
      <c r="C81" s="3" t="s">
        <v>662</v>
      </c>
      <c r="D81" s="3" t="s">
        <v>132</v>
      </c>
    </row>
    <row r="82">
      <c r="A82" s="25" t="s">
        <v>178</v>
      </c>
      <c r="B82" s="24" t="s">
        <v>702</v>
      </c>
      <c r="C82" s="24" t="s">
        <v>126</v>
      </c>
    </row>
    <row r="83">
      <c r="A83" s="25" t="s">
        <v>103</v>
      </c>
      <c r="B83" s="24" t="s">
        <v>703</v>
      </c>
      <c r="D83" s="24" t="s">
        <v>704</v>
      </c>
    </row>
    <row r="86">
      <c r="A86" s="44" t="s">
        <v>50</v>
      </c>
      <c r="B86" s="46">
        <v>45819.0</v>
      </c>
    </row>
    <row r="87">
      <c r="B87" s="21" t="s">
        <v>4</v>
      </c>
      <c r="C87" s="21" t="s">
        <v>5</v>
      </c>
      <c r="D87" s="21" t="s">
        <v>6</v>
      </c>
      <c r="E87" s="21" t="s">
        <v>7</v>
      </c>
    </row>
    <row r="88">
      <c r="A88" s="22" t="s">
        <v>91</v>
      </c>
      <c r="B88" s="24">
        <v>66.7</v>
      </c>
      <c r="C88" s="24">
        <v>65.6</v>
      </c>
      <c r="D88" s="24">
        <v>71.6</v>
      </c>
      <c r="E88" s="24">
        <v>69.5</v>
      </c>
      <c r="G88" s="3" t="s">
        <v>296</v>
      </c>
    </row>
    <row r="89">
      <c r="A89" s="22" t="s">
        <v>92</v>
      </c>
      <c r="B89" s="24">
        <v>3.0</v>
      </c>
      <c r="C89" s="24">
        <v>6.0</v>
      </c>
      <c r="D89" s="24">
        <v>4.0</v>
      </c>
      <c r="E89" s="24">
        <v>7.0</v>
      </c>
    </row>
    <row r="90">
      <c r="A90" s="22" t="s">
        <v>93</v>
      </c>
      <c r="B90" s="24">
        <f t="shared" ref="B90:E90" si="10">B73-B89</f>
        <v>20873</v>
      </c>
      <c r="C90" s="24">
        <f t="shared" si="10"/>
        <v>20601</v>
      </c>
      <c r="D90" s="24">
        <f t="shared" si="10"/>
        <v>20578</v>
      </c>
      <c r="E90" s="24">
        <f t="shared" si="10"/>
        <v>20798</v>
      </c>
    </row>
    <row r="91">
      <c r="A91" s="22" t="s">
        <v>94</v>
      </c>
      <c r="B91" s="23">
        <f t="shared" ref="B91:E91" si="11">B97*30</f>
        <v>18750</v>
      </c>
      <c r="C91" s="23">
        <f t="shared" si="11"/>
        <v>18540</v>
      </c>
      <c r="D91" s="23">
        <f t="shared" si="11"/>
        <v>18150</v>
      </c>
      <c r="E91" s="23">
        <f t="shared" si="11"/>
        <v>18870</v>
      </c>
    </row>
    <row r="92">
      <c r="A92" s="22" t="s">
        <v>95</v>
      </c>
      <c r="B92" s="24">
        <v>15.0</v>
      </c>
      <c r="C92" s="24">
        <v>8.0</v>
      </c>
      <c r="D92" s="24">
        <v>24.0</v>
      </c>
      <c r="E92" s="24">
        <v>14.0</v>
      </c>
    </row>
    <row r="93">
      <c r="A93" s="22" t="s">
        <v>96</v>
      </c>
      <c r="B93" s="24">
        <v>13.0</v>
      </c>
      <c r="C93" s="24">
        <v>10.0</v>
      </c>
      <c r="D93" s="24">
        <v>14.0</v>
      </c>
      <c r="E93" s="24">
        <v>17.0</v>
      </c>
    </row>
    <row r="94">
      <c r="A94" s="22" t="s">
        <v>111</v>
      </c>
      <c r="B94" s="24">
        <v>110.0</v>
      </c>
      <c r="C94" s="24">
        <v>110.0</v>
      </c>
      <c r="D94" s="24">
        <v>110.0</v>
      </c>
      <c r="E94" s="24">
        <v>110.0</v>
      </c>
    </row>
    <row r="95">
      <c r="A95" s="22" t="s">
        <v>98</v>
      </c>
      <c r="B95" s="24">
        <v>1.0</v>
      </c>
      <c r="C95" s="24">
        <v>1.0</v>
      </c>
      <c r="D95" s="24">
        <v>1.0</v>
      </c>
      <c r="E95" s="24">
        <v>1.0</v>
      </c>
    </row>
    <row r="96">
      <c r="A96" s="22" t="s">
        <v>112</v>
      </c>
      <c r="B96" s="26">
        <f>round(((B91/B90)*100),2)</f>
        <v>89.83</v>
      </c>
      <c r="C96" s="26">
        <f>round(((C91/C90)*100),2)</f>
        <v>90</v>
      </c>
      <c r="D96" s="26">
        <f>round(((D91/D90)*100),2)</f>
        <v>88.2</v>
      </c>
      <c r="E96" s="26">
        <f>round(((E91/E90)*100),2)</f>
        <v>90.73</v>
      </c>
    </row>
    <row r="97">
      <c r="A97" s="22" t="s">
        <v>100</v>
      </c>
      <c r="B97" s="24">
        <v>625.0</v>
      </c>
      <c r="C97" s="24">
        <v>618.0</v>
      </c>
      <c r="D97" s="24">
        <v>605.0</v>
      </c>
      <c r="E97" s="24">
        <v>629.0</v>
      </c>
    </row>
    <row r="98">
      <c r="A98" s="11" t="s">
        <v>471</v>
      </c>
      <c r="C98" s="3" t="s">
        <v>662</v>
      </c>
      <c r="D98" s="3" t="s">
        <v>132</v>
      </c>
    </row>
    <row r="99">
      <c r="A99" s="25" t="s">
        <v>178</v>
      </c>
      <c r="B99" s="24" t="s">
        <v>705</v>
      </c>
      <c r="C99" s="24" t="s">
        <v>545</v>
      </c>
    </row>
    <row r="100">
      <c r="A100" s="25" t="s">
        <v>103</v>
      </c>
      <c r="B100" s="24"/>
      <c r="D100" s="24" t="s">
        <v>706</v>
      </c>
    </row>
    <row r="103">
      <c r="A103" s="44" t="s">
        <v>50</v>
      </c>
      <c r="B103" s="46">
        <v>45849.0</v>
      </c>
    </row>
    <row r="104">
      <c r="B104" s="21" t="s">
        <v>4</v>
      </c>
      <c r="C104" s="21" t="s">
        <v>5</v>
      </c>
      <c r="D104" s="21" t="s">
        <v>6</v>
      </c>
      <c r="E104" s="21" t="s">
        <v>7</v>
      </c>
    </row>
    <row r="105">
      <c r="A105" s="22" t="s">
        <v>91</v>
      </c>
      <c r="B105" s="24">
        <v>67.1</v>
      </c>
      <c r="C105" s="24">
        <v>65.7</v>
      </c>
      <c r="D105" s="24">
        <v>71.7</v>
      </c>
      <c r="E105" s="24">
        <v>69.6</v>
      </c>
    </row>
    <row r="106">
      <c r="A106" s="22" t="s">
        <v>92</v>
      </c>
      <c r="B106" s="24">
        <v>3.0</v>
      </c>
      <c r="C106" s="24">
        <v>4.0</v>
      </c>
      <c r="D106" s="24">
        <v>0.0</v>
      </c>
      <c r="E106" s="24">
        <v>5.0</v>
      </c>
    </row>
    <row r="107">
      <c r="A107" s="22" t="s">
        <v>93</v>
      </c>
      <c r="B107" s="24">
        <f t="shared" ref="B107:E107" si="12">B90-B106</f>
        <v>20870</v>
      </c>
      <c r="C107" s="24">
        <f t="shared" si="12"/>
        <v>20597</v>
      </c>
      <c r="D107" s="24">
        <f t="shared" si="12"/>
        <v>20578</v>
      </c>
      <c r="E107" s="24">
        <f t="shared" si="12"/>
        <v>20793</v>
      </c>
      <c r="G107" s="3" t="s">
        <v>330</v>
      </c>
    </row>
    <row r="108">
      <c r="A108" s="22" t="s">
        <v>94</v>
      </c>
      <c r="B108" s="23">
        <f t="shared" ref="B108:E108" si="13">B114*30</f>
        <v>18750</v>
      </c>
      <c r="C108" s="23">
        <f t="shared" si="13"/>
        <v>18480</v>
      </c>
      <c r="D108" s="23">
        <f t="shared" si="13"/>
        <v>18300</v>
      </c>
      <c r="E108" s="23">
        <f t="shared" si="13"/>
        <v>18900</v>
      </c>
    </row>
    <row r="109">
      <c r="A109" s="22" t="s">
        <v>95</v>
      </c>
      <c r="B109" s="24">
        <v>17.0</v>
      </c>
      <c r="C109" s="24">
        <v>18.0</v>
      </c>
      <c r="D109" s="24">
        <v>19.0</v>
      </c>
      <c r="E109" s="24">
        <v>7.0</v>
      </c>
    </row>
    <row r="110">
      <c r="A110" s="22" t="s">
        <v>96</v>
      </c>
      <c r="B110" s="24">
        <v>12.0</v>
      </c>
      <c r="C110" s="24">
        <v>4.0</v>
      </c>
      <c r="D110" s="24">
        <v>13.0</v>
      </c>
      <c r="E110" s="24">
        <v>10.0</v>
      </c>
    </row>
    <row r="111">
      <c r="A111" s="22" t="s">
        <v>111</v>
      </c>
      <c r="B111" s="24"/>
      <c r="C111" s="24"/>
      <c r="D111" s="24"/>
      <c r="E111" s="24"/>
    </row>
    <row r="112">
      <c r="A112" s="22" t="s">
        <v>98</v>
      </c>
      <c r="B112" s="24">
        <v>1.0</v>
      </c>
      <c r="C112" s="24">
        <v>1.0</v>
      </c>
      <c r="D112" s="24">
        <v>1.0</v>
      </c>
      <c r="E112" s="24">
        <v>1.0</v>
      </c>
    </row>
    <row r="113">
      <c r="A113" s="22" t="s">
        <v>112</v>
      </c>
      <c r="B113" s="26">
        <f>round(((B108/B107)*100),2)</f>
        <v>89.84</v>
      </c>
      <c r="C113" s="26">
        <f>round(((C108/C107)*100),2)</f>
        <v>89.72</v>
      </c>
      <c r="D113" s="26">
        <f>round(((D108/D107)*100),2)</f>
        <v>88.93</v>
      </c>
      <c r="E113" s="26">
        <f>round(((E108/E107)*100),2)</f>
        <v>90.9</v>
      </c>
    </row>
    <row r="114">
      <c r="A114" s="22" t="s">
        <v>100</v>
      </c>
      <c r="B114" s="24">
        <v>625.0</v>
      </c>
      <c r="C114" s="24">
        <v>616.0</v>
      </c>
      <c r="D114" s="24">
        <v>610.0</v>
      </c>
      <c r="E114" s="24">
        <v>630.0</v>
      </c>
    </row>
    <row r="115">
      <c r="A115" s="11" t="s">
        <v>471</v>
      </c>
      <c r="C115" s="3" t="s">
        <v>662</v>
      </c>
      <c r="D115" s="3" t="s">
        <v>132</v>
      </c>
    </row>
    <row r="116">
      <c r="A116" s="25" t="s">
        <v>178</v>
      </c>
      <c r="B116" s="24" t="s">
        <v>479</v>
      </c>
      <c r="C116" s="24" t="s">
        <v>185</v>
      </c>
    </row>
    <row r="117">
      <c r="A117" s="25" t="s">
        <v>103</v>
      </c>
      <c r="B117" s="24" t="s">
        <v>707</v>
      </c>
      <c r="D117" s="24" t="s">
        <v>708</v>
      </c>
    </row>
    <row r="120">
      <c r="A120" s="44" t="s">
        <v>50</v>
      </c>
      <c r="B120" s="46">
        <v>45880.0</v>
      </c>
    </row>
    <row r="121">
      <c r="B121" s="21" t="s">
        <v>4</v>
      </c>
      <c r="C121" s="21" t="s">
        <v>5</v>
      </c>
      <c r="D121" s="21" t="s">
        <v>6</v>
      </c>
      <c r="E121" s="21" t="s">
        <v>7</v>
      </c>
      <c r="G121" s="3" t="s">
        <v>709</v>
      </c>
    </row>
    <row r="122">
      <c r="A122" s="22" t="s">
        <v>91</v>
      </c>
      <c r="B122" s="24">
        <v>67.2</v>
      </c>
      <c r="C122" s="24">
        <v>66.1</v>
      </c>
      <c r="D122" s="24">
        <v>72.1</v>
      </c>
      <c r="E122" s="24">
        <v>69.7</v>
      </c>
      <c r="G122" s="3" t="s">
        <v>649</v>
      </c>
    </row>
    <row r="123">
      <c r="A123" s="22" t="s">
        <v>92</v>
      </c>
      <c r="B123" s="24">
        <v>6.0</v>
      </c>
      <c r="C123" s="24">
        <v>6.0</v>
      </c>
      <c r="D123" s="24">
        <v>1.0</v>
      </c>
      <c r="E123" s="24">
        <v>2.0</v>
      </c>
      <c r="G123" s="3" t="s">
        <v>686</v>
      </c>
    </row>
    <row r="124">
      <c r="A124" s="22" t="s">
        <v>93</v>
      </c>
      <c r="B124" s="24">
        <f t="shared" ref="B124:E124" si="14">B107-B123</f>
        <v>20864</v>
      </c>
      <c r="C124" s="24">
        <f t="shared" si="14"/>
        <v>20591</v>
      </c>
      <c r="D124" s="24">
        <f t="shared" si="14"/>
        <v>20577</v>
      </c>
      <c r="E124" s="24">
        <f t="shared" si="14"/>
        <v>20791</v>
      </c>
    </row>
    <row r="125">
      <c r="A125" s="22" t="s">
        <v>94</v>
      </c>
      <c r="B125" s="23">
        <f t="shared" ref="B125:E125" si="15">B131*30</f>
        <v>18720</v>
      </c>
      <c r="C125" s="23">
        <f t="shared" si="15"/>
        <v>18330</v>
      </c>
      <c r="D125" s="23">
        <f t="shared" si="15"/>
        <v>18330</v>
      </c>
      <c r="E125" s="23">
        <f t="shared" si="15"/>
        <v>18630</v>
      </c>
    </row>
    <row r="126">
      <c r="A126" s="22" t="s">
        <v>95</v>
      </c>
      <c r="B126" s="24">
        <v>18.0</v>
      </c>
      <c r="C126" s="24">
        <v>15.0</v>
      </c>
      <c r="D126" s="24">
        <v>15.0</v>
      </c>
      <c r="E126" s="24">
        <v>13.0</v>
      </c>
    </row>
    <row r="127">
      <c r="A127" s="22" t="s">
        <v>96</v>
      </c>
      <c r="B127" s="24">
        <v>13.0</v>
      </c>
      <c r="C127" s="24">
        <v>8.0</v>
      </c>
      <c r="D127" s="24">
        <v>12.0</v>
      </c>
      <c r="E127" s="24">
        <v>20.0</v>
      </c>
    </row>
    <row r="128">
      <c r="A128" s="22" t="s">
        <v>111</v>
      </c>
      <c r="B128" s="24">
        <v>55.0</v>
      </c>
      <c r="C128" s="24">
        <v>55.0</v>
      </c>
      <c r="D128" s="24">
        <v>55.0</v>
      </c>
      <c r="E128" s="24">
        <v>55.0</v>
      </c>
    </row>
    <row r="129">
      <c r="A129" s="22" t="s">
        <v>98</v>
      </c>
      <c r="B129" s="24">
        <v>1.0</v>
      </c>
      <c r="C129" s="24">
        <v>1.0</v>
      </c>
      <c r="D129" s="24">
        <v>1.0</v>
      </c>
      <c r="E129" s="24">
        <v>1.0</v>
      </c>
    </row>
    <row r="130">
      <c r="A130" s="22" t="s">
        <v>112</v>
      </c>
      <c r="B130" s="26">
        <f>round(((B125/B124)*100),2)</f>
        <v>89.72</v>
      </c>
      <c r="C130" s="26">
        <f>round(((C125/C124)*100),2)</f>
        <v>89.02</v>
      </c>
      <c r="D130" s="26">
        <f>round(((D125/D124)*100),2)</f>
        <v>89.08</v>
      </c>
      <c r="E130" s="26">
        <f>round(((E125/E124)*100),2)</f>
        <v>89.61</v>
      </c>
    </row>
    <row r="131">
      <c r="A131" s="22" t="s">
        <v>100</v>
      </c>
      <c r="B131" s="24">
        <v>624.0</v>
      </c>
      <c r="C131" s="24">
        <v>611.0</v>
      </c>
      <c r="D131" s="24">
        <v>611.0</v>
      </c>
      <c r="E131" s="24">
        <v>621.0</v>
      </c>
    </row>
    <row r="132">
      <c r="A132" s="11" t="s">
        <v>471</v>
      </c>
      <c r="C132" s="3" t="s">
        <v>662</v>
      </c>
      <c r="D132" s="3" t="s">
        <v>132</v>
      </c>
    </row>
    <row r="133">
      <c r="A133" s="25" t="s">
        <v>178</v>
      </c>
      <c r="B133" s="24" t="s">
        <v>676</v>
      </c>
      <c r="C133" s="24" t="s">
        <v>126</v>
      </c>
    </row>
    <row r="134">
      <c r="A134" s="25" t="s">
        <v>103</v>
      </c>
      <c r="B134" s="24" t="s">
        <v>710</v>
      </c>
      <c r="D134" s="24" t="s">
        <v>711</v>
      </c>
    </row>
    <row r="137">
      <c r="A137" s="44" t="s">
        <v>50</v>
      </c>
      <c r="B137" s="46">
        <v>45911.0</v>
      </c>
    </row>
    <row r="138">
      <c r="B138" s="21" t="s">
        <v>4</v>
      </c>
      <c r="C138" s="21" t="s">
        <v>5</v>
      </c>
      <c r="D138" s="21" t="s">
        <v>6</v>
      </c>
      <c r="E138" s="21" t="s">
        <v>7</v>
      </c>
      <c r="G138" s="3" t="s">
        <v>296</v>
      </c>
    </row>
    <row r="139">
      <c r="A139" s="22" t="s">
        <v>91</v>
      </c>
      <c r="B139" s="24">
        <v>67.3</v>
      </c>
      <c r="C139" s="24">
        <v>66.2</v>
      </c>
      <c r="D139" s="24">
        <v>72.2</v>
      </c>
      <c r="E139" s="24">
        <v>70.1</v>
      </c>
      <c r="G139" s="3" t="s">
        <v>712</v>
      </c>
    </row>
    <row r="140">
      <c r="A140" s="22" t="s">
        <v>92</v>
      </c>
      <c r="B140" s="24">
        <v>6.0</v>
      </c>
      <c r="C140" s="24">
        <v>2.0</v>
      </c>
      <c r="D140" s="24">
        <v>6.0</v>
      </c>
      <c r="E140" s="24">
        <v>4.0</v>
      </c>
      <c r="G140" s="3" t="s">
        <v>332</v>
      </c>
    </row>
    <row r="141">
      <c r="A141" s="22" t="s">
        <v>93</v>
      </c>
      <c r="B141" s="24">
        <f t="shared" ref="B141:E141" si="16">B124-B140</f>
        <v>20858</v>
      </c>
      <c r="C141" s="24">
        <f t="shared" si="16"/>
        <v>20589</v>
      </c>
      <c r="D141" s="24">
        <f t="shared" si="16"/>
        <v>20571</v>
      </c>
      <c r="E141" s="24">
        <f t="shared" si="16"/>
        <v>20787</v>
      </c>
    </row>
    <row r="142">
      <c r="A142" s="22" t="s">
        <v>94</v>
      </c>
      <c r="B142" s="23">
        <f t="shared" ref="B142:E142" si="17">B148*30</f>
        <v>18630</v>
      </c>
      <c r="C142" s="23">
        <f t="shared" si="17"/>
        <v>18540</v>
      </c>
      <c r="D142" s="23">
        <f t="shared" si="17"/>
        <v>18330</v>
      </c>
      <c r="E142" s="23">
        <f t="shared" si="17"/>
        <v>18510</v>
      </c>
    </row>
    <row r="143">
      <c r="A143" s="22" t="s">
        <v>95</v>
      </c>
      <c r="B143" s="24">
        <v>21.0</v>
      </c>
      <c r="C143" s="24">
        <v>5.0</v>
      </c>
      <c r="D143" s="24">
        <v>22.0</v>
      </c>
      <c r="E143" s="24">
        <v>13.0</v>
      </c>
    </row>
    <row r="144">
      <c r="A144" s="22" t="s">
        <v>96</v>
      </c>
      <c r="B144" s="24">
        <v>11.0</v>
      </c>
      <c r="C144" s="24">
        <v>4.0</v>
      </c>
      <c r="D144" s="24">
        <v>13.0</v>
      </c>
      <c r="E144" s="24">
        <v>9.0</v>
      </c>
    </row>
    <row r="145">
      <c r="A145" s="22" t="s">
        <v>111</v>
      </c>
      <c r="B145" s="24"/>
      <c r="C145" s="24"/>
      <c r="D145" s="24"/>
      <c r="E145" s="24"/>
    </row>
    <row r="146">
      <c r="A146" s="22" t="s">
        <v>98</v>
      </c>
      <c r="B146" s="24">
        <v>1.0</v>
      </c>
      <c r="C146" s="24">
        <v>1.0</v>
      </c>
      <c r="D146" s="24">
        <v>1.0</v>
      </c>
      <c r="E146" s="24">
        <v>1.0</v>
      </c>
    </row>
    <row r="147">
      <c r="A147" s="22" t="s">
        <v>112</v>
      </c>
      <c r="B147" s="26">
        <f>round(((B142/B141)*100),2)</f>
        <v>89.32</v>
      </c>
      <c r="C147" s="26">
        <f>round(((C142/C141)*100),2)</f>
        <v>90.05</v>
      </c>
      <c r="D147" s="26">
        <f>round(((D142/D141)*100),2)</f>
        <v>89.11</v>
      </c>
      <c r="E147" s="26">
        <f>round(((E142/E141)*100),2)</f>
        <v>89.05</v>
      </c>
    </row>
    <row r="148">
      <c r="A148" s="22" t="s">
        <v>100</v>
      </c>
      <c r="B148" s="24">
        <v>621.0</v>
      </c>
      <c r="C148" s="24">
        <v>618.0</v>
      </c>
      <c r="D148" s="24">
        <v>611.0</v>
      </c>
      <c r="E148" s="24">
        <v>617.0</v>
      </c>
    </row>
    <row r="149">
      <c r="A149" s="11" t="s">
        <v>471</v>
      </c>
      <c r="C149" s="3" t="s">
        <v>662</v>
      </c>
      <c r="D149" s="3" t="s">
        <v>132</v>
      </c>
    </row>
    <row r="150">
      <c r="A150" s="25" t="s">
        <v>178</v>
      </c>
      <c r="B150" s="24" t="s">
        <v>702</v>
      </c>
      <c r="C150" s="24" t="s">
        <v>126</v>
      </c>
    </row>
    <row r="151">
      <c r="A151" s="25" t="s">
        <v>103</v>
      </c>
      <c r="B151" s="24" t="s">
        <v>713</v>
      </c>
      <c r="D151" s="24" t="s">
        <v>711</v>
      </c>
    </row>
    <row r="154">
      <c r="A154" s="44" t="s">
        <v>50</v>
      </c>
      <c r="B154" s="46">
        <v>45941.0</v>
      </c>
    </row>
    <row r="155">
      <c r="B155" s="21" t="s">
        <v>4</v>
      </c>
      <c r="C155" s="21" t="s">
        <v>5</v>
      </c>
      <c r="D155" s="21" t="s">
        <v>6</v>
      </c>
      <c r="E155" s="21" t="s">
        <v>7</v>
      </c>
      <c r="G155" s="3" t="s">
        <v>334</v>
      </c>
    </row>
    <row r="156">
      <c r="A156" s="22" t="s">
        <v>91</v>
      </c>
      <c r="B156" s="24">
        <v>67.4</v>
      </c>
      <c r="C156" s="24">
        <v>66.3</v>
      </c>
      <c r="D156" s="24">
        <v>72.3</v>
      </c>
      <c r="E156" s="24">
        <v>70.2</v>
      </c>
    </row>
    <row r="157">
      <c r="A157" s="22" t="s">
        <v>92</v>
      </c>
      <c r="B157" s="24">
        <v>7.0</v>
      </c>
      <c r="C157" s="24">
        <v>4.0</v>
      </c>
      <c r="D157" s="24">
        <v>1.0</v>
      </c>
      <c r="E157" s="24">
        <v>6.0</v>
      </c>
    </row>
    <row r="158">
      <c r="A158" s="22" t="s">
        <v>93</v>
      </c>
      <c r="B158" s="24">
        <f t="shared" ref="B158:E158" si="18">B141-B157</f>
        <v>20851</v>
      </c>
      <c r="C158" s="24">
        <f t="shared" si="18"/>
        <v>20585</v>
      </c>
      <c r="D158" s="24">
        <f t="shared" si="18"/>
        <v>20570</v>
      </c>
      <c r="E158" s="24">
        <f t="shared" si="18"/>
        <v>20781</v>
      </c>
    </row>
    <row r="159">
      <c r="A159" s="22" t="s">
        <v>94</v>
      </c>
      <c r="B159" s="23">
        <f t="shared" ref="B159:E159" si="19">B165*30</f>
        <v>18480</v>
      </c>
      <c r="C159" s="23">
        <f t="shared" si="19"/>
        <v>18450</v>
      </c>
      <c r="D159" s="23">
        <f t="shared" si="19"/>
        <v>18060</v>
      </c>
      <c r="E159" s="23">
        <f t="shared" si="19"/>
        <v>18660</v>
      </c>
    </row>
    <row r="160">
      <c r="A160" s="22" t="s">
        <v>95</v>
      </c>
      <c r="B160" s="24">
        <v>13.0</v>
      </c>
      <c r="C160" s="24">
        <v>24.0</v>
      </c>
      <c r="D160" s="24">
        <v>17.0</v>
      </c>
      <c r="E160" s="24">
        <v>3.0</v>
      </c>
    </row>
    <row r="161">
      <c r="A161" s="22" t="s">
        <v>96</v>
      </c>
      <c r="B161" s="24">
        <v>8.0</v>
      </c>
      <c r="C161" s="24">
        <v>7.0</v>
      </c>
      <c r="D161" s="24">
        <v>14.0</v>
      </c>
      <c r="E161" s="24">
        <v>8.0</v>
      </c>
    </row>
    <row r="162">
      <c r="A162" s="22" t="s">
        <v>111</v>
      </c>
      <c r="B162" s="24">
        <v>110.0</v>
      </c>
      <c r="C162" s="24">
        <v>110.0</v>
      </c>
      <c r="D162" s="24">
        <v>110.0</v>
      </c>
      <c r="E162" s="24">
        <v>110.0</v>
      </c>
    </row>
    <row r="163">
      <c r="A163" s="22" t="s">
        <v>98</v>
      </c>
      <c r="B163" s="24">
        <v>1.0</v>
      </c>
      <c r="C163" s="24">
        <v>1.0</v>
      </c>
      <c r="D163" s="24">
        <v>1.0</v>
      </c>
      <c r="E163" s="24">
        <v>1.0</v>
      </c>
    </row>
    <row r="164">
      <c r="A164" s="22" t="s">
        <v>112</v>
      </c>
      <c r="B164" s="26">
        <f>round(((B159/B158)*100),2)</f>
        <v>88.63</v>
      </c>
      <c r="C164" s="26">
        <f>round(((C159/C158)*100),2)</f>
        <v>89.63</v>
      </c>
      <c r="D164" s="26">
        <f>round(((D159/D158)*100),2)</f>
        <v>87.8</v>
      </c>
      <c r="E164" s="26">
        <f>round(((E159/E158)*100),2)</f>
        <v>89.79</v>
      </c>
    </row>
    <row r="165">
      <c r="A165" s="22" t="s">
        <v>100</v>
      </c>
      <c r="B165" s="24">
        <v>616.0</v>
      </c>
      <c r="C165" s="24">
        <v>615.0</v>
      </c>
      <c r="D165" s="24">
        <v>602.0</v>
      </c>
      <c r="E165" s="24">
        <v>622.0</v>
      </c>
    </row>
    <row r="166">
      <c r="A166" s="11" t="s">
        <v>471</v>
      </c>
      <c r="C166" s="3" t="s">
        <v>662</v>
      </c>
      <c r="D166" s="3" t="s">
        <v>132</v>
      </c>
    </row>
    <row r="167">
      <c r="A167" s="25" t="s">
        <v>178</v>
      </c>
      <c r="B167" s="24" t="s">
        <v>714</v>
      </c>
      <c r="C167" s="24" t="s">
        <v>492</v>
      </c>
    </row>
    <row r="168">
      <c r="A168" s="25" t="s">
        <v>103</v>
      </c>
      <c r="B168" s="24" t="s">
        <v>715</v>
      </c>
      <c r="D168" s="24" t="s">
        <v>716</v>
      </c>
    </row>
    <row r="171">
      <c r="A171" s="44" t="s">
        <v>50</v>
      </c>
      <c r="B171" s="46">
        <v>45972.0</v>
      </c>
    </row>
    <row r="172">
      <c r="B172" s="21" t="s">
        <v>4</v>
      </c>
      <c r="C172" s="21" t="s">
        <v>5</v>
      </c>
      <c r="D172" s="21" t="s">
        <v>6</v>
      </c>
      <c r="E172" s="21" t="s">
        <v>7</v>
      </c>
    </row>
    <row r="173">
      <c r="A173" s="22" t="s">
        <v>91</v>
      </c>
      <c r="B173" s="24">
        <v>67.5</v>
      </c>
      <c r="C173" s="24">
        <v>66.4</v>
      </c>
      <c r="D173" s="24">
        <v>72.4</v>
      </c>
      <c r="E173" s="24">
        <v>70.3</v>
      </c>
      <c r="G173" s="3" t="s">
        <v>717</v>
      </c>
    </row>
    <row r="174">
      <c r="A174" s="22" t="s">
        <v>92</v>
      </c>
      <c r="B174" s="24">
        <v>3.0</v>
      </c>
      <c r="C174" s="24">
        <v>3.0</v>
      </c>
      <c r="D174" s="24">
        <v>5.0</v>
      </c>
      <c r="E174" s="24">
        <v>7.0</v>
      </c>
    </row>
    <row r="175">
      <c r="A175" s="22" t="s">
        <v>93</v>
      </c>
      <c r="B175" s="24">
        <f t="shared" ref="B175:E175" si="20">B158-B174</f>
        <v>20848</v>
      </c>
      <c r="C175" s="24">
        <f t="shared" si="20"/>
        <v>20582</v>
      </c>
      <c r="D175" s="24">
        <f t="shared" si="20"/>
        <v>20565</v>
      </c>
      <c r="E175" s="24">
        <f t="shared" si="20"/>
        <v>20774</v>
      </c>
    </row>
    <row r="176">
      <c r="A176" s="22" t="s">
        <v>94</v>
      </c>
      <c r="B176" s="23">
        <f t="shared" ref="B176:E176" si="21">B182*30</f>
        <v>18600</v>
      </c>
      <c r="C176" s="23">
        <f t="shared" si="21"/>
        <v>18450</v>
      </c>
      <c r="D176" s="23">
        <f t="shared" si="21"/>
        <v>18060</v>
      </c>
      <c r="E176" s="23">
        <f t="shared" si="21"/>
        <v>18780</v>
      </c>
    </row>
    <row r="177">
      <c r="A177" s="22" t="s">
        <v>95</v>
      </c>
      <c r="B177" s="24">
        <v>16.0</v>
      </c>
      <c r="C177" s="24">
        <v>20.0</v>
      </c>
      <c r="D177" s="24">
        <v>14.0</v>
      </c>
      <c r="E177" s="24">
        <v>5.0</v>
      </c>
    </row>
    <row r="178">
      <c r="A178" s="22" t="s">
        <v>96</v>
      </c>
      <c r="B178" s="24">
        <v>8.0</v>
      </c>
      <c r="C178" s="24">
        <v>6.0</v>
      </c>
      <c r="D178" s="24">
        <v>13.0</v>
      </c>
      <c r="E178" s="24">
        <v>9.0</v>
      </c>
    </row>
    <row r="179">
      <c r="A179" s="22" t="s">
        <v>111</v>
      </c>
      <c r="B179" s="24"/>
      <c r="C179" s="24"/>
      <c r="D179" s="24"/>
      <c r="E179" s="24"/>
    </row>
    <row r="180">
      <c r="A180" s="22" t="s">
        <v>98</v>
      </c>
      <c r="B180" s="24">
        <v>1.0</v>
      </c>
      <c r="C180" s="24">
        <v>1.0</v>
      </c>
      <c r="D180" s="24">
        <v>1.0</v>
      </c>
      <c r="E180" s="24">
        <v>1.0</v>
      </c>
    </row>
    <row r="181">
      <c r="A181" s="22" t="s">
        <v>112</v>
      </c>
      <c r="B181" s="26">
        <f>round(((B176/B175)*100),2)</f>
        <v>89.22</v>
      </c>
      <c r="C181" s="26">
        <f>round(((C176/C175)*100),2)</f>
        <v>89.64</v>
      </c>
      <c r="D181" s="26">
        <f>round(((D176/D175)*100),2)</f>
        <v>87.82</v>
      </c>
      <c r="E181" s="26">
        <f>round(((E176/E175)*100),2)</f>
        <v>90.4</v>
      </c>
    </row>
    <row r="182">
      <c r="A182" s="22" t="s">
        <v>100</v>
      </c>
      <c r="B182" s="24">
        <v>620.0</v>
      </c>
      <c r="C182" s="24">
        <v>615.0</v>
      </c>
      <c r="D182" s="24">
        <v>602.0</v>
      </c>
      <c r="E182" s="24">
        <v>626.0</v>
      </c>
    </row>
    <row r="183">
      <c r="A183" s="11" t="s">
        <v>471</v>
      </c>
      <c r="C183" s="3" t="s">
        <v>662</v>
      </c>
      <c r="D183" s="3" t="s">
        <v>132</v>
      </c>
    </row>
    <row r="184">
      <c r="A184" s="25" t="s">
        <v>178</v>
      </c>
      <c r="B184" s="24" t="s">
        <v>702</v>
      </c>
      <c r="C184" s="24" t="s">
        <v>621</v>
      </c>
    </row>
    <row r="185">
      <c r="A185" s="25" t="s">
        <v>103</v>
      </c>
      <c r="B185" s="24"/>
      <c r="D185" s="24" t="s">
        <v>718</v>
      </c>
    </row>
    <row r="188">
      <c r="A188" s="44" t="s">
        <v>50</v>
      </c>
      <c r="B188" s="46">
        <v>46002.0</v>
      </c>
    </row>
    <row r="189">
      <c r="B189" s="21" t="s">
        <v>4</v>
      </c>
      <c r="C189" s="21" t="s">
        <v>5</v>
      </c>
      <c r="D189" s="21" t="s">
        <v>6</v>
      </c>
      <c r="E189" s="21" t="s">
        <v>7</v>
      </c>
      <c r="G189" s="3" t="s">
        <v>719</v>
      </c>
    </row>
    <row r="190">
      <c r="A190" s="22" t="s">
        <v>91</v>
      </c>
      <c r="B190" s="24">
        <v>67.6</v>
      </c>
      <c r="C190" s="24">
        <v>66.5</v>
      </c>
      <c r="D190" s="24">
        <v>72.5</v>
      </c>
      <c r="E190" s="24">
        <v>70.4</v>
      </c>
    </row>
    <row r="191">
      <c r="A191" s="22" t="s">
        <v>92</v>
      </c>
      <c r="B191" s="24">
        <v>3.0</v>
      </c>
      <c r="C191" s="24">
        <v>3.0</v>
      </c>
      <c r="D191" s="24">
        <v>7.0</v>
      </c>
      <c r="E191" s="24">
        <v>2.0</v>
      </c>
    </row>
    <row r="192">
      <c r="A192" s="22" t="s">
        <v>93</v>
      </c>
      <c r="B192" s="24">
        <f t="shared" ref="B192:E192" si="22">B175-B191</f>
        <v>20845</v>
      </c>
      <c r="C192" s="24">
        <f t="shared" si="22"/>
        <v>20579</v>
      </c>
      <c r="D192" s="24">
        <f t="shared" si="22"/>
        <v>20558</v>
      </c>
      <c r="E192" s="24">
        <f t="shared" si="22"/>
        <v>20772</v>
      </c>
    </row>
    <row r="193">
      <c r="A193" s="22" t="s">
        <v>94</v>
      </c>
      <c r="B193" s="23">
        <f t="shared" ref="B193:E193" si="23">B199*30</f>
        <v>18660</v>
      </c>
      <c r="C193" s="23">
        <f t="shared" si="23"/>
        <v>18510</v>
      </c>
      <c r="D193" s="23">
        <f t="shared" si="23"/>
        <v>18180</v>
      </c>
      <c r="E193" s="23">
        <f t="shared" si="23"/>
        <v>18720</v>
      </c>
    </row>
    <row r="194">
      <c r="A194" s="22" t="s">
        <v>95</v>
      </c>
      <c r="B194" s="24">
        <v>19.0</v>
      </c>
      <c r="C194" s="24">
        <v>6.0</v>
      </c>
      <c r="D194" s="24">
        <v>15.0</v>
      </c>
      <c r="E194" s="24">
        <v>7.0</v>
      </c>
    </row>
    <row r="195">
      <c r="A195" s="22" t="s">
        <v>96</v>
      </c>
      <c r="B195" s="24">
        <v>11.0</v>
      </c>
      <c r="C195" s="24">
        <v>2.0</v>
      </c>
      <c r="D195" s="24">
        <v>13.0</v>
      </c>
      <c r="E195" s="24">
        <v>5.0</v>
      </c>
    </row>
    <row r="196">
      <c r="A196" s="22" t="s">
        <v>111</v>
      </c>
      <c r="B196" s="24"/>
      <c r="C196" s="24"/>
      <c r="D196" s="24"/>
      <c r="E196" s="24"/>
    </row>
    <row r="197">
      <c r="A197" s="22" t="s">
        <v>98</v>
      </c>
      <c r="B197" s="24">
        <v>1.0</v>
      </c>
      <c r="C197" s="24">
        <v>1.0</v>
      </c>
      <c r="D197" s="24">
        <v>1.0</v>
      </c>
      <c r="E197" s="24">
        <v>1.0</v>
      </c>
    </row>
    <row r="198">
      <c r="A198" s="22" t="s">
        <v>112</v>
      </c>
      <c r="B198" s="26">
        <f>round(((B193/B192)*100),2)</f>
        <v>89.52</v>
      </c>
      <c r="C198" s="26">
        <f>round(((C193/C192)*100),2)</f>
        <v>89.95</v>
      </c>
      <c r="D198" s="26">
        <f>round(((D193/D192)*100),2)</f>
        <v>88.43</v>
      </c>
      <c r="E198" s="26">
        <f>round(((E193/E192)*100),2)</f>
        <v>90.12</v>
      </c>
    </row>
    <row r="199">
      <c r="A199" s="22" t="s">
        <v>100</v>
      </c>
      <c r="B199" s="24">
        <v>622.0</v>
      </c>
      <c r="C199" s="24">
        <v>617.0</v>
      </c>
      <c r="D199" s="24">
        <v>606.0</v>
      </c>
      <c r="E199" s="24">
        <v>624.0</v>
      </c>
    </row>
    <row r="200">
      <c r="A200" s="11" t="s">
        <v>471</v>
      </c>
      <c r="B200" s="3" t="s">
        <v>720</v>
      </c>
      <c r="C200" s="3" t="s">
        <v>721</v>
      </c>
      <c r="D200" s="3" t="s">
        <v>542</v>
      </c>
      <c r="E200" s="3" t="s">
        <v>722</v>
      </c>
    </row>
    <row r="201">
      <c r="A201" s="25" t="s">
        <v>178</v>
      </c>
      <c r="B201" s="24" t="s">
        <v>673</v>
      </c>
      <c r="C201" s="24" t="s">
        <v>185</v>
      </c>
    </row>
    <row r="202">
      <c r="A202" s="25" t="s">
        <v>103</v>
      </c>
      <c r="B202" s="24" t="s">
        <v>723</v>
      </c>
      <c r="D202" s="24" t="s">
        <v>724</v>
      </c>
    </row>
    <row r="205">
      <c r="A205" s="44" t="s">
        <v>50</v>
      </c>
      <c r="B205" s="20" t="s">
        <v>725</v>
      </c>
    </row>
    <row r="206">
      <c r="B206" s="21" t="s">
        <v>4</v>
      </c>
      <c r="C206" s="21" t="s">
        <v>5</v>
      </c>
      <c r="D206" s="21" t="s">
        <v>6</v>
      </c>
      <c r="E206" s="21" t="s">
        <v>7</v>
      </c>
    </row>
    <row r="207">
      <c r="A207" s="22" t="s">
        <v>91</v>
      </c>
      <c r="B207" s="24">
        <v>67.7</v>
      </c>
      <c r="C207" s="24">
        <v>66.6</v>
      </c>
      <c r="D207" s="24">
        <v>72.6</v>
      </c>
      <c r="E207" s="24">
        <v>70.5</v>
      </c>
    </row>
    <row r="208">
      <c r="A208" s="22" t="s">
        <v>92</v>
      </c>
      <c r="B208" s="24">
        <v>5.0</v>
      </c>
      <c r="C208" s="24">
        <v>2.0</v>
      </c>
      <c r="D208" s="24">
        <v>3.0</v>
      </c>
      <c r="E208" s="24">
        <v>8.0</v>
      </c>
    </row>
    <row r="209">
      <c r="A209" s="22" t="s">
        <v>93</v>
      </c>
      <c r="B209" s="24">
        <f>B192-B208-8</f>
        <v>20832</v>
      </c>
      <c r="C209" s="24">
        <f>C192-C208-20</f>
        <v>20557</v>
      </c>
      <c r="D209" s="24">
        <f>D192-D208-12</f>
        <v>20543</v>
      </c>
      <c r="E209" s="24">
        <f>E192-E208-16</f>
        <v>20748</v>
      </c>
    </row>
    <row r="210">
      <c r="A210" s="22" t="s">
        <v>94</v>
      </c>
      <c r="B210" s="23">
        <f t="shared" ref="B210:E210" si="24">B216*30</f>
        <v>18690</v>
      </c>
      <c r="C210" s="23">
        <f t="shared" si="24"/>
        <v>18510</v>
      </c>
      <c r="D210" s="23">
        <f t="shared" si="24"/>
        <v>18270</v>
      </c>
      <c r="E210" s="23">
        <f t="shared" si="24"/>
        <v>18540</v>
      </c>
    </row>
    <row r="211">
      <c r="A211" s="22" t="s">
        <v>95</v>
      </c>
      <c r="B211" s="24">
        <v>25.0</v>
      </c>
      <c r="C211" s="24">
        <v>34.0</v>
      </c>
      <c r="D211" s="24">
        <v>14.0</v>
      </c>
      <c r="E211" s="24">
        <v>7.0</v>
      </c>
    </row>
    <row r="212">
      <c r="A212" s="22" t="s">
        <v>96</v>
      </c>
      <c r="B212" s="24">
        <v>14.0</v>
      </c>
      <c r="C212" s="24">
        <v>11.0</v>
      </c>
      <c r="D212" s="24">
        <v>15.0</v>
      </c>
      <c r="E212" s="24">
        <v>11.0</v>
      </c>
    </row>
    <row r="213">
      <c r="A213" s="22" t="s">
        <v>111</v>
      </c>
      <c r="B213" s="24">
        <v>110.0</v>
      </c>
      <c r="C213" s="24">
        <v>110.0</v>
      </c>
      <c r="D213" s="24">
        <v>110.0</v>
      </c>
      <c r="E213" s="24">
        <v>110.0</v>
      </c>
    </row>
    <row r="214">
      <c r="A214" s="22" t="s">
        <v>98</v>
      </c>
      <c r="B214" s="24">
        <v>1.0</v>
      </c>
      <c r="C214" s="24">
        <v>1.0</v>
      </c>
      <c r="D214" s="24">
        <v>1.0</v>
      </c>
      <c r="E214" s="24">
        <v>1.0</v>
      </c>
    </row>
    <row r="215">
      <c r="A215" s="22" t="s">
        <v>112</v>
      </c>
      <c r="B215" s="26">
        <f>round(((B210/B209)*100),2)</f>
        <v>89.72</v>
      </c>
      <c r="C215" s="26">
        <f>round(((C210/C209)*100),2)</f>
        <v>90.04</v>
      </c>
      <c r="D215" s="26">
        <f>round(((D210/D209)*100),2)</f>
        <v>88.94</v>
      </c>
      <c r="E215" s="26">
        <f>round(((E210/E209)*100),2)</f>
        <v>89.36</v>
      </c>
    </row>
    <row r="216">
      <c r="A216" s="22" t="s">
        <v>100</v>
      </c>
      <c r="B216" s="24">
        <v>623.0</v>
      </c>
      <c r="C216" s="24">
        <v>617.0</v>
      </c>
      <c r="D216" s="24">
        <v>609.0</v>
      </c>
      <c r="E216" s="24">
        <v>618.0</v>
      </c>
    </row>
    <row r="217">
      <c r="A217" s="11" t="s">
        <v>471</v>
      </c>
      <c r="B217" s="3" t="s">
        <v>726</v>
      </c>
      <c r="C217" s="3" t="s">
        <v>132</v>
      </c>
      <c r="D217" s="3" t="s">
        <v>132</v>
      </c>
      <c r="E217" s="3"/>
    </row>
    <row r="218">
      <c r="A218" s="25" t="s">
        <v>178</v>
      </c>
      <c r="B218" s="24" t="s">
        <v>727</v>
      </c>
      <c r="C218" s="24" t="s">
        <v>728</v>
      </c>
    </row>
    <row r="219">
      <c r="A219" s="25" t="s">
        <v>103</v>
      </c>
      <c r="B219" s="24"/>
      <c r="D219" s="24" t="s">
        <v>729</v>
      </c>
    </row>
    <row r="222">
      <c r="A222" s="44" t="s">
        <v>50</v>
      </c>
      <c r="B222" s="20" t="s">
        <v>730</v>
      </c>
    </row>
    <row r="223">
      <c r="B223" s="21" t="s">
        <v>4</v>
      </c>
      <c r="C223" s="21" t="s">
        <v>5</v>
      </c>
      <c r="D223" s="21" t="s">
        <v>6</v>
      </c>
      <c r="E223" s="21" t="s">
        <v>7</v>
      </c>
    </row>
    <row r="224">
      <c r="A224" s="22" t="s">
        <v>91</v>
      </c>
      <c r="B224" s="24">
        <v>68.1</v>
      </c>
      <c r="C224" s="24">
        <v>66.7</v>
      </c>
      <c r="D224" s="24">
        <v>72.7</v>
      </c>
      <c r="E224" s="24">
        <v>70.6</v>
      </c>
    </row>
    <row r="225">
      <c r="A225" s="22" t="s">
        <v>92</v>
      </c>
      <c r="B225" s="24">
        <v>4.0</v>
      </c>
      <c r="C225" s="24">
        <v>7.0</v>
      </c>
      <c r="D225" s="24">
        <v>2.0</v>
      </c>
      <c r="E225" s="24">
        <v>7.0</v>
      </c>
    </row>
    <row r="226">
      <c r="A226" s="22" t="s">
        <v>93</v>
      </c>
      <c r="B226" s="24">
        <f t="shared" ref="B226:E226" si="25">B209-B225</f>
        <v>20828</v>
      </c>
      <c r="C226" s="24">
        <f t="shared" si="25"/>
        <v>20550</v>
      </c>
      <c r="D226" s="24">
        <f t="shared" si="25"/>
        <v>20541</v>
      </c>
      <c r="E226" s="24">
        <f t="shared" si="25"/>
        <v>20741</v>
      </c>
    </row>
    <row r="227">
      <c r="A227" s="22" t="s">
        <v>94</v>
      </c>
      <c r="B227" s="23">
        <f t="shared" ref="B227:E227" si="26">B233*30</f>
        <v>18720</v>
      </c>
      <c r="C227" s="23">
        <f t="shared" si="26"/>
        <v>18630</v>
      </c>
      <c r="D227" s="23">
        <f t="shared" si="26"/>
        <v>18120</v>
      </c>
      <c r="E227" s="23">
        <f t="shared" si="26"/>
        <v>18660</v>
      </c>
    </row>
    <row r="228">
      <c r="A228" s="22" t="s">
        <v>95</v>
      </c>
      <c r="B228" s="24">
        <v>15.0</v>
      </c>
      <c r="C228" s="24">
        <v>22.0</v>
      </c>
      <c r="D228" s="24">
        <v>15.0</v>
      </c>
      <c r="E228" s="24">
        <v>9.0</v>
      </c>
    </row>
    <row r="229">
      <c r="A229" s="22" t="s">
        <v>96</v>
      </c>
      <c r="B229" s="24">
        <v>13.0</v>
      </c>
      <c r="C229" s="24">
        <v>10.0</v>
      </c>
      <c r="D229" s="24">
        <v>15.0</v>
      </c>
      <c r="E229" s="24">
        <v>12.0</v>
      </c>
    </row>
    <row r="230">
      <c r="A230" s="22" t="s">
        <v>111</v>
      </c>
      <c r="B230" s="24"/>
      <c r="C230" s="24"/>
      <c r="D230" s="24"/>
      <c r="E230" s="24"/>
    </row>
    <row r="231">
      <c r="A231" s="22" t="s">
        <v>98</v>
      </c>
      <c r="B231" s="24">
        <v>1.0</v>
      </c>
      <c r="C231" s="24">
        <v>1.0</v>
      </c>
      <c r="D231" s="24">
        <v>1.0</v>
      </c>
      <c r="E231" s="24">
        <v>1.0</v>
      </c>
    </row>
    <row r="232">
      <c r="A232" s="22" t="s">
        <v>112</v>
      </c>
      <c r="B232" s="26">
        <f>round(((B227/B226)*100),2)</f>
        <v>89.88</v>
      </c>
      <c r="C232" s="26">
        <f>round(((C227/C226)*100),2)</f>
        <v>90.66</v>
      </c>
      <c r="D232" s="26">
        <f>round(((D227/D226)*100),2)</f>
        <v>88.21</v>
      </c>
      <c r="E232" s="26">
        <f>round(((E227/E226)*100),2)</f>
        <v>89.97</v>
      </c>
    </row>
    <row r="233">
      <c r="A233" s="22" t="s">
        <v>100</v>
      </c>
      <c r="B233" s="24">
        <v>624.0</v>
      </c>
      <c r="C233" s="24">
        <v>621.0</v>
      </c>
      <c r="D233" s="24">
        <v>604.0</v>
      </c>
      <c r="E233" s="24">
        <v>622.0</v>
      </c>
    </row>
    <row r="234">
      <c r="A234" s="11" t="s">
        <v>471</v>
      </c>
      <c r="B234" s="3" t="s">
        <v>726</v>
      </c>
      <c r="C234" s="3" t="s">
        <v>731</v>
      </c>
      <c r="D234" s="3" t="s">
        <v>132</v>
      </c>
      <c r="E234" s="3"/>
    </row>
    <row r="235">
      <c r="A235" s="25" t="s">
        <v>178</v>
      </c>
      <c r="B235" s="24" t="s">
        <v>702</v>
      </c>
      <c r="C235" s="24" t="s">
        <v>492</v>
      </c>
    </row>
    <row r="236">
      <c r="A236" s="25" t="s">
        <v>103</v>
      </c>
      <c r="B236" s="24" t="s">
        <v>732</v>
      </c>
      <c r="D236" s="24" t="s">
        <v>733</v>
      </c>
    </row>
    <row r="239">
      <c r="A239" s="44" t="s">
        <v>50</v>
      </c>
      <c r="B239" s="20" t="s">
        <v>734</v>
      </c>
    </row>
    <row r="240">
      <c r="B240" s="21" t="s">
        <v>4</v>
      </c>
      <c r="C240" s="21" t="s">
        <v>5</v>
      </c>
      <c r="D240" s="21" t="s">
        <v>6</v>
      </c>
      <c r="E240" s="21" t="s">
        <v>7</v>
      </c>
    </row>
    <row r="241">
      <c r="A241" s="22" t="s">
        <v>91</v>
      </c>
      <c r="B241" s="24">
        <v>68.2</v>
      </c>
      <c r="C241" s="24">
        <v>67.1</v>
      </c>
      <c r="D241" s="24">
        <v>73.1</v>
      </c>
      <c r="E241" s="24">
        <v>70.7</v>
      </c>
    </row>
    <row r="242">
      <c r="A242" s="22" t="s">
        <v>92</v>
      </c>
      <c r="B242" s="24">
        <v>1.0</v>
      </c>
      <c r="C242" s="24">
        <v>4.0</v>
      </c>
      <c r="D242" s="24">
        <v>7.0</v>
      </c>
      <c r="E242" s="24">
        <v>9.0</v>
      </c>
      <c r="G242" s="3" t="s">
        <v>735</v>
      </c>
    </row>
    <row r="243">
      <c r="A243" s="22" t="s">
        <v>93</v>
      </c>
      <c r="B243" s="24">
        <f>B226-B242</f>
        <v>20827</v>
      </c>
      <c r="C243" s="24">
        <f>C226-C242-6</f>
        <v>20540</v>
      </c>
      <c r="D243" s="24">
        <f t="shared" ref="D243:E243" si="27">D226-D242</f>
        <v>20534</v>
      </c>
      <c r="E243" s="24">
        <f t="shared" si="27"/>
        <v>20732</v>
      </c>
      <c r="G243" s="3" t="s">
        <v>736</v>
      </c>
    </row>
    <row r="244">
      <c r="A244" s="22" t="s">
        <v>94</v>
      </c>
      <c r="B244" s="23">
        <f t="shared" ref="B244:E244" si="28">B250*30</f>
        <v>18660</v>
      </c>
      <c r="C244" s="23">
        <f t="shared" si="28"/>
        <v>18660</v>
      </c>
      <c r="D244" s="23">
        <f t="shared" si="28"/>
        <v>18120</v>
      </c>
      <c r="E244" s="23">
        <f t="shared" si="28"/>
        <v>18600</v>
      </c>
      <c r="G244" s="3" t="s">
        <v>436</v>
      </c>
    </row>
    <row r="245">
      <c r="A245" s="22" t="s">
        <v>95</v>
      </c>
      <c r="B245" s="24">
        <v>17.0</v>
      </c>
      <c r="C245" s="24">
        <v>12.0</v>
      </c>
      <c r="D245" s="24">
        <v>17.0</v>
      </c>
      <c r="E245" s="24">
        <v>7.0</v>
      </c>
      <c r="G245" s="3" t="s">
        <v>686</v>
      </c>
    </row>
    <row r="246">
      <c r="A246" s="22" t="s">
        <v>96</v>
      </c>
      <c r="B246" s="24">
        <v>11.0</v>
      </c>
      <c r="C246" s="24">
        <v>8.0</v>
      </c>
      <c r="D246" s="24">
        <v>18.0</v>
      </c>
      <c r="E246" s="24">
        <v>6.0</v>
      </c>
    </row>
    <row r="247">
      <c r="A247" s="22" t="s">
        <v>111</v>
      </c>
      <c r="B247" s="24">
        <v>55.0</v>
      </c>
      <c r="C247" s="24">
        <v>55.0</v>
      </c>
      <c r="D247" s="24">
        <v>55.0</v>
      </c>
      <c r="E247" s="24">
        <v>55.0</v>
      </c>
    </row>
    <row r="248">
      <c r="A248" s="22" t="s">
        <v>98</v>
      </c>
      <c r="B248" s="24">
        <v>1.0</v>
      </c>
      <c r="C248" s="24">
        <v>1.0</v>
      </c>
      <c r="D248" s="24">
        <v>1.0</v>
      </c>
      <c r="E248" s="24">
        <v>1.0</v>
      </c>
    </row>
    <row r="249">
      <c r="A249" s="22" t="s">
        <v>112</v>
      </c>
      <c r="B249" s="26">
        <f>round(((B244/B243)*100),2)</f>
        <v>89.6</v>
      </c>
      <c r="C249" s="26">
        <f>round(((C244/C243)*100),2)</f>
        <v>90.85</v>
      </c>
      <c r="D249" s="26">
        <f>round(((D244/D243)*100),2)</f>
        <v>88.24</v>
      </c>
      <c r="E249" s="26">
        <f>round(((E244/E243)*100),2)</f>
        <v>89.72</v>
      </c>
    </row>
    <row r="250">
      <c r="A250" s="22" t="s">
        <v>100</v>
      </c>
      <c r="B250" s="24">
        <v>622.0</v>
      </c>
      <c r="C250" s="24">
        <v>622.0</v>
      </c>
      <c r="D250" s="24">
        <v>604.0</v>
      </c>
      <c r="E250" s="24">
        <v>620.0</v>
      </c>
    </row>
    <row r="251">
      <c r="A251" s="11" t="s">
        <v>471</v>
      </c>
      <c r="B251" s="3" t="s">
        <v>726</v>
      </c>
      <c r="C251" s="3" t="s">
        <v>132</v>
      </c>
      <c r="D251" s="3" t="s">
        <v>132</v>
      </c>
      <c r="E251" s="3"/>
    </row>
    <row r="252">
      <c r="A252" s="25" t="s">
        <v>178</v>
      </c>
      <c r="B252" s="24" t="s">
        <v>663</v>
      </c>
      <c r="C252" s="24" t="s">
        <v>480</v>
      </c>
    </row>
    <row r="253">
      <c r="A253" s="25" t="s">
        <v>103</v>
      </c>
      <c r="B253" s="24" t="s">
        <v>737</v>
      </c>
      <c r="D253" s="24" t="s">
        <v>738</v>
      </c>
    </row>
    <row r="256">
      <c r="A256" s="44" t="s">
        <v>50</v>
      </c>
      <c r="B256" s="20" t="s">
        <v>739</v>
      </c>
    </row>
    <row r="257">
      <c r="B257" s="21" t="s">
        <v>4</v>
      </c>
      <c r="C257" s="21" t="s">
        <v>5</v>
      </c>
      <c r="D257" s="21" t="s">
        <v>6</v>
      </c>
      <c r="E257" s="21" t="s">
        <v>7</v>
      </c>
    </row>
    <row r="258">
      <c r="A258" s="22" t="s">
        <v>91</v>
      </c>
      <c r="B258" s="24">
        <v>68.3</v>
      </c>
      <c r="C258" s="24">
        <v>67.2</v>
      </c>
      <c r="D258" s="24">
        <v>73.2</v>
      </c>
      <c r="E258" s="24">
        <v>71.1</v>
      </c>
    </row>
    <row r="259">
      <c r="A259" s="22" t="s">
        <v>92</v>
      </c>
      <c r="B259" s="24">
        <v>3.0</v>
      </c>
      <c r="C259" s="24">
        <v>2.0</v>
      </c>
      <c r="D259" s="24">
        <v>4.0</v>
      </c>
      <c r="E259" s="24">
        <v>5.0</v>
      </c>
    </row>
    <row r="260">
      <c r="A260" s="22" t="s">
        <v>93</v>
      </c>
      <c r="B260" s="24">
        <f>B243-B259</f>
        <v>20824</v>
      </c>
      <c r="C260" s="24">
        <f>C243-C259-6</f>
        <v>20532</v>
      </c>
      <c r="D260" s="24">
        <f t="shared" ref="D260:E260" si="29">D243-D259</f>
        <v>20530</v>
      </c>
      <c r="E260" s="24">
        <f t="shared" si="29"/>
        <v>20727</v>
      </c>
    </row>
    <row r="261">
      <c r="A261" s="22" t="s">
        <v>94</v>
      </c>
      <c r="B261" s="23">
        <f t="shared" ref="B261:E261" si="30">B267*30</f>
        <v>18720</v>
      </c>
      <c r="C261" s="23">
        <f t="shared" si="30"/>
        <v>18660</v>
      </c>
      <c r="D261" s="23">
        <f t="shared" si="30"/>
        <v>18300</v>
      </c>
      <c r="E261" s="23">
        <f t="shared" si="30"/>
        <v>18660</v>
      </c>
    </row>
    <row r="262">
      <c r="A262" s="22" t="s">
        <v>95</v>
      </c>
      <c r="B262" s="24">
        <v>15.0</v>
      </c>
      <c r="C262" s="24">
        <v>12.0</v>
      </c>
      <c r="D262" s="24">
        <v>16.0</v>
      </c>
      <c r="E262" s="24">
        <v>5.0</v>
      </c>
    </row>
    <row r="263">
      <c r="A263" s="22" t="s">
        <v>96</v>
      </c>
      <c r="B263" s="24">
        <v>8.0</v>
      </c>
      <c r="C263" s="24">
        <v>7.0</v>
      </c>
      <c r="D263" s="24">
        <v>14.0</v>
      </c>
      <c r="E263" s="24">
        <v>10.0</v>
      </c>
    </row>
    <row r="264">
      <c r="A264" s="22" t="s">
        <v>111</v>
      </c>
      <c r="B264" s="24"/>
      <c r="C264" s="24"/>
      <c r="D264" s="24"/>
      <c r="E264" s="24"/>
    </row>
    <row r="265">
      <c r="A265" s="22" t="s">
        <v>98</v>
      </c>
      <c r="B265" s="24">
        <v>1.0</v>
      </c>
      <c r="C265" s="24">
        <v>1.0</v>
      </c>
      <c r="D265" s="24">
        <v>1.0</v>
      </c>
      <c r="E265" s="24">
        <v>1.0</v>
      </c>
    </row>
    <row r="266">
      <c r="A266" s="22" t="s">
        <v>112</v>
      </c>
      <c r="B266" s="26">
        <f>round(((B261/B260)*100),2)</f>
        <v>89.9</v>
      </c>
      <c r="C266" s="26">
        <f>round(((C261/C260)*100),2)</f>
        <v>90.88</v>
      </c>
      <c r="D266" s="26">
        <f>round(((D261/D260)*100),2)</f>
        <v>89.14</v>
      </c>
      <c r="E266" s="26">
        <f>round(((E261/E260)*100),2)</f>
        <v>90.03</v>
      </c>
    </row>
    <row r="267">
      <c r="A267" s="22" t="s">
        <v>100</v>
      </c>
      <c r="B267" s="24">
        <v>624.0</v>
      </c>
      <c r="C267" s="24">
        <v>622.0</v>
      </c>
      <c r="D267" s="24">
        <v>610.0</v>
      </c>
      <c r="E267" s="24">
        <v>622.0</v>
      </c>
    </row>
    <row r="268">
      <c r="A268" s="11" t="s">
        <v>471</v>
      </c>
      <c r="B268" s="3" t="s">
        <v>726</v>
      </c>
      <c r="C268" s="3" t="s">
        <v>132</v>
      </c>
      <c r="D268" s="3" t="s">
        <v>132</v>
      </c>
      <c r="E268" s="3"/>
    </row>
    <row r="269">
      <c r="A269" s="25" t="s">
        <v>178</v>
      </c>
      <c r="B269" s="24" t="s">
        <v>676</v>
      </c>
      <c r="C269" s="24" t="s">
        <v>185</v>
      </c>
    </row>
    <row r="270">
      <c r="A270" s="25" t="s">
        <v>103</v>
      </c>
      <c r="B270" s="24" t="s">
        <v>740</v>
      </c>
      <c r="D270" s="24" t="s">
        <v>741</v>
      </c>
    </row>
    <row r="273">
      <c r="A273" s="44" t="s">
        <v>50</v>
      </c>
      <c r="B273" s="20" t="s">
        <v>742</v>
      </c>
    </row>
    <row r="274">
      <c r="B274" s="21" t="s">
        <v>4</v>
      </c>
      <c r="C274" s="21" t="s">
        <v>5</v>
      </c>
      <c r="D274" s="21" t="s">
        <v>6</v>
      </c>
      <c r="E274" s="21" t="s">
        <v>7</v>
      </c>
    </row>
    <row r="275">
      <c r="A275" s="22" t="s">
        <v>91</v>
      </c>
      <c r="B275" s="24">
        <v>68.4</v>
      </c>
      <c r="C275" s="24">
        <v>67.3</v>
      </c>
      <c r="D275" s="24">
        <v>73.3</v>
      </c>
      <c r="E275" s="24">
        <v>71.2</v>
      </c>
    </row>
    <row r="276">
      <c r="A276" s="22" t="s">
        <v>92</v>
      </c>
      <c r="B276" s="24">
        <v>9.0</v>
      </c>
      <c r="C276" s="24">
        <v>1.0</v>
      </c>
      <c r="D276" s="24">
        <v>9.0</v>
      </c>
      <c r="E276" s="24">
        <v>6.0</v>
      </c>
    </row>
    <row r="277">
      <c r="A277" s="22" t="s">
        <v>93</v>
      </c>
      <c r="B277" s="24">
        <f>B260-B276</f>
        <v>20815</v>
      </c>
      <c r="C277" s="24">
        <f>C260-C276-6</f>
        <v>20525</v>
      </c>
      <c r="D277" s="24">
        <f t="shared" ref="D277:E277" si="31">D260-D276</f>
        <v>20521</v>
      </c>
      <c r="E277" s="24">
        <f t="shared" si="31"/>
        <v>20721</v>
      </c>
    </row>
    <row r="278">
      <c r="A278" s="22" t="s">
        <v>94</v>
      </c>
      <c r="B278" s="23">
        <f t="shared" ref="B278:E278" si="32">B284*30</f>
        <v>18660</v>
      </c>
      <c r="C278" s="23">
        <f t="shared" si="32"/>
        <v>18750</v>
      </c>
      <c r="D278" s="23">
        <f t="shared" si="32"/>
        <v>18270</v>
      </c>
      <c r="E278" s="23">
        <f t="shared" si="32"/>
        <v>18600</v>
      </c>
    </row>
    <row r="279">
      <c r="A279" s="22" t="s">
        <v>95</v>
      </c>
      <c r="B279" s="24">
        <v>20.0</v>
      </c>
      <c r="C279" s="24">
        <v>5.0</v>
      </c>
      <c r="D279" s="24">
        <v>20.0</v>
      </c>
      <c r="E279" s="24">
        <v>9.0</v>
      </c>
    </row>
    <row r="280">
      <c r="A280" s="22" t="s">
        <v>96</v>
      </c>
      <c r="B280" s="24">
        <v>13.0</v>
      </c>
      <c r="C280" s="24">
        <v>3.0</v>
      </c>
      <c r="D280" s="24">
        <v>13.0</v>
      </c>
      <c r="E280" s="24">
        <v>17.0</v>
      </c>
    </row>
    <row r="281">
      <c r="A281" s="22" t="s">
        <v>111</v>
      </c>
      <c r="B281" s="24">
        <v>110.0</v>
      </c>
      <c r="C281" s="24">
        <v>110.0</v>
      </c>
      <c r="D281" s="24">
        <v>110.0</v>
      </c>
      <c r="E281" s="24">
        <v>110.0</v>
      </c>
    </row>
    <row r="282">
      <c r="A282" s="22" t="s">
        <v>98</v>
      </c>
      <c r="B282" s="24">
        <v>1.0</v>
      </c>
      <c r="C282" s="24">
        <v>1.0</v>
      </c>
      <c r="D282" s="24">
        <v>1.0</v>
      </c>
      <c r="E282" s="24">
        <v>1.0</v>
      </c>
    </row>
    <row r="283">
      <c r="A283" s="22" t="s">
        <v>112</v>
      </c>
      <c r="B283" s="26">
        <f>round(((B278/B277)*100),2)</f>
        <v>89.65</v>
      </c>
      <c r="C283" s="26">
        <f>round(((C278/C277)*100),2)</f>
        <v>91.35</v>
      </c>
      <c r="D283" s="26">
        <f>round(((D278/D277)*100),2)</f>
        <v>89.03</v>
      </c>
      <c r="E283" s="26">
        <f>round(((E278/E277)*100),2)</f>
        <v>89.76</v>
      </c>
    </row>
    <row r="284">
      <c r="A284" s="22" t="s">
        <v>100</v>
      </c>
      <c r="B284" s="24">
        <v>622.0</v>
      </c>
      <c r="C284" s="24">
        <v>625.0</v>
      </c>
      <c r="D284" s="24">
        <v>609.0</v>
      </c>
      <c r="E284" s="24">
        <v>620.0</v>
      </c>
    </row>
    <row r="285">
      <c r="A285" s="11" t="s">
        <v>471</v>
      </c>
      <c r="B285" s="3" t="s">
        <v>726</v>
      </c>
      <c r="C285" s="3" t="s">
        <v>132</v>
      </c>
      <c r="D285" s="3" t="s">
        <v>132</v>
      </c>
      <c r="E285" s="3"/>
    </row>
    <row r="286">
      <c r="A286" s="25" t="s">
        <v>178</v>
      </c>
      <c r="B286" s="24" t="s">
        <v>578</v>
      </c>
      <c r="C286" s="24" t="s">
        <v>476</v>
      </c>
    </row>
    <row r="287">
      <c r="A287" s="25" t="s">
        <v>103</v>
      </c>
      <c r="B287" s="24" t="s">
        <v>743</v>
      </c>
      <c r="D287" s="24" t="s">
        <v>744</v>
      </c>
    </row>
    <row r="290">
      <c r="A290" s="44" t="s">
        <v>50</v>
      </c>
      <c r="B290" s="20" t="s">
        <v>745</v>
      </c>
    </row>
    <row r="291">
      <c r="B291" s="21" t="s">
        <v>4</v>
      </c>
      <c r="C291" s="21" t="s">
        <v>5</v>
      </c>
      <c r="D291" s="21" t="s">
        <v>6</v>
      </c>
      <c r="E291" s="21" t="s">
        <v>7</v>
      </c>
    </row>
    <row r="292">
      <c r="A292" s="22" t="s">
        <v>91</v>
      </c>
      <c r="B292" s="24">
        <v>68.5</v>
      </c>
      <c r="C292" s="24">
        <v>67.4</v>
      </c>
      <c r="D292" s="24">
        <v>73.4</v>
      </c>
      <c r="E292" s="24">
        <v>71.3</v>
      </c>
    </row>
    <row r="293">
      <c r="A293" s="22" t="s">
        <v>92</v>
      </c>
      <c r="B293" s="24">
        <v>4.0</v>
      </c>
      <c r="C293" s="24">
        <v>4.0</v>
      </c>
      <c r="D293" s="24">
        <v>3.0</v>
      </c>
      <c r="E293" s="24">
        <v>5.0</v>
      </c>
    </row>
    <row r="294">
      <c r="A294" s="22" t="s">
        <v>93</v>
      </c>
      <c r="B294" s="24">
        <f>B277-B293</f>
        <v>20811</v>
      </c>
      <c r="C294" s="24">
        <f>C277-C293-6</f>
        <v>20515</v>
      </c>
      <c r="D294" s="24">
        <f t="shared" ref="D294:E294" si="33">D277-D293</f>
        <v>20518</v>
      </c>
      <c r="E294" s="24">
        <f t="shared" si="33"/>
        <v>20716</v>
      </c>
    </row>
    <row r="295">
      <c r="A295" s="22" t="s">
        <v>94</v>
      </c>
      <c r="B295" s="23">
        <f t="shared" ref="B295:E295" si="34">B301*30</f>
        <v>18690</v>
      </c>
      <c r="C295" s="23">
        <f t="shared" si="34"/>
        <v>18540</v>
      </c>
      <c r="D295" s="23">
        <f t="shared" si="34"/>
        <v>18060</v>
      </c>
      <c r="E295" s="23">
        <f t="shared" si="34"/>
        <v>18660</v>
      </c>
    </row>
    <row r="296">
      <c r="A296" s="22" t="s">
        <v>95</v>
      </c>
      <c r="B296" s="24">
        <v>22.0</v>
      </c>
      <c r="C296" s="24">
        <v>25.0</v>
      </c>
      <c r="D296" s="24">
        <v>16.0</v>
      </c>
      <c r="E296" s="24">
        <v>7.0</v>
      </c>
    </row>
    <row r="297">
      <c r="A297" s="22" t="s">
        <v>96</v>
      </c>
      <c r="B297" s="24">
        <v>13.0</v>
      </c>
      <c r="C297" s="24">
        <v>12.0</v>
      </c>
      <c r="D297" s="24">
        <v>13.0</v>
      </c>
      <c r="E297" s="24">
        <v>17.0</v>
      </c>
    </row>
    <row r="298">
      <c r="A298" s="22" t="s">
        <v>111</v>
      </c>
      <c r="B298" s="24"/>
      <c r="C298" s="24"/>
      <c r="D298" s="24"/>
      <c r="E298" s="24"/>
    </row>
    <row r="299">
      <c r="A299" s="22" t="s">
        <v>98</v>
      </c>
      <c r="B299" s="24">
        <v>1.0</v>
      </c>
      <c r="C299" s="24">
        <v>1.0</v>
      </c>
      <c r="D299" s="24">
        <v>1.0</v>
      </c>
      <c r="E299" s="24">
        <v>1.0</v>
      </c>
    </row>
    <row r="300">
      <c r="A300" s="22" t="s">
        <v>112</v>
      </c>
      <c r="B300" s="26">
        <f>round(((B295/B294)*100),2)</f>
        <v>89.81</v>
      </c>
      <c r="C300" s="26">
        <f>round(((C295/C294)*100),2)</f>
        <v>90.37</v>
      </c>
      <c r="D300" s="26">
        <f>round(((D295/D294)*100),2)</f>
        <v>88.02</v>
      </c>
      <c r="E300" s="26">
        <f>round(((E295/E294)*100),2)</f>
        <v>90.08</v>
      </c>
    </row>
    <row r="301">
      <c r="A301" s="22" t="s">
        <v>100</v>
      </c>
      <c r="B301" s="24">
        <v>623.0</v>
      </c>
      <c r="C301" s="24">
        <v>618.0</v>
      </c>
      <c r="D301" s="24">
        <v>602.0</v>
      </c>
      <c r="E301" s="24">
        <v>622.0</v>
      </c>
    </row>
    <row r="302">
      <c r="A302" s="11" t="s">
        <v>471</v>
      </c>
      <c r="B302" s="3" t="s">
        <v>726</v>
      </c>
      <c r="C302" s="3" t="s">
        <v>132</v>
      </c>
      <c r="D302" s="3" t="s">
        <v>132</v>
      </c>
      <c r="E302" s="3"/>
    </row>
    <row r="303">
      <c r="A303" s="25" t="s">
        <v>178</v>
      </c>
      <c r="B303" s="24" t="s">
        <v>663</v>
      </c>
      <c r="C303" s="24" t="s">
        <v>492</v>
      </c>
    </row>
    <row r="304">
      <c r="A304" s="25" t="s">
        <v>103</v>
      </c>
      <c r="B304" s="24" t="s">
        <v>746</v>
      </c>
      <c r="D304" s="24" t="s">
        <v>747</v>
      </c>
    </row>
    <row r="307">
      <c r="A307" s="44" t="s">
        <v>50</v>
      </c>
      <c r="B307" s="20" t="s">
        <v>748</v>
      </c>
    </row>
    <row r="308">
      <c r="B308" s="21" t="s">
        <v>4</v>
      </c>
      <c r="C308" s="21" t="s">
        <v>5</v>
      </c>
      <c r="D308" s="21" t="s">
        <v>6</v>
      </c>
      <c r="E308" s="21" t="s">
        <v>7</v>
      </c>
    </row>
    <row r="309">
      <c r="A309" s="22" t="s">
        <v>91</v>
      </c>
      <c r="B309" s="24">
        <v>68.6</v>
      </c>
      <c r="C309" s="24">
        <v>67.5</v>
      </c>
      <c r="D309" s="24">
        <v>73.5</v>
      </c>
      <c r="E309" s="24">
        <v>71.4</v>
      </c>
    </row>
    <row r="310">
      <c r="A310" s="22" t="s">
        <v>92</v>
      </c>
      <c r="B310" s="24">
        <v>2.0</v>
      </c>
      <c r="C310" s="24">
        <v>7.0</v>
      </c>
      <c r="D310" s="24">
        <v>6.0</v>
      </c>
      <c r="E310" s="24">
        <v>9.0</v>
      </c>
    </row>
    <row r="311">
      <c r="A311" s="22" t="s">
        <v>93</v>
      </c>
      <c r="B311" s="24">
        <f>B294-B310</f>
        <v>20809</v>
      </c>
      <c r="C311" s="24">
        <f>C294-C310-6</f>
        <v>20502</v>
      </c>
      <c r="D311" s="24">
        <f t="shared" ref="D311:E311" si="35">D294-D310</f>
        <v>20512</v>
      </c>
      <c r="E311" s="24">
        <f t="shared" si="35"/>
        <v>20707</v>
      </c>
    </row>
    <row r="312">
      <c r="A312" s="22" t="s">
        <v>94</v>
      </c>
      <c r="B312" s="23">
        <f t="shared" ref="B312:E312" si="36">B318*30</f>
        <v>18720</v>
      </c>
      <c r="C312" s="23">
        <f t="shared" si="36"/>
        <v>18690</v>
      </c>
      <c r="D312" s="23">
        <f t="shared" si="36"/>
        <v>18030</v>
      </c>
      <c r="E312" s="23">
        <f t="shared" si="36"/>
        <v>18570</v>
      </c>
    </row>
    <row r="313">
      <c r="A313" s="22" t="s">
        <v>95</v>
      </c>
      <c r="B313" s="24">
        <v>19.0</v>
      </c>
      <c r="C313" s="24">
        <v>26.0</v>
      </c>
      <c r="D313" s="24">
        <v>16.0</v>
      </c>
      <c r="E313" s="24">
        <v>23.0</v>
      </c>
    </row>
    <row r="314">
      <c r="A314" s="22" t="s">
        <v>96</v>
      </c>
      <c r="B314" s="24">
        <v>11.0</v>
      </c>
      <c r="C314" s="24">
        <v>11.0</v>
      </c>
      <c r="D314" s="24">
        <v>12.0</v>
      </c>
      <c r="E314" s="24">
        <v>14.0</v>
      </c>
    </row>
    <row r="315">
      <c r="A315" s="22" t="s">
        <v>111</v>
      </c>
      <c r="B315" s="24">
        <v>80.0</v>
      </c>
      <c r="C315" s="24">
        <v>80.0</v>
      </c>
      <c r="D315" s="24">
        <v>80.0</v>
      </c>
      <c r="E315" s="24">
        <v>80.0</v>
      </c>
    </row>
    <row r="316">
      <c r="A316" s="22" t="s">
        <v>98</v>
      </c>
      <c r="B316" s="24">
        <v>1.0</v>
      </c>
      <c r="C316" s="24">
        <v>1.0</v>
      </c>
      <c r="D316" s="24">
        <v>1.0</v>
      </c>
      <c r="E316" s="24">
        <v>1.0</v>
      </c>
    </row>
    <row r="317">
      <c r="A317" s="22" t="s">
        <v>112</v>
      </c>
      <c r="B317" s="26">
        <f>round(((B312/B311)*100),2)</f>
        <v>89.96</v>
      </c>
      <c r="C317" s="26">
        <f>round(((C312/C311)*100),2)</f>
        <v>91.16</v>
      </c>
      <c r="D317" s="26">
        <f>round(((D312/D311)*100),2)</f>
        <v>87.9</v>
      </c>
      <c r="E317" s="26">
        <f>round(((E312/E311)*100),2)</f>
        <v>89.68</v>
      </c>
    </row>
    <row r="318">
      <c r="A318" s="22" t="s">
        <v>100</v>
      </c>
      <c r="B318" s="24">
        <v>624.0</v>
      </c>
      <c r="C318" s="24">
        <v>623.0</v>
      </c>
      <c r="D318" s="24">
        <v>601.0</v>
      </c>
      <c r="E318" s="24">
        <v>619.0</v>
      </c>
    </row>
    <row r="319">
      <c r="A319" s="11" t="s">
        <v>471</v>
      </c>
      <c r="B319" s="3" t="s">
        <v>726</v>
      </c>
      <c r="C319" s="3" t="s">
        <v>132</v>
      </c>
      <c r="D319" s="3" t="s">
        <v>132</v>
      </c>
      <c r="E319" s="3"/>
    </row>
    <row r="320">
      <c r="A320" s="25" t="s">
        <v>178</v>
      </c>
      <c r="B320" s="24" t="s">
        <v>472</v>
      </c>
      <c r="C320" s="24" t="s">
        <v>476</v>
      </c>
    </row>
    <row r="321">
      <c r="A321" s="25" t="s">
        <v>103</v>
      </c>
      <c r="B321" s="24" t="s">
        <v>749</v>
      </c>
      <c r="D321" s="24" t="s">
        <v>750</v>
      </c>
    </row>
    <row r="324">
      <c r="A324" s="44" t="s">
        <v>50</v>
      </c>
      <c r="B324" s="20" t="s">
        <v>751</v>
      </c>
    </row>
    <row r="325">
      <c r="B325" s="21" t="s">
        <v>4</v>
      </c>
      <c r="C325" s="21" t="s">
        <v>5</v>
      </c>
      <c r="D325" s="21" t="s">
        <v>6</v>
      </c>
      <c r="E325" s="21" t="s">
        <v>7</v>
      </c>
    </row>
    <row r="326">
      <c r="A326" s="22" t="s">
        <v>91</v>
      </c>
      <c r="B326" s="24">
        <v>68.7</v>
      </c>
      <c r="C326" s="24">
        <v>67.6</v>
      </c>
      <c r="D326" s="24">
        <v>73.6</v>
      </c>
      <c r="E326" s="24">
        <v>71.5</v>
      </c>
    </row>
    <row r="327">
      <c r="A327" s="22" t="s">
        <v>92</v>
      </c>
      <c r="B327" s="24">
        <v>4.0</v>
      </c>
      <c r="C327" s="24">
        <v>2.0</v>
      </c>
      <c r="D327" s="24">
        <v>1.0</v>
      </c>
      <c r="E327" s="24">
        <v>6.0</v>
      </c>
    </row>
    <row r="328">
      <c r="A328" s="22" t="s">
        <v>93</v>
      </c>
      <c r="B328" s="24">
        <f>B311-B327</f>
        <v>20805</v>
      </c>
      <c r="C328" s="24">
        <f>C311-C327-6</f>
        <v>20494</v>
      </c>
      <c r="D328" s="24">
        <f t="shared" ref="D328:E328" si="37">D311-D327</f>
        <v>20511</v>
      </c>
      <c r="E328" s="24">
        <f t="shared" si="37"/>
        <v>20701</v>
      </c>
    </row>
    <row r="329">
      <c r="A329" s="22" t="s">
        <v>94</v>
      </c>
      <c r="B329" s="23">
        <f t="shared" ref="B329:E329" si="38">B335*30</f>
        <v>18660</v>
      </c>
      <c r="C329" s="23">
        <f t="shared" si="38"/>
        <v>18630</v>
      </c>
      <c r="D329" s="23">
        <f t="shared" si="38"/>
        <v>17730</v>
      </c>
      <c r="E329" s="23">
        <f t="shared" si="38"/>
        <v>18630</v>
      </c>
    </row>
    <row r="330">
      <c r="A330" s="22" t="s">
        <v>95</v>
      </c>
      <c r="B330" s="24">
        <v>24.0</v>
      </c>
      <c r="C330" s="24">
        <v>10.0</v>
      </c>
      <c r="D330" s="24">
        <v>12.0</v>
      </c>
      <c r="E330" s="24">
        <v>14.0</v>
      </c>
    </row>
    <row r="331">
      <c r="A331" s="22" t="s">
        <v>96</v>
      </c>
      <c r="B331" s="24">
        <v>14.0</v>
      </c>
      <c r="C331" s="24">
        <v>9.0</v>
      </c>
      <c r="D331" s="24">
        <v>14.0</v>
      </c>
      <c r="E331" s="24">
        <v>6.0</v>
      </c>
    </row>
    <row r="332">
      <c r="A332" s="22" t="s">
        <v>111</v>
      </c>
      <c r="B332" s="24">
        <v>190.0</v>
      </c>
      <c r="C332" s="24">
        <v>190.0</v>
      </c>
      <c r="D332" s="24">
        <v>190.0</v>
      </c>
      <c r="E332" s="24">
        <v>190.0</v>
      </c>
    </row>
    <row r="333">
      <c r="A333" s="22" t="s">
        <v>98</v>
      </c>
      <c r="B333" s="24">
        <v>1.0</v>
      </c>
      <c r="C333" s="24">
        <v>1.0</v>
      </c>
      <c r="D333" s="24">
        <v>1.0</v>
      </c>
      <c r="E333" s="24">
        <v>1.0</v>
      </c>
    </row>
    <row r="334">
      <c r="A334" s="22" t="s">
        <v>112</v>
      </c>
      <c r="B334" s="26">
        <f>round(((B329/B328)*100),2)</f>
        <v>89.69</v>
      </c>
      <c r="C334" s="26">
        <f>round(((C329/C328)*100),2)</f>
        <v>90.9</v>
      </c>
      <c r="D334" s="26">
        <f>round(((D329/D328)*100),2)</f>
        <v>86.44</v>
      </c>
      <c r="E334" s="26">
        <f>round(((E329/E328)*100),2)</f>
        <v>90</v>
      </c>
    </row>
    <row r="335">
      <c r="A335" s="22" t="s">
        <v>100</v>
      </c>
      <c r="B335" s="24">
        <v>622.0</v>
      </c>
      <c r="C335" s="24">
        <v>621.0</v>
      </c>
      <c r="D335" s="24">
        <v>591.0</v>
      </c>
      <c r="E335" s="24">
        <v>621.0</v>
      </c>
    </row>
    <row r="336">
      <c r="A336" s="11" t="s">
        <v>471</v>
      </c>
      <c r="B336" s="3" t="s">
        <v>726</v>
      </c>
      <c r="C336" s="3" t="s">
        <v>132</v>
      </c>
      <c r="D336" s="3" t="s">
        <v>132</v>
      </c>
      <c r="E336" s="3"/>
    </row>
    <row r="337">
      <c r="A337" s="25" t="s">
        <v>178</v>
      </c>
      <c r="B337" s="24" t="s">
        <v>472</v>
      </c>
      <c r="C337" s="24" t="s">
        <v>509</v>
      </c>
    </row>
    <row r="338">
      <c r="A338" s="25" t="s">
        <v>103</v>
      </c>
      <c r="B338" s="24"/>
      <c r="D338" s="24" t="s">
        <v>752</v>
      </c>
    </row>
    <row r="341">
      <c r="A341" s="44" t="s">
        <v>50</v>
      </c>
      <c r="B341" s="20" t="s">
        <v>753</v>
      </c>
    </row>
    <row r="342">
      <c r="B342" s="21" t="s">
        <v>4</v>
      </c>
      <c r="C342" s="21" t="s">
        <v>5</v>
      </c>
      <c r="D342" s="21" t="s">
        <v>6</v>
      </c>
      <c r="E342" s="21" t="s">
        <v>7</v>
      </c>
    </row>
    <row r="343">
      <c r="A343" s="22" t="s">
        <v>91</v>
      </c>
      <c r="B343" s="24">
        <v>69.1</v>
      </c>
      <c r="C343" s="24">
        <v>67.7</v>
      </c>
      <c r="D343" s="24">
        <v>73.7</v>
      </c>
      <c r="E343" s="24">
        <v>71.6</v>
      </c>
    </row>
    <row r="344">
      <c r="A344" s="22" t="s">
        <v>92</v>
      </c>
      <c r="B344" s="24">
        <v>4.0</v>
      </c>
      <c r="C344" s="24">
        <v>0.0</v>
      </c>
      <c r="D344" s="24">
        <v>5.0</v>
      </c>
      <c r="E344" s="24">
        <v>6.0</v>
      </c>
    </row>
    <row r="345">
      <c r="A345" s="22" t="s">
        <v>93</v>
      </c>
      <c r="B345" s="24">
        <f>B328-B344</f>
        <v>20801</v>
      </c>
      <c r="C345" s="24">
        <f>C328-C344-6</f>
        <v>20488</v>
      </c>
      <c r="D345" s="24">
        <f t="shared" ref="D345:E345" si="39">D328-D344</f>
        <v>20506</v>
      </c>
      <c r="E345" s="24">
        <f t="shared" si="39"/>
        <v>20695</v>
      </c>
    </row>
    <row r="346">
      <c r="A346" s="22" t="s">
        <v>94</v>
      </c>
      <c r="B346" s="23">
        <f t="shared" ref="B346:E346" si="40">B352*30</f>
        <v>18690</v>
      </c>
      <c r="C346" s="23">
        <f t="shared" si="40"/>
        <v>18390</v>
      </c>
      <c r="D346" s="23">
        <f t="shared" si="40"/>
        <v>17490</v>
      </c>
      <c r="E346" s="23">
        <f t="shared" si="40"/>
        <v>18450</v>
      </c>
    </row>
    <row r="347">
      <c r="A347" s="22" t="s">
        <v>95</v>
      </c>
      <c r="B347" s="24">
        <v>17.0</v>
      </c>
      <c r="C347" s="24">
        <v>23.0</v>
      </c>
      <c r="D347" s="24">
        <v>11.0</v>
      </c>
      <c r="E347" s="24">
        <v>9.0</v>
      </c>
    </row>
    <row r="348">
      <c r="A348" s="22" t="s">
        <v>96</v>
      </c>
      <c r="B348" s="24">
        <v>9.0</v>
      </c>
      <c r="C348" s="24">
        <v>11.0</v>
      </c>
      <c r="D348" s="24">
        <v>10.0</v>
      </c>
      <c r="E348" s="24">
        <v>15.0</v>
      </c>
    </row>
    <row r="349">
      <c r="A349" s="22" t="s">
        <v>111</v>
      </c>
      <c r="B349" s="24">
        <v>80.0</v>
      </c>
      <c r="C349" s="24">
        <v>80.0</v>
      </c>
      <c r="D349" s="24">
        <v>80.0</v>
      </c>
      <c r="E349" s="24">
        <v>80.0</v>
      </c>
    </row>
    <row r="350">
      <c r="A350" s="22" t="s">
        <v>98</v>
      </c>
      <c r="B350" s="24">
        <v>1.0</v>
      </c>
      <c r="C350" s="24">
        <v>1.0</v>
      </c>
      <c r="D350" s="24">
        <v>1.0</v>
      </c>
      <c r="E350" s="24">
        <v>1.0</v>
      </c>
    </row>
    <row r="351">
      <c r="A351" s="22" t="s">
        <v>112</v>
      </c>
      <c r="B351" s="26">
        <f>round(((B346/B345)*100),2)</f>
        <v>89.85</v>
      </c>
      <c r="C351" s="26">
        <f>round(((C346/C345)*100),2)</f>
        <v>89.76</v>
      </c>
      <c r="D351" s="26">
        <f>round(((D346/D345)*100),2)</f>
        <v>85.29</v>
      </c>
      <c r="E351" s="26">
        <f>round(((E346/E345)*100),2)</f>
        <v>89.15</v>
      </c>
    </row>
    <row r="352">
      <c r="A352" s="22" t="s">
        <v>100</v>
      </c>
      <c r="B352" s="24">
        <v>623.0</v>
      </c>
      <c r="C352" s="24">
        <v>613.0</v>
      </c>
      <c r="D352" s="24">
        <v>583.0</v>
      </c>
      <c r="E352" s="24">
        <v>615.0</v>
      </c>
    </row>
    <row r="353">
      <c r="A353" s="11" t="s">
        <v>471</v>
      </c>
      <c r="B353" s="3" t="s">
        <v>726</v>
      </c>
      <c r="C353" s="3" t="s">
        <v>132</v>
      </c>
      <c r="D353" s="3" t="s">
        <v>132</v>
      </c>
      <c r="E353" s="3"/>
    </row>
    <row r="354">
      <c r="A354" s="25" t="s">
        <v>178</v>
      </c>
      <c r="B354" s="24" t="s">
        <v>676</v>
      </c>
      <c r="C354" s="24" t="s">
        <v>480</v>
      </c>
    </row>
    <row r="355">
      <c r="A355" s="25" t="s">
        <v>103</v>
      </c>
      <c r="B355" s="24" t="s">
        <v>754</v>
      </c>
      <c r="D355" s="24" t="s">
        <v>755</v>
      </c>
    </row>
    <row r="358">
      <c r="A358" s="44" t="s">
        <v>50</v>
      </c>
      <c r="B358" s="20" t="s">
        <v>756</v>
      </c>
    </row>
    <row r="359">
      <c r="B359" s="21" t="s">
        <v>4</v>
      </c>
      <c r="C359" s="21" t="s">
        <v>5</v>
      </c>
      <c r="D359" s="21" t="s">
        <v>6</v>
      </c>
      <c r="E359" s="21" t="s">
        <v>7</v>
      </c>
    </row>
    <row r="360">
      <c r="A360" s="22" t="s">
        <v>91</v>
      </c>
      <c r="B360" s="24">
        <v>69.2</v>
      </c>
      <c r="C360" s="24">
        <v>68.1</v>
      </c>
      <c r="D360" s="24">
        <v>74.1</v>
      </c>
      <c r="E360" s="24">
        <v>71.7</v>
      </c>
    </row>
    <row r="361">
      <c r="A361" s="22" t="s">
        <v>92</v>
      </c>
      <c r="B361" s="24">
        <v>5.0</v>
      </c>
      <c r="C361" s="24">
        <v>4.0</v>
      </c>
      <c r="D361" s="24">
        <v>2.0</v>
      </c>
      <c r="E361" s="24">
        <v>0.0</v>
      </c>
    </row>
    <row r="362">
      <c r="A362" s="22" t="s">
        <v>93</v>
      </c>
      <c r="B362" s="24">
        <f>B345-B361</f>
        <v>20796</v>
      </c>
      <c r="C362" s="24">
        <f>C345-C361-6</f>
        <v>20478</v>
      </c>
      <c r="D362" s="24">
        <f t="shared" ref="D362:E362" si="41">D345-D361</f>
        <v>20504</v>
      </c>
      <c r="E362" s="24">
        <f t="shared" si="41"/>
        <v>20695</v>
      </c>
    </row>
    <row r="363">
      <c r="A363" s="22" t="s">
        <v>94</v>
      </c>
      <c r="B363" s="23">
        <f t="shared" ref="B363:E363" si="42">B369*30</f>
        <v>18720</v>
      </c>
      <c r="C363" s="23">
        <f t="shared" si="42"/>
        <v>18540</v>
      </c>
      <c r="D363" s="23">
        <f t="shared" si="42"/>
        <v>17580</v>
      </c>
      <c r="E363" s="23">
        <f t="shared" si="42"/>
        <v>18420</v>
      </c>
    </row>
    <row r="364">
      <c r="A364" s="22" t="s">
        <v>95</v>
      </c>
      <c r="B364" s="24">
        <v>20.0</v>
      </c>
      <c r="C364" s="24">
        <v>18.0</v>
      </c>
      <c r="D364" s="24">
        <v>12.0</v>
      </c>
      <c r="E364" s="24">
        <v>6.0</v>
      </c>
    </row>
    <row r="365">
      <c r="A365" s="22" t="s">
        <v>96</v>
      </c>
      <c r="B365" s="24">
        <v>8.0</v>
      </c>
      <c r="C365" s="24">
        <v>12.0</v>
      </c>
      <c r="D365" s="24">
        <v>9.0</v>
      </c>
      <c r="E365" s="24">
        <v>15.0</v>
      </c>
    </row>
    <row r="366">
      <c r="A366" s="22" t="s">
        <v>111</v>
      </c>
      <c r="B366" s="24">
        <v>55.0</v>
      </c>
      <c r="C366" s="24">
        <v>55.0</v>
      </c>
      <c r="D366" s="24">
        <v>55.0</v>
      </c>
      <c r="E366" s="24">
        <v>55.0</v>
      </c>
    </row>
    <row r="367">
      <c r="A367" s="22" t="s">
        <v>98</v>
      </c>
      <c r="B367" s="24">
        <v>1.0</v>
      </c>
      <c r="C367" s="24">
        <v>1.0</v>
      </c>
      <c r="D367" s="24">
        <v>1.0</v>
      </c>
      <c r="E367" s="24">
        <v>1.0</v>
      </c>
    </row>
    <row r="368">
      <c r="A368" s="22" t="s">
        <v>112</v>
      </c>
      <c r="B368" s="26">
        <f>round(((B363/B362)*100),2)</f>
        <v>90.02</v>
      </c>
      <c r="C368" s="26">
        <f>round(((C363/C362)*100),2)</f>
        <v>90.54</v>
      </c>
      <c r="D368" s="26">
        <f>round(((D363/D362)*100),2)</f>
        <v>85.74</v>
      </c>
      <c r="E368" s="26">
        <f>round(((E363/E362)*100),2)</f>
        <v>89.01</v>
      </c>
    </row>
    <row r="369">
      <c r="A369" s="22" t="s">
        <v>100</v>
      </c>
      <c r="B369" s="24">
        <v>624.0</v>
      </c>
      <c r="C369" s="24">
        <v>618.0</v>
      </c>
      <c r="D369" s="24">
        <v>586.0</v>
      </c>
      <c r="E369" s="24">
        <v>614.0</v>
      </c>
    </row>
    <row r="370">
      <c r="A370" s="11" t="s">
        <v>471</v>
      </c>
      <c r="B370" s="3" t="s">
        <v>726</v>
      </c>
      <c r="C370" s="3" t="s">
        <v>132</v>
      </c>
      <c r="D370" s="3" t="s">
        <v>132</v>
      </c>
      <c r="E370" s="3"/>
    </row>
    <row r="371">
      <c r="A371" s="25" t="s">
        <v>178</v>
      </c>
      <c r="B371" s="24" t="s">
        <v>472</v>
      </c>
      <c r="C371" s="24" t="s">
        <v>473</v>
      </c>
    </row>
    <row r="372">
      <c r="A372" s="25" t="s">
        <v>103</v>
      </c>
      <c r="B372" s="24" t="s">
        <v>757</v>
      </c>
      <c r="D372" s="24" t="s">
        <v>758</v>
      </c>
    </row>
    <row r="375">
      <c r="A375" s="19" t="s">
        <v>50</v>
      </c>
      <c r="B375" s="20" t="s">
        <v>759</v>
      </c>
    </row>
    <row r="376">
      <c r="B376" s="21" t="s">
        <v>4</v>
      </c>
      <c r="C376" s="21" t="s">
        <v>5</v>
      </c>
      <c r="D376" s="21" t="s">
        <v>6</v>
      </c>
      <c r="E376" s="21" t="s">
        <v>7</v>
      </c>
    </row>
    <row r="377">
      <c r="A377" s="22" t="s">
        <v>91</v>
      </c>
      <c r="B377" s="24">
        <v>69.3</v>
      </c>
      <c r="C377" s="24">
        <v>68.2</v>
      </c>
      <c r="D377" s="24">
        <v>74.2</v>
      </c>
      <c r="E377" s="24">
        <v>72.1</v>
      </c>
    </row>
    <row r="378">
      <c r="A378" s="22" t="s">
        <v>92</v>
      </c>
      <c r="B378" s="24">
        <v>2.0</v>
      </c>
      <c r="C378" s="24">
        <v>6.0</v>
      </c>
      <c r="D378" s="24">
        <v>4.0</v>
      </c>
      <c r="E378" s="24">
        <v>5.0</v>
      </c>
    </row>
    <row r="379">
      <c r="A379" s="22" t="s">
        <v>93</v>
      </c>
      <c r="B379" s="23">
        <f>B362-B378</f>
        <v>20794</v>
      </c>
      <c r="C379" s="23">
        <f>C362-C378-6</f>
        <v>20466</v>
      </c>
      <c r="D379" s="23">
        <f t="shared" ref="D379:E379" si="43">D362-D378</f>
        <v>20500</v>
      </c>
      <c r="E379" s="23">
        <f t="shared" si="43"/>
        <v>20690</v>
      </c>
    </row>
    <row r="380">
      <c r="A380" s="22" t="s">
        <v>94</v>
      </c>
      <c r="B380" s="23">
        <f t="shared" ref="B380:E380" si="44">B386*30</f>
        <v>18750</v>
      </c>
      <c r="C380" s="23">
        <f t="shared" si="44"/>
        <v>18540</v>
      </c>
      <c r="D380" s="23">
        <f t="shared" si="44"/>
        <v>17850</v>
      </c>
      <c r="E380" s="23">
        <f t="shared" si="44"/>
        <v>18480</v>
      </c>
    </row>
    <row r="381">
      <c r="A381" s="22" t="s">
        <v>95</v>
      </c>
      <c r="B381" s="24">
        <v>21.0</v>
      </c>
      <c r="C381" s="24">
        <v>15.0</v>
      </c>
      <c r="D381" s="24">
        <v>13.0</v>
      </c>
      <c r="E381" s="23">
        <v>6.0</v>
      </c>
    </row>
    <row r="382">
      <c r="A382" s="22" t="s">
        <v>96</v>
      </c>
      <c r="B382" s="24">
        <v>11.0</v>
      </c>
      <c r="C382" s="24">
        <v>10.0</v>
      </c>
      <c r="D382" s="24">
        <v>8.0</v>
      </c>
      <c r="E382" s="24">
        <v>10.0</v>
      </c>
    </row>
    <row r="383">
      <c r="A383" s="22" t="s">
        <v>111</v>
      </c>
      <c r="B383" s="23"/>
      <c r="C383" s="23"/>
      <c r="D383" s="23"/>
      <c r="E383" s="23"/>
    </row>
    <row r="384">
      <c r="A384" s="22" t="s">
        <v>98</v>
      </c>
      <c r="B384" s="23">
        <v>1.0</v>
      </c>
      <c r="C384" s="23">
        <v>1.0</v>
      </c>
      <c r="D384" s="23">
        <v>1.0</v>
      </c>
      <c r="E384" s="23">
        <v>1.0</v>
      </c>
    </row>
    <row r="385">
      <c r="A385" s="22" t="s">
        <v>112</v>
      </c>
      <c r="B385" s="26">
        <f t="shared" ref="B385:E385" si="45">round(((B380/B379)*100),2)</f>
        <v>90.17</v>
      </c>
      <c r="C385" s="26">
        <f t="shared" si="45"/>
        <v>90.59</v>
      </c>
      <c r="D385" s="26">
        <f t="shared" si="45"/>
        <v>87.07</v>
      </c>
      <c r="E385" s="26">
        <f t="shared" si="45"/>
        <v>89.32</v>
      </c>
    </row>
    <row r="386">
      <c r="A386" s="22" t="s">
        <v>100</v>
      </c>
      <c r="B386" s="24">
        <v>625.0</v>
      </c>
      <c r="C386" s="23">
        <v>618.0</v>
      </c>
      <c r="D386" s="24">
        <v>595.0</v>
      </c>
      <c r="E386" s="24">
        <v>616.0</v>
      </c>
    </row>
    <row r="387">
      <c r="A387" s="23" t="s">
        <v>471</v>
      </c>
      <c r="B387" s="18" t="s">
        <v>726</v>
      </c>
      <c r="C387" s="18" t="s">
        <v>132</v>
      </c>
      <c r="D387" s="18" t="s">
        <v>132</v>
      </c>
      <c r="E387" s="18"/>
    </row>
    <row r="388">
      <c r="A388" s="22" t="s">
        <v>178</v>
      </c>
      <c r="B388" s="24" t="s">
        <v>688</v>
      </c>
      <c r="C388" s="24" t="s">
        <v>545</v>
      </c>
      <c r="D388" s="18"/>
      <c r="E388" s="18"/>
    </row>
    <row r="389">
      <c r="A389" s="22" t="s">
        <v>103</v>
      </c>
      <c r="B389" s="24" t="s">
        <v>760</v>
      </c>
      <c r="D389" s="24" t="s">
        <v>761</v>
      </c>
    </row>
    <row r="392">
      <c r="A392" s="19" t="s">
        <v>50</v>
      </c>
      <c r="B392" s="20" t="s">
        <v>762</v>
      </c>
    </row>
    <row r="393">
      <c r="B393" s="21" t="s">
        <v>4</v>
      </c>
      <c r="C393" s="21" t="s">
        <v>5</v>
      </c>
      <c r="D393" s="21" t="s">
        <v>6</v>
      </c>
      <c r="E393" s="21" t="s">
        <v>7</v>
      </c>
    </row>
    <row r="394">
      <c r="A394" s="22" t="s">
        <v>91</v>
      </c>
      <c r="B394" s="24">
        <v>69.4</v>
      </c>
      <c r="C394" s="24">
        <v>68.3</v>
      </c>
      <c r="D394" s="24">
        <v>74.3</v>
      </c>
      <c r="E394" s="24">
        <v>72.2</v>
      </c>
    </row>
    <row r="395">
      <c r="A395" s="22" t="s">
        <v>92</v>
      </c>
      <c r="B395" s="24">
        <v>3.0</v>
      </c>
      <c r="C395" s="24">
        <v>3.0</v>
      </c>
      <c r="D395" s="24">
        <v>5.0</v>
      </c>
      <c r="E395" s="24">
        <v>5.0</v>
      </c>
    </row>
    <row r="396">
      <c r="A396" s="22" t="s">
        <v>93</v>
      </c>
      <c r="B396" s="23">
        <f>B379-B395</f>
        <v>20791</v>
      </c>
      <c r="C396" s="23">
        <f>C379-C395-6</f>
        <v>20457</v>
      </c>
      <c r="D396" s="23">
        <f t="shared" ref="D396:E396" si="46">D379-D395</f>
        <v>20495</v>
      </c>
      <c r="E396" s="23">
        <f t="shared" si="46"/>
        <v>20685</v>
      </c>
    </row>
    <row r="397">
      <c r="A397" s="22" t="s">
        <v>94</v>
      </c>
      <c r="B397" s="23">
        <f t="shared" ref="B397:E397" si="47">B403*30</f>
        <v>18720</v>
      </c>
      <c r="C397" s="23">
        <f t="shared" si="47"/>
        <v>18570</v>
      </c>
      <c r="D397" s="23">
        <f t="shared" si="47"/>
        <v>18000</v>
      </c>
      <c r="E397" s="23">
        <f t="shared" si="47"/>
        <v>18540</v>
      </c>
    </row>
    <row r="398">
      <c r="A398" s="22" t="s">
        <v>95</v>
      </c>
      <c r="B398" s="24">
        <v>22.0</v>
      </c>
      <c r="C398" s="24">
        <v>8.0</v>
      </c>
      <c r="D398" s="24">
        <v>19.0</v>
      </c>
      <c r="E398" s="24">
        <v>7.0</v>
      </c>
    </row>
    <row r="399">
      <c r="A399" s="22" t="s">
        <v>96</v>
      </c>
      <c r="B399" s="24">
        <v>15.0</v>
      </c>
      <c r="C399" s="24">
        <v>8.0</v>
      </c>
      <c r="D399" s="24">
        <v>17.0</v>
      </c>
      <c r="E399" s="24">
        <v>15.0</v>
      </c>
    </row>
    <row r="400">
      <c r="A400" s="22" t="s">
        <v>111</v>
      </c>
      <c r="B400" s="24">
        <v>110.0</v>
      </c>
      <c r="C400" s="24">
        <v>110.0</v>
      </c>
      <c r="D400" s="24">
        <v>110.0</v>
      </c>
      <c r="E400" s="24">
        <v>110.0</v>
      </c>
    </row>
    <row r="401">
      <c r="A401" s="22" t="s">
        <v>98</v>
      </c>
      <c r="B401" s="23">
        <v>1.0</v>
      </c>
      <c r="C401" s="23">
        <v>1.0</v>
      </c>
      <c r="D401" s="23">
        <v>1.0</v>
      </c>
      <c r="E401" s="23">
        <v>1.0</v>
      </c>
    </row>
    <row r="402">
      <c r="A402" s="22" t="s">
        <v>112</v>
      </c>
      <c r="B402" s="26">
        <f t="shared" ref="B402:E402" si="48">round(((B397/B396)*100),2)</f>
        <v>90.04</v>
      </c>
      <c r="C402" s="26">
        <f t="shared" si="48"/>
        <v>90.78</v>
      </c>
      <c r="D402" s="26">
        <f t="shared" si="48"/>
        <v>87.83</v>
      </c>
      <c r="E402" s="26">
        <f t="shared" si="48"/>
        <v>89.63</v>
      </c>
    </row>
    <row r="403">
      <c r="A403" s="22" t="s">
        <v>100</v>
      </c>
      <c r="B403" s="24">
        <v>624.0</v>
      </c>
      <c r="C403" s="24">
        <v>619.0</v>
      </c>
      <c r="D403" s="24">
        <v>600.0</v>
      </c>
      <c r="E403" s="24">
        <v>618.0</v>
      </c>
    </row>
    <row r="404">
      <c r="A404" s="23" t="s">
        <v>471</v>
      </c>
      <c r="B404" s="18" t="s">
        <v>726</v>
      </c>
      <c r="C404" s="18" t="s">
        <v>132</v>
      </c>
      <c r="D404" s="18" t="s">
        <v>132</v>
      </c>
      <c r="E404" s="18"/>
    </row>
    <row r="405">
      <c r="A405" s="22" t="s">
        <v>178</v>
      </c>
      <c r="B405" s="24" t="s">
        <v>697</v>
      </c>
      <c r="C405" s="24" t="s">
        <v>621</v>
      </c>
      <c r="D405" s="18"/>
      <c r="E405" s="18"/>
    </row>
    <row r="406">
      <c r="A406" s="22" t="s">
        <v>103</v>
      </c>
      <c r="B406" s="24"/>
      <c r="D406" s="24" t="s">
        <v>763</v>
      </c>
    </row>
    <row r="409">
      <c r="A409" s="19" t="s">
        <v>50</v>
      </c>
      <c r="B409" s="20" t="s">
        <v>764</v>
      </c>
    </row>
    <row r="410">
      <c r="B410" s="21" t="s">
        <v>4</v>
      </c>
      <c r="C410" s="21" t="s">
        <v>5</v>
      </c>
      <c r="D410" s="21" t="s">
        <v>6</v>
      </c>
      <c r="E410" s="21" t="s">
        <v>7</v>
      </c>
    </row>
    <row r="411">
      <c r="A411" s="22" t="s">
        <v>91</v>
      </c>
      <c r="B411" s="24">
        <v>69.5</v>
      </c>
      <c r="C411" s="24">
        <v>68.4</v>
      </c>
      <c r="D411" s="24">
        <v>74.4</v>
      </c>
      <c r="E411" s="24">
        <v>72.3</v>
      </c>
    </row>
    <row r="412">
      <c r="A412" s="22" t="s">
        <v>92</v>
      </c>
      <c r="B412" s="24">
        <v>3.0</v>
      </c>
      <c r="C412" s="24">
        <v>6.0</v>
      </c>
      <c r="D412" s="24">
        <v>7.0</v>
      </c>
      <c r="E412" s="24">
        <v>5.0</v>
      </c>
    </row>
    <row r="413">
      <c r="A413" s="22" t="s">
        <v>93</v>
      </c>
      <c r="B413" s="23">
        <f>B396-B412</f>
        <v>20788</v>
      </c>
      <c r="C413" s="23">
        <f>C396-C412-6</f>
        <v>20445</v>
      </c>
      <c r="D413" s="23">
        <f t="shared" ref="D413:E413" si="49">D396-D412</f>
        <v>20488</v>
      </c>
      <c r="E413" s="23">
        <f t="shared" si="49"/>
        <v>20680</v>
      </c>
    </row>
    <row r="414">
      <c r="A414" s="22" t="s">
        <v>94</v>
      </c>
      <c r="B414" s="23">
        <f t="shared" ref="B414:E414" si="50">B420*30</f>
        <v>18420</v>
      </c>
      <c r="C414" s="23">
        <f t="shared" si="50"/>
        <v>18390</v>
      </c>
      <c r="D414" s="23">
        <f t="shared" si="50"/>
        <v>17910</v>
      </c>
      <c r="E414" s="23">
        <f t="shared" si="50"/>
        <v>18270</v>
      </c>
    </row>
    <row r="415">
      <c r="A415" s="22" t="s">
        <v>95</v>
      </c>
      <c r="B415" s="24">
        <v>20.0</v>
      </c>
      <c r="C415" s="24">
        <v>17.0</v>
      </c>
      <c r="D415" s="24">
        <v>17.0</v>
      </c>
      <c r="E415" s="24">
        <v>10.0</v>
      </c>
    </row>
    <row r="416">
      <c r="A416" s="22" t="s">
        <v>96</v>
      </c>
      <c r="B416" s="24">
        <v>14.0</v>
      </c>
      <c r="C416" s="24">
        <v>7.0</v>
      </c>
      <c r="D416" s="24">
        <v>9.0</v>
      </c>
      <c r="E416" s="24">
        <v>12.0</v>
      </c>
    </row>
    <row r="417">
      <c r="A417" s="22" t="s">
        <v>111</v>
      </c>
      <c r="B417" s="24"/>
      <c r="C417" s="24"/>
      <c r="D417" s="24"/>
      <c r="E417" s="24"/>
    </row>
    <row r="418">
      <c r="A418" s="22" t="s">
        <v>98</v>
      </c>
      <c r="B418" s="23">
        <v>1.0</v>
      </c>
      <c r="C418" s="23">
        <v>1.0</v>
      </c>
      <c r="D418" s="23">
        <v>1.0</v>
      </c>
      <c r="E418" s="23">
        <v>1.0</v>
      </c>
    </row>
    <row r="419">
      <c r="A419" s="22" t="s">
        <v>112</v>
      </c>
      <c r="B419" s="26">
        <f t="shared" ref="B419:E419" si="51">round(((B414/B413)*100),2)</f>
        <v>88.61</v>
      </c>
      <c r="C419" s="26">
        <f t="shared" si="51"/>
        <v>89.95</v>
      </c>
      <c r="D419" s="26">
        <f t="shared" si="51"/>
        <v>87.42</v>
      </c>
      <c r="E419" s="26">
        <f t="shared" si="51"/>
        <v>88.35</v>
      </c>
    </row>
    <row r="420">
      <c r="A420" s="22" t="s">
        <v>100</v>
      </c>
      <c r="B420" s="24">
        <v>614.0</v>
      </c>
      <c r="C420" s="24">
        <v>613.0</v>
      </c>
      <c r="D420" s="24">
        <v>597.0</v>
      </c>
      <c r="E420" s="24">
        <v>609.0</v>
      </c>
    </row>
    <row r="421">
      <c r="A421" s="23" t="s">
        <v>471</v>
      </c>
      <c r="B421" s="18" t="s">
        <v>726</v>
      </c>
      <c r="C421" s="18" t="s">
        <v>132</v>
      </c>
      <c r="D421" s="18" t="s">
        <v>132</v>
      </c>
      <c r="E421" s="18"/>
    </row>
    <row r="422">
      <c r="A422" s="22" t="s">
        <v>178</v>
      </c>
      <c r="B422" s="24" t="s">
        <v>626</v>
      </c>
      <c r="C422" s="24" t="s">
        <v>480</v>
      </c>
      <c r="D422" s="18"/>
      <c r="E422" s="18"/>
    </row>
    <row r="423">
      <c r="A423" s="22" t="s">
        <v>103</v>
      </c>
      <c r="B423" s="24" t="s">
        <v>765</v>
      </c>
      <c r="D423" s="24" t="s">
        <v>766</v>
      </c>
    </row>
    <row r="426">
      <c r="A426" s="19" t="s">
        <v>50</v>
      </c>
      <c r="B426" s="20" t="s">
        <v>767</v>
      </c>
    </row>
    <row r="427">
      <c r="B427" s="21" t="s">
        <v>4</v>
      </c>
      <c r="C427" s="21" t="s">
        <v>5</v>
      </c>
      <c r="D427" s="21" t="s">
        <v>6</v>
      </c>
      <c r="E427" s="21" t="s">
        <v>7</v>
      </c>
    </row>
    <row r="428">
      <c r="A428" s="22" t="s">
        <v>91</v>
      </c>
      <c r="B428" s="24">
        <v>69.6</v>
      </c>
      <c r="C428" s="24">
        <v>68.5</v>
      </c>
      <c r="D428" s="24">
        <v>74.5</v>
      </c>
      <c r="E428" s="24">
        <v>72.4</v>
      </c>
    </row>
    <row r="429">
      <c r="A429" s="22" t="s">
        <v>92</v>
      </c>
      <c r="B429" s="24">
        <v>5.0</v>
      </c>
      <c r="C429" s="24">
        <v>3.0</v>
      </c>
      <c r="D429" s="24">
        <v>4.0</v>
      </c>
      <c r="E429" s="24">
        <v>2.0</v>
      </c>
    </row>
    <row r="430">
      <c r="A430" s="22" t="s">
        <v>93</v>
      </c>
      <c r="B430" s="23">
        <f>B413-B429</f>
        <v>20783</v>
      </c>
      <c r="C430" s="23">
        <f>C413-C429-6</f>
        <v>20436</v>
      </c>
      <c r="D430" s="23">
        <f t="shared" ref="D430:E430" si="52">D413-D429</f>
        <v>20484</v>
      </c>
      <c r="E430" s="23">
        <f t="shared" si="52"/>
        <v>20678</v>
      </c>
    </row>
    <row r="431">
      <c r="A431" s="22" t="s">
        <v>94</v>
      </c>
      <c r="B431" s="23">
        <f t="shared" ref="B431:E431" si="53">B437*30</f>
        <v>18570</v>
      </c>
      <c r="C431" s="23">
        <f t="shared" si="53"/>
        <v>18360</v>
      </c>
      <c r="D431" s="23">
        <f t="shared" si="53"/>
        <v>17880</v>
      </c>
      <c r="E431" s="23">
        <f t="shared" si="53"/>
        <v>18600</v>
      </c>
    </row>
    <row r="432">
      <c r="A432" s="22" t="s">
        <v>95</v>
      </c>
      <c r="B432" s="24">
        <v>22.0</v>
      </c>
      <c r="C432" s="24">
        <v>20.0</v>
      </c>
      <c r="D432" s="24">
        <v>18.0</v>
      </c>
      <c r="E432" s="24">
        <v>6.0</v>
      </c>
    </row>
    <row r="433">
      <c r="A433" s="22" t="s">
        <v>96</v>
      </c>
      <c r="B433" s="24">
        <v>15.0</v>
      </c>
      <c r="C433" s="24">
        <v>12.0</v>
      </c>
      <c r="D433" s="24">
        <v>8.0</v>
      </c>
      <c r="E433" s="24">
        <v>11.0</v>
      </c>
    </row>
    <row r="434">
      <c r="A434" s="22" t="s">
        <v>111</v>
      </c>
      <c r="B434" s="24"/>
      <c r="C434" s="24"/>
      <c r="D434" s="24"/>
      <c r="E434" s="24"/>
    </row>
    <row r="435">
      <c r="A435" s="22" t="s">
        <v>98</v>
      </c>
      <c r="B435" s="23">
        <v>1.0</v>
      </c>
      <c r="C435" s="23">
        <v>1.0</v>
      </c>
      <c r="D435" s="23">
        <v>1.0</v>
      </c>
      <c r="E435" s="23">
        <v>1.0</v>
      </c>
    </row>
    <row r="436">
      <c r="A436" s="22" t="s">
        <v>112</v>
      </c>
      <c r="B436" s="26">
        <f t="shared" ref="B436:E436" si="54">round(((B431/B430)*100),2)</f>
        <v>89.35</v>
      </c>
      <c r="C436" s="26">
        <f t="shared" si="54"/>
        <v>89.84</v>
      </c>
      <c r="D436" s="26">
        <f t="shared" si="54"/>
        <v>87.29</v>
      </c>
      <c r="E436" s="26">
        <f t="shared" si="54"/>
        <v>89.95</v>
      </c>
    </row>
    <row r="437">
      <c r="A437" s="22" t="s">
        <v>100</v>
      </c>
      <c r="B437" s="24">
        <v>619.0</v>
      </c>
      <c r="C437" s="24">
        <v>612.0</v>
      </c>
      <c r="D437" s="24">
        <v>596.0</v>
      </c>
      <c r="E437" s="24">
        <v>620.0</v>
      </c>
    </row>
    <row r="438">
      <c r="A438" s="23" t="s">
        <v>471</v>
      </c>
      <c r="B438" s="32" t="s">
        <v>768</v>
      </c>
      <c r="C438" s="18" t="s">
        <v>132</v>
      </c>
      <c r="D438" s="32" t="s">
        <v>769</v>
      </c>
      <c r="E438" s="18"/>
    </row>
    <row r="439">
      <c r="A439" s="22" t="s">
        <v>178</v>
      </c>
      <c r="B439" s="24" t="s">
        <v>663</v>
      </c>
      <c r="C439" s="24" t="s">
        <v>770</v>
      </c>
      <c r="D439" s="18"/>
      <c r="E439" s="18"/>
    </row>
    <row r="440">
      <c r="A440" s="22" t="s">
        <v>103</v>
      </c>
      <c r="B440" s="24"/>
      <c r="D440" s="24" t="s">
        <v>771</v>
      </c>
    </row>
    <row r="443">
      <c r="A443" s="19" t="s">
        <v>50</v>
      </c>
      <c r="B443" s="20" t="s">
        <v>772</v>
      </c>
    </row>
    <row r="444">
      <c r="B444" s="21" t="s">
        <v>4</v>
      </c>
      <c r="C444" s="21" t="s">
        <v>5</v>
      </c>
      <c r="D444" s="21" t="s">
        <v>6</v>
      </c>
      <c r="E444" s="21" t="s">
        <v>7</v>
      </c>
    </row>
    <row r="445">
      <c r="A445" s="22" t="s">
        <v>91</v>
      </c>
      <c r="B445" s="24">
        <v>69.7</v>
      </c>
      <c r="C445" s="24">
        <v>68.6</v>
      </c>
      <c r="D445" s="24">
        <v>74.6</v>
      </c>
      <c r="E445" s="24">
        <v>72.5</v>
      </c>
    </row>
    <row r="446">
      <c r="A446" s="22" t="s">
        <v>92</v>
      </c>
      <c r="B446" s="24">
        <v>4.0</v>
      </c>
      <c r="C446" s="24">
        <v>2.0</v>
      </c>
      <c r="D446" s="24">
        <v>4.0</v>
      </c>
      <c r="E446" s="24">
        <v>2.0</v>
      </c>
    </row>
    <row r="447">
      <c r="A447" s="22" t="s">
        <v>93</v>
      </c>
      <c r="B447" s="23">
        <f>B430-B446-8</f>
        <v>20771</v>
      </c>
      <c r="C447" s="23">
        <f>C430-C446-6</f>
        <v>20428</v>
      </c>
      <c r="D447" s="23">
        <f>D430-D446-11</f>
        <v>20469</v>
      </c>
      <c r="E447" s="23">
        <f>E430-E446</f>
        <v>20676</v>
      </c>
    </row>
    <row r="448">
      <c r="A448" s="22" t="s">
        <v>94</v>
      </c>
      <c r="B448" s="23">
        <f t="shared" ref="B448:E448" si="55">B454*30</f>
        <v>18450</v>
      </c>
      <c r="C448" s="23">
        <f t="shared" si="55"/>
        <v>18630</v>
      </c>
      <c r="D448" s="23">
        <f t="shared" si="55"/>
        <v>17730</v>
      </c>
      <c r="E448" s="23">
        <f t="shared" si="55"/>
        <v>18240</v>
      </c>
    </row>
    <row r="449">
      <c r="A449" s="22" t="s">
        <v>95</v>
      </c>
      <c r="B449" s="24">
        <v>23.0</v>
      </c>
      <c r="C449" s="24">
        <v>35.0</v>
      </c>
      <c r="D449" s="24">
        <v>17.0</v>
      </c>
      <c r="E449" s="24">
        <v>7.0</v>
      </c>
    </row>
    <row r="450">
      <c r="A450" s="22" t="s">
        <v>96</v>
      </c>
      <c r="B450" s="24">
        <v>9.0</v>
      </c>
      <c r="C450" s="24">
        <v>12.0</v>
      </c>
      <c r="D450" s="24">
        <v>8.0</v>
      </c>
      <c r="E450" s="24">
        <v>9.0</v>
      </c>
    </row>
    <row r="451">
      <c r="A451" s="22" t="s">
        <v>111</v>
      </c>
      <c r="B451" s="24">
        <v>110.0</v>
      </c>
      <c r="C451" s="24">
        <v>110.0</v>
      </c>
      <c r="D451" s="24">
        <v>110.0</v>
      </c>
      <c r="E451" s="24">
        <v>110.0</v>
      </c>
    </row>
    <row r="452">
      <c r="A452" s="22" t="s">
        <v>98</v>
      </c>
      <c r="B452" s="23">
        <v>1.0</v>
      </c>
      <c r="C452" s="23">
        <v>1.0</v>
      </c>
      <c r="D452" s="23">
        <v>1.0</v>
      </c>
      <c r="E452" s="23">
        <v>1.0</v>
      </c>
    </row>
    <row r="453">
      <c r="A453" s="22" t="s">
        <v>112</v>
      </c>
      <c r="B453" s="26">
        <f t="shared" ref="B453:E453" si="56">round(((B448/B447)*100),2)</f>
        <v>88.83</v>
      </c>
      <c r="C453" s="26">
        <f t="shared" si="56"/>
        <v>91.2</v>
      </c>
      <c r="D453" s="26">
        <f t="shared" si="56"/>
        <v>86.62</v>
      </c>
      <c r="E453" s="26">
        <f t="shared" si="56"/>
        <v>88.22</v>
      </c>
    </row>
    <row r="454">
      <c r="A454" s="22" t="s">
        <v>100</v>
      </c>
      <c r="B454" s="24">
        <v>615.0</v>
      </c>
      <c r="C454" s="24">
        <v>621.0</v>
      </c>
      <c r="D454" s="24">
        <v>591.0</v>
      </c>
      <c r="E454" s="24">
        <v>608.0</v>
      </c>
    </row>
    <row r="455">
      <c r="A455" s="23" t="s">
        <v>471</v>
      </c>
      <c r="B455" s="32" t="s">
        <v>726</v>
      </c>
      <c r="C455" s="18" t="s">
        <v>132</v>
      </c>
      <c r="D455" s="32" t="s">
        <v>132</v>
      </c>
      <c r="E455" s="18"/>
    </row>
    <row r="456">
      <c r="A456" s="22" t="s">
        <v>178</v>
      </c>
      <c r="B456" s="24" t="s">
        <v>479</v>
      </c>
      <c r="C456" s="24" t="s">
        <v>185</v>
      </c>
      <c r="D456" s="18"/>
      <c r="E456" s="18"/>
    </row>
    <row r="457">
      <c r="A457" s="22" t="s">
        <v>103</v>
      </c>
      <c r="B457" s="24" t="s">
        <v>773</v>
      </c>
      <c r="D457" s="24" t="s">
        <v>774</v>
      </c>
    </row>
    <row r="460">
      <c r="A460" s="19" t="s">
        <v>50</v>
      </c>
      <c r="B460" s="20" t="s">
        <v>775</v>
      </c>
    </row>
    <row r="461">
      <c r="B461" s="21" t="s">
        <v>4</v>
      </c>
      <c r="C461" s="21" t="s">
        <v>5</v>
      </c>
      <c r="D461" s="21" t="s">
        <v>6</v>
      </c>
      <c r="E461" s="21" t="s">
        <v>7</v>
      </c>
    </row>
    <row r="462">
      <c r="A462" s="22" t="s">
        <v>91</v>
      </c>
      <c r="B462" s="24">
        <v>70.1</v>
      </c>
      <c r="C462" s="24">
        <v>68.7</v>
      </c>
      <c r="D462" s="24">
        <v>74.7</v>
      </c>
      <c r="E462" s="24">
        <v>72.6</v>
      </c>
    </row>
    <row r="463">
      <c r="A463" s="22" t="s">
        <v>92</v>
      </c>
      <c r="B463" s="24">
        <v>6.0</v>
      </c>
      <c r="C463" s="24">
        <v>6.0</v>
      </c>
      <c r="D463" s="24">
        <v>3.0</v>
      </c>
      <c r="E463" s="24">
        <v>5.0</v>
      </c>
    </row>
    <row r="464">
      <c r="A464" s="22" t="s">
        <v>93</v>
      </c>
      <c r="B464" s="23">
        <f t="shared" ref="B464:C464" si="57">B447-B463</f>
        <v>20765</v>
      </c>
      <c r="C464" s="23">
        <f t="shared" si="57"/>
        <v>20422</v>
      </c>
      <c r="D464" s="23">
        <f>D447-D463-11</f>
        <v>20455</v>
      </c>
      <c r="E464" s="23">
        <f>E447-E463</f>
        <v>20671</v>
      </c>
    </row>
    <row r="465">
      <c r="A465" s="22" t="s">
        <v>94</v>
      </c>
      <c r="B465" s="23">
        <f t="shared" ref="B465:E465" si="58">B471*30</f>
        <v>18270</v>
      </c>
      <c r="C465" s="23">
        <f t="shared" si="58"/>
        <v>18300</v>
      </c>
      <c r="D465" s="23">
        <f t="shared" si="58"/>
        <v>17880</v>
      </c>
      <c r="E465" s="23">
        <f t="shared" si="58"/>
        <v>18300</v>
      </c>
    </row>
    <row r="466">
      <c r="A466" s="22" t="s">
        <v>95</v>
      </c>
      <c r="B466" s="24">
        <v>14.0</v>
      </c>
      <c r="C466" s="24">
        <v>12.0</v>
      </c>
      <c r="D466" s="24">
        <v>20.0</v>
      </c>
      <c r="E466" s="24">
        <v>12.0</v>
      </c>
    </row>
    <row r="467">
      <c r="A467" s="22" t="s">
        <v>96</v>
      </c>
      <c r="B467" s="24">
        <v>8.0</v>
      </c>
      <c r="C467" s="24">
        <v>8.0</v>
      </c>
      <c r="D467" s="24">
        <v>9.0</v>
      </c>
      <c r="E467" s="24">
        <v>17.0</v>
      </c>
    </row>
    <row r="468">
      <c r="A468" s="22" t="s">
        <v>111</v>
      </c>
      <c r="B468" s="24"/>
      <c r="C468" s="24"/>
      <c r="D468" s="24"/>
      <c r="E468" s="24"/>
    </row>
    <row r="469">
      <c r="A469" s="22" t="s">
        <v>98</v>
      </c>
      <c r="B469" s="23">
        <v>1.0</v>
      </c>
      <c r="C469" s="23">
        <v>1.0</v>
      </c>
      <c r="D469" s="23">
        <v>1.0</v>
      </c>
      <c r="E469" s="23">
        <v>1.0</v>
      </c>
    </row>
    <row r="470">
      <c r="A470" s="22" t="s">
        <v>112</v>
      </c>
      <c r="B470" s="26">
        <f t="shared" ref="B470:E470" si="59">round(((B465/B464)*100),2)</f>
        <v>87.98</v>
      </c>
      <c r="C470" s="26">
        <f t="shared" si="59"/>
        <v>89.61</v>
      </c>
      <c r="D470" s="26">
        <f t="shared" si="59"/>
        <v>87.41</v>
      </c>
      <c r="E470" s="26">
        <f t="shared" si="59"/>
        <v>88.53</v>
      </c>
    </row>
    <row r="471">
      <c r="A471" s="22" t="s">
        <v>100</v>
      </c>
      <c r="B471" s="24">
        <v>609.0</v>
      </c>
      <c r="C471" s="24">
        <v>610.0</v>
      </c>
      <c r="D471" s="24">
        <v>596.0</v>
      </c>
      <c r="E471" s="24">
        <v>610.0</v>
      </c>
    </row>
    <row r="472">
      <c r="A472" s="23" t="s">
        <v>471</v>
      </c>
      <c r="B472" s="32" t="s">
        <v>726</v>
      </c>
      <c r="C472" s="18" t="s">
        <v>132</v>
      </c>
      <c r="D472" s="32" t="s">
        <v>132</v>
      </c>
      <c r="E472" s="18"/>
    </row>
    <row r="473">
      <c r="A473" s="22" t="s">
        <v>178</v>
      </c>
      <c r="B473" s="24" t="s">
        <v>692</v>
      </c>
      <c r="C473" s="24" t="s">
        <v>185</v>
      </c>
      <c r="D473" s="18"/>
      <c r="E473" s="18"/>
    </row>
    <row r="474">
      <c r="A474" s="22" t="s">
        <v>103</v>
      </c>
      <c r="B474" s="24" t="s">
        <v>776</v>
      </c>
      <c r="D474" s="24" t="s">
        <v>777</v>
      </c>
    </row>
    <row r="477">
      <c r="A477" s="19" t="s">
        <v>50</v>
      </c>
      <c r="B477" s="20" t="s">
        <v>778</v>
      </c>
    </row>
    <row r="478">
      <c r="B478" s="21" t="s">
        <v>4</v>
      </c>
      <c r="C478" s="21" t="s">
        <v>5</v>
      </c>
      <c r="D478" s="21" t="s">
        <v>6</v>
      </c>
      <c r="E478" s="21" t="s">
        <v>7</v>
      </c>
    </row>
    <row r="479">
      <c r="A479" s="22" t="s">
        <v>91</v>
      </c>
      <c r="B479" s="24">
        <v>70.2</v>
      </c>
      <c r="C479" s="24">
        <v>69.1</v>
      </c>
      <c r="D479" s="24">
        <v>75.1</v>
      </c>
      <c r="E479" s="24">
        <v>72.7</v>
      </c>
    </row>
    <row r="480">
      <c r="A480" s="22" t="s">
        <v>92</v>
      </c>
      <c r="B480" s="24">
        <v>2.0</v>
      </c>
      <c r="C480" s="24">
        <v>5.0</v>
      </c>
      <c r="D480" s="24">
        <v>4.0</v>
      </c>
      <c r="E480" s="24">
        <v>5.0</v>
      </c>
    </row>
    <row r="481">
      <c r="A481" s="22" t="s">
        <v>93</v>
      </c>
      <c r="B481" s="23">
        <f>B464-B497</f>
        <v>20759</v>
      </c>
      <c r="C481" s="23">
        <f>C464-C480</f>
        <v>20417</v>
      </c>
      <c r="D481" s="23">
        <f>D464-D480-11</f>
        <v>20440</v>
      </c>
      <c r="E481" s="23">
        <f>E464-E480</f>
        <v>20666</v>
      </c>
    </row>
    <row r="482">
      <c r="A482" s="22" t="s">
        <v>94</v>
      </c>
      <c r="B482" s="23">
        <f t="shared" ref="B482:E482" si="60">B488*30</f>
        <v>18270</v>
      </c>
      <c r="C482" s="23">
        <f t="shared" si="60"/>
        <v>18240</v>
      </c>
      <c r="D482" s="23">
        <f t="shared" si="60"/>
        <v>17760</v>
      </c>
      <c r="E482" s="23">
        <f t="shared" si="60"/>
        <v>18330</v>
      </c>
    </row>
    <row r="483">
      <c r="A483" s="22" t="s">
        <v>95</v>
      </c>
      <c r="B483" s="24">
        <v>21.0</v>
      </c>
      <c r="C483" s="24">
        <v>18.0</v>
      </c>
      <c r="D483" s="24">
        <v>18.0</v>
      </c>
      <c r="E483" s="24">
        <v>9.0</v>
      </c>
    </row>
    <row r="484">
      <c r="A484" s="22" t="s">
        <v>96</v>
      </c>
      <c r="B484" s="24">
        <v>9.0</v>
      </c>
      <c r="C484" s="24">
        <v>15.0</v>
      </c>
      <c r="D484" s="24">
        <v>16.0</v>
      </c>
      <c r="E484" s="24">
        <v>16.0</v>
      </c>
    </row>
    <row r="485">
      <c r="A485" s="22" t="s">
        <v>111</v>
      </c>
      <c r="B485" s="24">
        <v>55.0</v>
      </c>
      <c r="C485" s="24">
        <v>55.0</v>
      </c>
      <c r="D485" s="24">
        <v>55.0</v>
      </c>
      <c r="E485" s="24">
        <v>55.0</v>
      </c>
    </row>
    <row r="486">
      <c r="A486" s="22" t="s">
        <v>98</v>
      </c>
      <c r="B486" s="23">
        <v>1.0</v>
      </c>
      <c r="C486" s="23">
        <v>1.0</v>
      </c>
      <c r="D486" s="23">
        <v>1.0</v>
      </c>
      <c r="E486" s="23">
        <v>1.0</v>
      </c>
    </row>
    <row r="487">
      <c r="A487" s="22" t="s">
        <v>112</v>
      </c>
      <c r="B487" s="26">
        <f t="shared" ref="B487:E487" si="61">round(((B482/B481)*100),2)</f>
        <v>88.01</v>
      </c>
      <c r="C487" s="26">
        <f t="shared" si="61"/>
        <v>89.34</v>
      </c>
      <c r="D487" s="26">
        <f t="shared" si="61"/>
        <v>86.89</v>
      </c>
      <c r="E487" s="26">
        <f t="shared" si="61"/>
        <v>88.7</v>
      </c>
    </row>
    <row r="488">
      <c r="A488" s="22" t="s">
        <v>100</v>
      </c>
      <c r="B488" s="24">
        <v>609.0</v>
      </c>
      <c r="C488" s="24">
        <v>608.0</v>
      </c>
      <c r="D488" s="24">
        <v>592.0</v>
      </c>
      <c r="E488" s="24">
        <v>611.0</v>
      </c>
    </row>
    <row r="489">
      <c r="A489" s="23" t="s">
        <v>471</v>
      </c>
      <c r="B489" s="32" t="s">
        <v>726</v>
      </c>
      <c r="C489" s="18" t="s">
        <v>132</v>
      </c>
      <c r="D489" s="32" t="s">
        <v>132</v>
      </c>
      <c r="E489" s="18"/>
    </row>
    <row r="490">
      <c r="A490" s="22" t="s">
        <v>178</v>
      </c>
      <c r="B490" s="24" t="s">
        <v>692</v>
      </c>
      <c r="C490" s="24" t="s">
        <v>126</v>
      </c>
      <c r="D490" s="18"/>
      <c r="E490" s="18"/>
    </row>
    <row r="491">
      <c r="A491" s="22" t="s">
        <v>103</v>
      </c>
      <c r="B491" s="24"/>
      <c r="D491" s="24" t="s">
        <v>779</v>
      </c>
    </row>
    <row r="494">
      <c r="A494" s="19" t="s">
        <v>50</v>
      </c>
      <c r="B494" s="20" t="s">
        <v>780</v>
      </c>
    </row>
    <row r="495">
      <c r="B495" s="21" t="s">
        <v>4</v>
      </c>
      <c r="C495" s="21" t="s">
        <v>5</v>
      </c>
      <c r="D495" s="21" t="s">
        <v>6</v>
      </c>
      <c r="E495" s="21" t="s">
        <v>7</v>
      </c>
    </row>
    <row r="496">
      <c r="A496" s="22" t="s">
        <v>91</v>
      </c>
      <c r="B496" s="24">
        <v>70.3</v>
      </c>
      <c r="C496" s="24">
        <v>69.2</v>
      </c>
      <c r="D496" s="24">
        <v>75.2</v>
      </c>
      <c r="E496" s="24">
        <v>73.1</v>
      </c>
    </row>
    <row r="497">
      <c r="A497" s="22" t="s">
        <v>92</v>
      </c>
      <c r="B497" s="24">
        <v>6.0</v>
      </c>
      <c r="C497" s="24">
        <v>5.0</v>
      </c>
      <c r="D497" s="24">
        <v>5.0</v>
      </c>
      <c r="E497" s="24">
        <v>6.0</v>
      </c>
    </row>
    <row r="498">
      <c r="A498" s="22" t="s">
        <v>93</v>
      </c>
      <c r="B498" s="47">
        <f t="shared" ref="B498:C498" si="62">B481-B497</f>
        <v>20753</v>
      </c>
      <c r="C498" s="23">
        <f t="shared" si="62"/>
        <v>20412</v>
      </c>
      <c r="D498" s="23">
        <f>D481-D497-11</f>
        <v>20424</v>
      </c>
      <c r="E498" s="23">
        <f>E481-E497</f>
        <v>20660</v>
      </c>
    </row>
    <row r="499">
      <c r="A499" s="22" t="s">
        <v>94</v>
      </c>
      <c r="B499" s="23">
        <f t="shared" ref="B499:E499" si="63">B505*30</f>
        <v>18240</v>
      </c>
      <c r="C499" s="23">
        <f t="shared" si="63"/>
        <v>18390</v>
      </c>
      <c r="D499" s="23">
        <f t="shared" si="63"/>
        <v>18000</v>
      </c>
      <c r="E499" s="23">
        <f t="shared" si="63"/>
        <v>18420</v>
      </c>
    </row>
    <row r="500">
      <c r="A500" s="22" t="s">
        <v>95</v>
      </c>
      <c r="B500" s="24">
        <v>23.0</v>
      </c>
      <c r="C500" s="24">
        <v>21.0</v>
      </c>
      <c r="D500" s="24">
        <v>20.0</v>
      </c>
      <c r="E500" s="24">
        <v>19.0</v>
      </c>
    </row>
    <row r="501">
      <c r="A501" s="22" t="s">
        <v>96</v>
      </c>
      <c r="B501" s="24">
        <v>14.0</v>
      </c>
      <c r="C501" s="24">
        <v>14.0</v>
      </c>
      <c r="D501" s="24">
        <v>13.0</v>
      </c>
      <c r="E501" s="24">
        <v>13.0</v>
      </c>
    </row>
    <row r="502">
      <c r="A502" s="22" t="s">
        <v>111</v>
      </c>
      <c r="B502" s="24"/>
      <c r="C502" s="24"/>
      <c r="D502" s="24"/>
      <c r="E502" s="24"/>
    </row>
    <row r="503">
      <c r="A503" s="22" t="s">
        <v>98</v>
      </c>
      <c r="B503" s="23">
        <v>1.0</v>
      </c>
      <c r="C503" s="23">
        <v>1.0</v>
      </c>
      <c r="D503" s="23">
        <v>1.0</v>
      </c>
      <c r="E503" s="23">
        <v>1.0</v>
      </c>
    </row>
    <row r="504">
      <c r="A504" s="22" t="s">
        <v>112</v>
      </c>
      <c r="B504" s="26">
        <f t="shared" ref="B504:E504" si="64">round(((B499/B498)*100),2)</f>
        <v>87.89</v>
      </c>
      <c r="C504" s="26">
        <f t="shared" si="64"/>
        <v>90.09</v>
      </c>
      <c r="D504" s="26">
        <f t="shared" si="64"/>
        <v>88.13</v>
      </c>
      <c r="E504" s="26">
        <f t="shared" si="64"/>
        <v>89.16</v>
      </c>
    </row>
    <row r="505">
      <c r="A505" s="22" t="s">
        <v>100</v>
      </c>
      <c r="B505" s="24">
        <v>608.0</v>
      </c>
      <c r="C505" s="24">
        <v>613.0</v>
      </c>
      <c r="D505" s="24">
        <v>600.0</v>
      </c>
      <c r="E505" s="24">
        <v>614.0</v>
      </c>
    </row>
    <row r="506">
      <c r="A506" s="23" t="s">
        <v>471</v>
      </c>
      <c r="B506" s="32" t="s">
        <v>726</v>
      </c>
      <c r="C506" s="18" t="s">
        <v>132</v>
      </c>
      <c r="D506" s="32" t="s">
        <v>638</v>
      </c>
      <c r="E506" s="18"/>
    </row>
    <row r="507">
      <c r="A507" s="22" t="s">
        <v>178</v>
      </c>
      <c r="B507" s="24" t="s">
        <v>479</v>
      </c>
      <c r="C507" s="24" t="s">
        <v>480</v>
      </c>
      <c r="D507" s="18"/>
      <c r="E507" s="18"/>
    </row>
    <row r="508">
      <c r="A508" s="22" t="s">
        <v>103</v>
      </c>
      <c r="B508" s="24" t="s">
        <v>781</v>
      </c>
      <c r="D508" s="24" t="s">
        <v>782</v>
      </c>
    </row>
  </sheetData>
  <mergeCells count="120">
    <mergeCell ref="B185:C185"/>
    <mergeCell ref="D185:E185"/>
    <mergeCell ref="A188:A189"/>
    <mergeCell ref="B188:E188"/>
    <mergeCell ref="D202:E202"/>
    <mergeCell ref="A205:A206"/>
    <mergeCell ref="B205:E205"/>
    <mergeCell ref="B202:C202"/>
    <mergeCell ref="B219:C219"/>
    <mergeCell ref="D219:E219"/>
    <mergeCell ref="A222:A223"/>
    <mergeCell ref="B222:E222"/>
    <mergeCell ref="B236:C236"/>
    <mergeCell ref="D236:E236"/>
    <mergeCell ref="A239:A240"/>
    <mergeCell ref="B239:E239"/>
    <mergeCell ref="B253:C253"/>
    <mergeCell ref="D253:E253"/>
    <mergeCell ref="A256:A257"/>
    <mergeCell ref="B256:E256"/>
    <mergeCell ref="D270:E270"/>
    <mergeCell ref="B270:C270"/>
    <mergeCell ref="A273:A274"/>
    <mergeCell ref="B273:E273"/>
    <mergeCell ref="B287:C287"/>
    <mergeCell ref="D287:E287"/>
    <mergeCell ref="A290:A291"/>
    <mergeCell ref="B290:E290"/>
    <mergeCell ref="B304:C304"/>
    <mergeCell ref="D304:E304"/>
    <mergeCell ref="A307:A308"/>
    <mergeCell ref="B307:E307"/>
    <mergeCell ref="D321:E321"/>
    <mergeCell ref="A324:A325"/>
    <mergeCell ref="B324:E324"/>
    <mergeCell ref="B321:C321"/>
    <mergeCell ref="B338:C338"/>
    <mergeCell ref="D338:E338"/>
    <mergeCell ref="A341:A342"/>
    <mergeCell ref="B341:E341"/>
    <mergeCell ref="B355:C355"/>
    <mergeCell ref="D355:E355"/>
    <mergeCell ref="A358:A359"/>
    <mergeCell ref="B358:E358"/>
    <mergeCell ref="B372:C372"/>
    <mergeCell ref="D372:E372"/>
    <mergeCell ref="A375:A376"/>
    <mergeCell ref="B375:E375"/>
    <mergeCell ref="D389:E389"/>
    <mergeCell ref="B389:C389"/>
    <mergeCell ref="A392:A393"/>
    <mergeCell ref="B392:E392"/>
    <mergeCell ref="B406:C406"/>
    <mergeCell ref="D406:E406"/>
    <mergeCell ref="A409:A410"/>
    <mergeCell ref="B409:E409"/>
    <mergeCell ref="B423:C423"/>
    <mergeCell ref="D423:E423"/>
    <mergeCell ref="A426:A427"/>
    <mergeCell ref="B426:E426"/>
    <mergeCell ref="D440:E440"/>
    <mergeCell ref="A443:A444"/>
    <mergeCell ref="B443:E443"/>
    <mergeCell ref="B440:C440"/>
    <mergeCell ref="B457:C457"/>
    <mergeCell ref="D457:E457"/>
    <mergeCell ref="A460:A461"/>
    <mergeCell ref="B460:E460"/>
    <mergeCell ref="B474:C474"/>
    <mergeCell ref="D474:E474"/>
    <mergeCell ref="A1:A2"/>
    <mergeCell ref="B1:E1"/>
    <mergeCell ref="B15:C15"/>
    <mergeCell ref="D15:E15"/>
    <mergeCell ref="A18:A19"/>
    <mergeCell ref="B18:E18"/>
    <mergeCell ref="D32:E32"/>
    <mergeCell ref="B32:C32"/>
    <mergeCell ref="A35:A36"/>
    <mergeCell ref="B35:E35"/>
    <mergeCell ref="B49:C49"/>
    <mergeCell ref="D49:E49"/>
    <mergeCell ref="A52:A53"/>
    <mergeCell ref="B52:E52"/>
    <mergeCell ref="B66:C66"/>
    <mergeCell ref="D66:E66"/>
    <mergeCell ref="A69:A70"/>
    <mergeCell ref="B69:E69"/>
    <mergeCell ref="D83:E83"/>
    <mergeCell ref="A86:A87"/>
    <mergeCell ref="B86:E86"/>
    <mergeCell ref="B83:C83"/>
    <mergeCell ref="B100:C100"/>
    <mergeCell ref="D100:E100"/>
    <mergeCell ref="A103:A104"/>
    <mergeCell ref="B103:E103"/>
    <mergeCell ref="B117:C117"/>
    <mergeCell ref="D117:E117"/>
    <mergeCell ref="A120:A121"/>
    <mergeCell ref="B120:E120"/>
    <mergeCell ref="B134:C134"/>
    <mergeCell ref="D134:E134"/>
    <mergeCell ref="A137:A138"/>
    <mergeCell ref="B137:E137"/>
    <mergeCell ref="D151:E151"/>
    <mergeCell ref="B151:C151"/>
    <mergeCell ref="A154:A155"/>
    <mergeCell ref="B154:E154"/>
    <mergeCell ref="B168:C168"/>
    <mergeCell ref="D168:E168"/>
    <mergeCell ref="A171:A172"/>
    <mergeCell ref="B171:E171"/>
    <mergeCell ref="A477:A478"/>
    <mergeCell ref="B477:E477"/>
    <mergeCell ref="B491:C491"/>
    <mergeCell ref="D491:E491"/>
    <mergeCell ref="A494:A495"/>
    <mergeCell ref="B494:E494"/>
    <mergeCell ref="B508:C508"/>
    <mergeCell ref="D508:E50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25"/>
  </cols>
  <sheetData>
    <row r="1">
      <c r="A1" s="48" t="s">
        <v>50</v>
      </c>
      <c r="B1" s="46">
        <v>45669.0</v>
      </c>
    </row>
    <row r="2">
      <c r="B2" s="21" t="s">
        <v>4</v>
      </c>
      <c r="C2" s="21" t="s">
        <v>5</v>
      </c>
      <c r="D2" s="21" t="s">
        <v>6</v>
      </c>
      <c r="E2" s="21" t="s">
        <v>7</v>
      </c>
    </row>
    <row r="3">
      <c r="A3" s="22" t="s">
        <v>91</v>
      </c>
      <c r="B3" s="24">
        <v>70.4</v>
      </c>
      <c r="C3" s="24">
        <v>69.3</v>
      </c>
      <c r="D3" s="24">
        <v>75.3</v>
      </c>
      <c r="E3" s="24">
        <v>73.2</v>
      </c>
    </row>
    <row r="4">
      <c r="A4" s="22" t="s">
        <v>92</v>
      </c>
      <c r="B4" s="24">
        <v>2.0</v>
      </c>
      <c r="C4" s="24">
        <v>6.0</v>
      </c>
      <c r="D4" s="24">
        <v>4.0</v>
      </c>
      <c r="E4" s="24">
        <v>0.0</v>
      </c>
    </row>
    <row r="5">
      <c r="A5" s="22" t="s">
        <v>93</v>
      </c>
      <c r="B5" s="49">
        <f>20753-B4</f>
        <v>20751</v>
      </c>
      <c r="C5" s="49">
        <f>20412-C4</f>
        <v>20406</v>
      </c>
      <c r="D5" s="49">
        <f>20424-D4-11</f>
        <v>20409</v>
      </c>
      <c r="E5" s="49">
        <f>20660-E4</f>
        <v>20660</v>
      </c>
    </row>
    <row r="6">
      <c r="A6" s="22" t="s">
        <v>94</v>
      </c>
      <c r="B6" s="23">
        <f t="shared" ref="B6:E6" si="1">B12*30</f>
        <v>18510</v>
      </c>
      <c r="C6" s="23">
        <f t="shared" si="1"/>
        <v>18300</v>
      </c>
      <c r="D6" s="23">
        <f t="shared" si="1"/>
        <v>17910</v>
      </c>
      <c r="E6" s="23">
        <f t="shared" si="1"/>
        <v>18390</v>
      </c>
    </row>
    <row r="7">
      <c r="A7" s="22" t="s">
        <v>95</v>
      </c>
      <c r="B7" s="24">
        <v>24.0</v>
      </c>
      <c r="C7" s="24">
        <v>15.0</v>
      </c>
      <c r="D7" s="24">
        <v>14.0</v>
      </c>
      <c r="E7" s="24">
        <v>14.0</v>
      </c>
    </row>
    <row r="8">
      <c r="A8" s="22" t="s">
        <v>96</v>
      </c>
      <c r="B8" s="24">
        <v>13.0</v>
      </c>
      <c r="C8" s="24">
        <v>9.0</v>
      </c>
      <c r="D8" s="49">
        <v>13.0</v>
      </c>
      <c r="E8" s="24">
        <v>14.0</v>
      </c>
    </row>
    <row r="9">
      <c r="A9" s="22" t="s">
        <v>111</v>
      </c>
      <c r="B9" s="32">
        <v>110.0</v>
      </c>
      <c r="C9" s="32">
        <v>110.0</v>
      </c>
      <c r="D9" s="32">
        <v>110.0</v>
      </c>
      <c r="E9" s="32">
        <v>110.0</v>
      </c>
    </row>
    <row r="10">
      <c r="A10" s="22" t="s">
        <v>98</v>
      </c>
      <c r="B10" s="49">
        <v>1.0</v>
      </c>
      <c r="C10" s="49">
        <v>1.0</v>
      </c>
      <c r="D10" s="49">
        <v>1.0</v>
      </c>
      <c r="E10" s="49">
        <v>1.0</v>
      </c>
    </row>
    <row r="11">
      <c r="A11" s="22" t="s">
        <v>112</v>
      </c>
      <c r="B11" s="26">
        <f t="shared" ref="B11:E11" si="2">round(((B6/B5)*100),2)</f>
        <v>89.2</v>
      </c>
      <c r="C11" s="26">
        <f t="shared" si="2"/>
        <v>89.68</v>
      </c>
      <c r="D11" s="26">
        <f t="shared" si="2"/>
        <v>87.76</v>
      </c>
      <c r="E11" s="26">
        <f t="shared" si="2"/>
        <v>89.01</v>
      </c>
    </row>
    <row r="12">
      <c r="A12" s="22" t="s">
        <v>100</v>
      </c>
      <c r="B12" s="24">
        <v>617.0</v>
      </c>
      <c r="C12" s="24">
        <v>610.0</v>
      </c>
      <c r="D12" s="24">
        <v>597.0</v>
      </c>
      <c r="E12" s="24">
        <v>613.0</v>
      </c>
    </row>
    <row r="13">
      <c r="A13" s="49" t="s">
        <v>471</v>
      </c>
      <c r="B13" s="18" t="s">
        <v>726</v>
      </c>
      <c r="C13" s="18" t="s">
        <v>132</v>
      </c>
      <c r="D13" s="32" t="s">
        <v>132</v>
      </c>
      <c r="E13" s="18"/>
    </row>
    <row r="14">
      <c r="A14" s="50" t="s">
        <v>178</v>
      </c>
      <c r="B14" s="24" t="s">
        <v>669</v>
      </c>
      <c r="C14" s="24" t="s">
        <v>621</v>
      </c>
      <c r="D14" s="18"/>
      <c r="E14" s="18"/>
    </row>
    <row r="15">
      <c r="A15" s="50" t="s">
        <v>103</v>
      </c>
      <c r="B15" s="24" t="s">
        <v>773</v>
      </c>
      <c r="D15" s="24" t="s">
        <v>783</v>
      </c>
    </row>
    <row r="18">
      <c r="A18" s="48" t="s">
        <v>50</v>
      </c>
      <c r="B18" s="46">
        <v>45700.0</v>
      </c>
    </row>
    <row r="19">
      <c r="B19" s="21" t="s">
        <v>4</v>
      </c>
      <c r="C19" s="21" t="s">
        <v>5</v>
      </c>
      <c r="D19" s="21" t="s">
        <v>6</v>
      </c>
      <c r="E19" s="21" t="s">
        <v>7</v>
      </c>
    </row>
    <row r="20">
      <c r="A20" s="22" t="s">
        <v>91</v>
      </c>
      <c r="B20" s="24">
        <v>70.5</v>
      </c>
      <c r="C20" s="24">
        <v>69.4</v>
      </c>
      <c r="D20" s="24">
        <v>75.4</v>
      </c>
      <c r="E20" s="24">
        <v>73.3</v>
      </c>
    </row>
    <row r="21">
      <c r="A21" s="22" t="s">
        <v>92</v>
      </c>
      <c r="B21" s="24">
        <v>3.0</v>
      </c>
      <c r="C21" s="24">
        <v>3.0</v>
      </c>
      <c r="D21" s="24">
        <v>5.0</v>
      </c>
      <c r="E21" s="24">
        <v>9.0</v>
      </c>
    </row>
    <row r="22">
      <c r="A22" s="22" t="s">
        <v>93</v>
      </c>
      <c r="B22" s="49">
        <f t="shared" ref="B22:E22" si="3">B5-B21</f>
        <v>20748</v>
      </c>
      <c r="C22" s="49">
        <f t="shared" si="3"/>
        <v>20403</v>
      </c>
      <c r="D22" s="49">
        <f t="shared" si="3"/>
        <v>20404</v>
      </c>
      <c r="E22" s="49">
        <f t="shared" si="3"/>
        <v>20651</v>
      </c>
    </row>
    <row r="23">
      <c r="A23" s="22" t="s">
        <v>94</v>
      </c>
      <c r="B23" s="23">
        <f t="shared" ref="B23:E23" si="4">B29*30</f>
        <v>18270</v>
      </c>
      <c r="C23" s="23">
        <f t="shared" si="4"/>
        <v>18090</v>
      </c>
      <c r="D23" s="23">
        <f t="shared" si="4"/>
        <v>17730</v>
      </c>
      <c r="E23" s="23">
        <f t="shared" si="4"/>
        <v>18180</v>
      </c>
    </row>
    <row r="24">
      <c r="A24" s="22" t="s">
        <v>95</v>
      </c>
      <c r="B24" s="24">
        <v>18.0</v>
      </c>
      <c r="C24" s="24">
        <v>14.0</v>
      </c>
      <c r="D24" s="24">
        <v>19.0</v>
      </c>
      <c r="E24" s="24">
        <v>8.0</v>
      </c>
    </row>
    <row r="25">
      <c r="A25" s="22" t="s">
        <v>96</v>
      </c>
      <c r="B25" s="24">
        <v>12.0</v>
      </c>
      <c r="C25" s="24">
        <v>11.0</v>
      </c>
      <c r="D25" s="24">
        <v>15.0</v>
      </c>
      <c r="E25" s="24">
        <v>9.0</v>
      </c>
    </row>
    <row r="26">
      <c r="A26" s="22" t="s">
        <v>111</v>
      </c>
      <c r="B26" s="32"/>
      <c r="C26" s="32"/>
      <c r="D26" s="32"/>
      <c r="E26" s="32"/>
    </row>
    <row r="27">
      <c r="A27" s="22" t="s">
        <v>98</v>
      </c>
      <c r="B27" s="49">
        <v>1.0</v>
      </c>
      <c r="C27" s="49">
        <v>1.0</v>
      </c>
      <c r="D27" s="49">
        <v>1.0</v>
      </c>
      <c r="E27" s="49">
        <v>1.0</v>
      </c>
    </row>
    <row r="28">
      <c r="A28" s="22" t="s">
        <v>112</v>
      </c>
      <c r="B28" s="26">
        <f t="shared" ref="B28:E28" si="5">round(((B23/B22)*100),2)</f>
        <v>88.06</v>
      </c>
      <c r="C28" s="26">
        <f t="shared" si="5"/>
        <v>88.66</v>
      </c>
      <c r="D28" s="26">
        <f t="shared" si="5"/>
        <v>86.89</v>
      </c>
      <c r="E28" s="26">
        <f t="shared" si="5"/>
        <v>88.03</v>
      </c>
    </row>
    <row r="29">
      <c r="A29" s="22" t="s">
        <v>100</v>
      </c>
      <c r="B29" s="24">
        <v>609.0</v>
      </c>
      <c r="C29" s="24">
        <v>603.0</v>
      </c>
      <c r="D29" s="24">
        <v>591.0</v>
      </c>
      <c r="E29" s="24">
        <v>606.0</v>
      </c>
    </row>
    <row r="30">
      <c r="A30" s="49" t="s">
        <v>471</v>
      </c>
      <c r="B30" s="18" t="s">
        <v>726</v>
      </c>
      <c r="C30" s="18" t="s">
        <v>132</v>
      </c>
      <c r="D30" s="32" t="s">
        <v>132</v>
      </c>
      <c r="E30" s="18"/>
    </row>
    <row r="31">
      <c r="A31" s="50" t="s">
        <v>178</v>
      </c>
      <c r="B31" s="24" t="s">
        <v>479</v>
      </c>
      <c r="C31" s="24" t="s">
        <v>545</v>
      </c>
      <c r="D31" s="18"/>
      <c r="E31" s="18"/>
    </row>
    <row r="32">
      <c r="A32" s="50" t="s">
        <v>103</v>
      </c>
      <c r="B32" s="24"/>
      <c r="D32" s="24" t="s">
        <v>784</v>
      </c>
    </row>
    <row r="35">
      <c r="A35" s="48" t="s">
        <v>50</v>
      </c>
      <c r="B35" s="46">
        <v>45728.0</v>
      </c>
    </row>
    <row r="36">
      <c r="B36" s="21" t="s">
        <v>4</v>
      </c>
      <c r="C36" s="21" t="s">
        <v>5</v>
      </c>
      <c r="D36" s="21" t="s">
        <v>6</v>
      </c>
      <c r="E36" s="21" t="s">
        <v>7</v>
      </c>
    </row>
    <row r="37">
      <c r="A37" s="22" t="s">
        <v>91</v>
      </c>
      <c r="B37" s="24">
        <v>70.6</v>
      </c>
      <c r="C37" s="24">
        <v>69.5</v>
      </c>
      <c r="D37" s="24">
        <v>75.5</v>
      </c>
      <c r="E37" s="24">
        <v>73.3</v>
      </c>
    </row>
    <row r="38">
      <c r="A38" s="22" t="s">
        <v>92</v>
      </c>
      <c r="B38" s="24">
        <v>4.0</v>
      </c>
      <c r="C38" s="24">
        <v>8.0</v>
      </c>
      <c r="D38" s="24">
        <v>0.0</v>
      </c>
      <c r="E38" s="24">
        <v>8.0</v>
      </c>
    </row>
    <row r="39">
      <c r="A39" s="22" t="s">
        <v>93</v>
      </c>
      <c r="B39" s="49">
        <f t="shared" ref="B39:E39" si="6">B22-B38</f>
        <v>20744</v>
      </c>
      <c r="C39" s="49">
        <f t="shared" si="6"/>
        <v>20395</v>
      </c>
      <c r="D39" s="49">
        <f t="shared" si="6"/>
        <v>20404</v>
      </c>
      <c r="E39" s="49">
        <f t="shared" si="6"/>
        <v>20643</v>
      </c>
    </row>
    <row r="40">
      <c r="A40" s="22" t="s">
        <v>94</v>
      </c>
      <c r="B40" s="23">
        <f t="shared" ref="B40:E40" si="7">B46*30</f>
        <v>18240</v>
      </c>
      <c r="C40" s="23">
        <f t="shared" si="7"/>
        <v>18510</v>
      </c>
      <c r="D40" s="23">
        <f t="shared" si="7"/>
        <v>17820</v>
      </c>
      <c r="E40" s="23">
        <f t="shared" si="7"/>
        <v>18390</v>
      </c>
    </row>
    <row r="41">
      <c r="A41" s="22" t="s">
        <v>95</v>
      </c>
      <c r="B41" s="24">
        <v>20.0</v>
      </c>
      <c r="C41" s="24">
        <v>18.0</v>
      </c>
      <c r="D41" s="24">
        <v>12.0</v>
      </c>
      <c r="E41" s="24">
        <v>9.0</v>
      </c>
    </row>
    <row r="42">
      <c r="A42" s="22" t="s">
        <v>96</v>
      </c>
      <c r="B42" s="24">
        <v>13.0</v>
      </c>
      <c r="C42" s="24">
        <v>14.0</v>
      </c>
      <c r="D42" s="24">
        <v>16.0</v>
      </c>
      <c r="E42" s="24">
        <v>12.0</v>
      </c>
    </row>
    <row r="43">
      <c r="A43" s="22" t="s">
        <v>111</v>
      </c>
      <c r="B43" s="32"/>
      <c r="C43" s="32"/>
      <c r="D43" s="32"/>
      <c r="E43" s="32"/>
    </row>
    <row r="44">
      <c r="A44" s="22" t="s">
        <v>98</v>
      </c>
      <c r="B44" s="49">
        <v>1.0</v>
      </c>
      <c r="C44" s="49">
        <v>1.0</v>
      </c>
      <c r="D44" s="49">
        <v>1.0</v>
      </c>
      <c r="E44" s="49">
        <v>1.0</v>
      </c>
    </row>
    <row r="45">
      <c r="A45" s="22" t="s">
        <v>112</v>
      </c>
      <c r="B45" s="26">
        <f t="shared" ref="B45:E45" si="8">round(((B40/B39)*100),2)</f>
        <v>87.93</v>
      </c>
      <c r="C45" s="26">
        <f t="shared" si="8"/>
        <v>90.76</v>
      </c>
      <c r="D45" s="26">
        <f t="shared" si="8"/>
        <v>87.34</v>
      </c>
      <c r="E45" s="26">
        <f t="shared" si="8"/>
        <v>89.09</v>
      </c>
    </row>
    <row r="46">
      <c r="A46" s="22" t="s">
        <v>100</v>
      </c>
      <c r="B46" s="24">
        <v>608.0</v>
      </c>
      <c r="C46" s="24">
        <v>617.0</v>
      </c>
      <c r="D46" s="24">
        <v>594.0</v>
      </c>
      <c r="E46" s="24">
        <v>613.0</v>
      </c>
    </row>
    <row r="47">
      <c r="A47" s="49" t="s">
        <v>471</v>
      </c>
      <c r="B47" s="18" t="s">
        <v>726</v>
      </c>
      <c r="C47" s="18" t="s">
        <v>132</v>
      </c>
      <c r="D47" s="32" t="s">
        <v>132</v>
      </c>
      <c r="E47" s="18"/>
    </row>
    <row r="48">
      <c r="A48" s="50" t="s">
        <v>178</v>
      </c>
      <c r="B48" s="24" t="s">
        <v>785</v>
      </c>
      <c r="C48" s="24" t="s">
        <v>107</v>
      </c>
      <c r="D48" s="18"/>
      <c r="E48" s="18"/>
    </row>
    <row r="49">
      <c r="A49" s="50" t="s">
        <v>103</v>
      </c>
      <c r="B49" s="24"/>
      <c r="D49" s="24" t="s">
        <v>786</v>
      </c>
    </row>
    <row r="52">
      <c r="A52" s="48" t="s">
        <v>50</v>
      </c>
      <c r="B52" s="46">
        <v>45759.0</v>
      </c>
    </row>
    <row r="53">
      <c r="B53" s="21" t="s">
        <v>4</v>
      </c>
      <c r="C53" s="21" t="s">
        <v>5</v>
      </c>
      <c r="D53" s="21" t="s">
        <v>6</v>
      </c>
      <c r="E53" s="21" t="s">
        <v>7</v>
      </c>
    </row>
    <row r="54">
      <c r="A54" s="22" t="s">
        <v>91</v>
      </c>
      <c r="B54" s="24">
        <v>70.7</v>
      </c>
      <c r="C54" s="24">
        <v>69.6</v>
      </c>
      <c r="D54" s="24">
        <v>75.6</v>
      </c>
      <c r="E54" s="24">
        <v>73.4</v>
      </c>
    </row>
    <row r="55">
      <c r="A55" s="22" t="s">
        <v>92</v>
      </c>
      <c r="B55" s="24">
        <v>2.0</v>
      </c>
      <c r="C55" s="24">
        <v>6.0</v>
      </c>
      <c r="D55" s="24">
        <v>7.0</v>
      </c>
      <c r="E55" s="24">
        <v>4.0</v>
      </c>
    </row>
    <row r="56">
      <c r="A56" s="22" t="s">
        <v>93</v>
      </c>
      <c r="B56" s="49">
        <f t="shared" ref="B56:E56" si="9">B39-B55</f>
        <v>20742</v>
      </c>
      <c r="C56" s="49">
        <f t="shared" si="9"/>
        <v>20389</v>
      </c>
      <c r="D56" s="49">
        <f t="shared" si="9"/>
        <v>20397</v>
      </c>
      <c r="E56" s="49">
        <f t="shared" si="9"/>
        <v>20639</v>
      </c>
    </row>
    <row r="57">
      <c r="A57" s="22" t="s">
        <v>94</v>
      </c>
      <c r="B57" s="23">
        <f t="shared" ref="B57:E57" si="10">B63*30</f>
        <v>18330</v>
      </c>
      <c r="C57" s="23">
        <f t="shared" si="10"/>
        <v>18480</v>
      </c>
      <c r="D57" s="23">
        <f t="shared" si="10"/>
        <v>17850</v>
      </c>
      <c r="E57" s="23">
        <f t="shared" si="10"/>
        <v>18390</v>
      </c>
    </row>
    <row r="58">
      <c r="A58" s="22" t="s">
        <v>95</v>
      </c>
      <c r="B58" s="24">
        <v>16.0</v>
      </c>
      <c r="C58" s="24">
        <v>15.0</v>
      </c>
      <c r="D58" s="24">
        <v>15.0</v>
      </c>
      <c r="E58" s="24">
        <v>8.0</v>
      </c>
    </row>
    <row r="59">
      <c r="A59" s="22" t="s">
        <v>96</v>
      </c>
      <c r="B59" s="24">
        <v>14.0</v>
      </c>
      <c r="C59" s="24">
        <v>10.0</v>
      </c>
      <c r="D59" s="24">
        <v>18.0</v>
      </c>
      <c r="E59" s="24">
        <v>6.0</v>
      </c>
    </row>
    <row r="60">
      <c r="A60" s="22" t="s">
        <v>111</v>
      </c>
      <c r="B60" s="32">
        <v>110.0</v>
      </c>
      <c r="C60" s="32">
        <v>110.0</v>
      </c>
      <c r="D60" s="32">
        <v>110.0</v>
      </c>
      <c r="E60" s="32">
        <v>110.0</v>
      </c>
    </row>
    <row r="61">
      <c r="A61" s="22" t="s">
        <v>98</v>
      </c>
      <c r="B61" s="49">
        <v>1.0</v>
      </c>
      <c r="C61" s="49">
        <v>1.0</v>
      </c>
      <c r="D61" s="49">
        <v>1.0</v>
      </c>
      <c r="E61" s="49">
        <v>1.0</v>
      </c>
    </row>
    <row r="62">
      <c r="A62" s="22" t="s">
        <v>112</v>
      </c>
      <c r="B62" s="26">
        <f t="shared" ref="B62:E62" si="11">round(((B57/B56)*100),2)</f>
        <v>88.37</v>
      </c>
      <c r="C62" s="26">
        <f t="shared" si="11"/>
        <v>90.64</v>
      </c>
      <c r="D62" s="26">
        <f t="shared" si="11"/>
        <v>87.51</v>
      </c>
      <c r="E62" s="26">
        <f t="shared" si="11"/>
        <v>89.1</v>
      </c>
    </row>
    <row r="63">
      <c r="A63" s="22" t="s">
        <v>100</v>
      </c>
      <c r="B63" s="24">
        <v>611.0</v>
      </c>
      <c r="C63" s="24">
        <v>616.0</v>
      </c>
      <c r="D63" s="24">
        <v>595.0</v>
      </c>
      <c r="E63" s="24">
        <v>613.0</v>
      </c>
    </row>
    <row r="64">
      <c r="A64" s="49" t="s">
        <v>471</v>
      </c>
      <c r="B64" s="18" t="s">
        <v>726</v>
      </c>
      <c r="C64" s="18" t="s">
        <v>132</v>
      </c>
      <c r="D64" s="32" t="s">
        <v>132</v>
      </c>
      <c r="E64" s="18"/>
    </row>
    <row r="65">
      <c r="A65" s="50" t="s">
        <v>178</v>
      </c>
      <c r="B65" s="24" t="s">
        <v>676</v>
      </c>
      <c r="C65" s="24" t="s">
        <v>486</v>
      </c>
      <c r="D65" s="18"/>
      <c r="E65" s="18"/>
    </row>
    <row r="66">
      <c r="A66" s="50" t="s">
        <v>103</v>
      </c>
      <c r="B66" s="24" t="s">
        <v>787</v>
      </c>
      <c r="D66" s="24" t="s">
        <v>788</v>
      </c>
    </row>
    <row r="69">
      <c r="A69" s="48" t="s">
        <v>50</v>
      </c>
      <c r="B69" s="46">
        <v>45789.0</v>
      </c>
    </row>
    <row r="70">
      <c r="B70" s="21" t="s">
        <v>4</v>
      </c>
      <c r="C70" s="21" t="s">
        <v>5</v>
      </c>
      <c r="D70" s="21" t="s">
        <v>6</v>
      </c>
      <c r="E70" s="21" t="s">
        <v>7</v>
      </c>
    </row>
    <row r="71">
      <c r="A71" s="22" t="s">
        <v>91</v>
      </c>
      <c r="B71" s="24">
        <v>71.1</v>
      </c>
      <c r="C71" s="24">
        <v>69.7</v>
      </c>
      <c r="D71" s="24">
        <v>75.7</v>
      </c>
      <c r="E71" s="24">
        <v>73.5</v>
      </c>
    </row>
    <row r="72">
      <c r="A72" s="22" t="s">
        <v>92</v>
      </c>
      <c r="B72" s="24">
        <v>4.0</v>
      </c>
      <c r="C72" s="24">
        <v>1.0</v>
      </c>
      <c r="D72" s="24">
        <v>5.0</v>
      </c>
      <c r="E72" s="24">
        <v>3.0</v>
      </c>
    </row>
    <row r="73">
      <c r="A73" s="22" t="s">
        <v>93</v>
      </c>
      <c r="B73" s="49">
        <f t="shared" ref="B73:E73" si="12">B56-B72</f>
        <v>20738</v>
      </c>
      <c r="C73" s="49">
        <f t="shared" si="12"/>
        <v>20388</v>
      </c>
      <c r="D73" s="49">
        <f t="shared" si="12"/>
        <v>20392</v>
      </c>
      <c r="E73" s="49">
        <f t="shared" si="12"/>
        <v>20636</v>
      </c>
    </row>
    <row r="74">
      <c r="A74" s="22" t="s">
        <v>94</v>
      </c>
      <c r="B74" s="23">
        <f t="shared" ref="B74:E74" si="13">B80*30</f>
        <v>18270</v>
      </c>
      <c r="C74" s="23">
        <f t="shared" si="13"/>
        <v>18360</v>
      </c>
      <c r="D74" s="23">
        <f t="shared" si="13"/>
        <v>17850</v>
      </c>
      <c r="E74" s="23">
        <f t="shared" si="13"/>
        <v>18420</v>
      </c>
    </row>
    <row r="75">
      <c r="A75" s="22" t="s">
        <v>95</v>
      </c>
      <c r="B75" s="24">
        <v>11.0</v>
      </c>
      <c r="C75" s="24">
        <v>22.0</v>
      </c>
      <c r="D75" s="24">
        <v>14.0</v>
      </c>
      <c r="E75" s="24">
        <v>14.0</v>
      </c>
    </row>
    <row r="76">
      <c r="A76" s="22" t="s">
        <v>96</v>
      </c>
      <c r="B76" s="24">
        <v>8.0</v>
      </c>
      <c r="C76" s="24">
        <v>17.0</v>
      </c>
      <c r="D76" s="24">
        <v>16.0</v>
      </c>
      <c r="E76" s="24">
        <v>9.0</v>
      </c>
    </row>
    <row r="77">
      <c r="A77" s="22" t="s">
        <v>111</v>
      </c>
      <c r="B77" s="32"/>
      <c r="C77" s="32"/>
      <c r="D77" s="32"/>
      <c r="E77" s="32"/>
    </row>
    <row r="78">
      <c r="A78" s="22" t="s">
        <v>98</v>
      </c>
      <c r="B78" s="49">
        <v>1.0</v>
      </c>
      <c r="C78" s="49">
        <v>1.0</v>
      </c>
      <c r="D78" s="49">
        <v>1.0</v>
      </c>
      <c r="E78" s="49">
        <v>1.0</v>
      </c>
    </row>
    <row r="79">
      <c r="A79" s="22" t="s">
        <v>112</v>
      </c>
      <c r="B79" s="26">
        <f t="shared" ref="B79:E79" si="14">round(((B74/B73)*100),2)</f>
        <v>88.1</v>
      </c>
      <c r="C79" s="26">
        <f t="shared" si="14"/>
        <v>90.05</v>
      </c>
      <c r="D79" s="26">
        <f t="shared" si="14"/>
        <v>87.53</v>
      </c>
      <c r="E79" s="26">
        <f t="shared" si="14"/>
        <v>89.26</v>
      </c>
    </row>
    <row r="80">
      <c r="A80" s="22" t="s">
        <v>100</v>
      </c>
      <c r="B80" s="24">
        <v>609.0</v>
      </c>
      <c r="C80" s="24">
        <v>612.0</v>
      </c>
      <c r="D80" s="24">
        <v>595.0</v>
      </c>
      <c r="E80" s="24">
        <v>614.0</v>
      </c>
    </row>
    <row r="81">
      <c r="A81" s="49" t="s">
        <v>471</v>
      </c>
      <c r="B81" s="18" t="s">
        <v>726</v>
      </c>
      <c r="C81" s="32" t="s">
        <v>789</v>
      </c>
      <c r="D81" s="32" t="s">
        <v>638</v>
      </c>
      <c r="E81" s="18"/>
    </row>
    <row r="82">
      <c r="A82" s="50" t="s">
        <v>178</v>
      </c>
      <c r="B82" s="24" t="s">
        <v>663</v>
      </c>
      <c r="C82" s="24" t="s">
        <v>486</v>
      </c>
      <c r="D82" s="18"/>
      <c r="E82" s="18"/>
    </row>
    <row r="83">
      <c r="A83" s="50" t="s">
        <v>103</v>
      </c>
      <c r="B83" s="24" t="s">
        <v>790</v>
      </c>
      <c r="D83" s="24" t="s">
        <v>791</v>
      </c>
    </row>
    <row r="86">
      <c r="A86" s="48" t="s">
        <v>50</v>
      </c>
      <c r="B86" s="46">
        <v>45820.0</v>
      </c>
    </row>
    <row r="87">
      <c r="B87" s="21" t="s">
        <v>4</v>
      </c>
      <c r="C87" s="21" t="s">
        <v>5</v>
      </c>
      <c r="D87" s="21" t="s">
        <v>6</v>
      </c>
      <c r="E87" s="21" t="s">
        <v>7</v>
      </c>
    </row>
    <row r="88">
      <c r="A88" s="22" t="s">
        <v>91</v>
      </c>
      <c r="B88" s="24">
        <v>71.2</v>
      </c>
      <c r="C88" s="24">
        <v>70.1</v>
      </c>
      <c r="D88" s="24">
        <v>76.1</v>
      </c>
      <c r="E88" s="24">
        <v>73.6</v>
      </c>
    </row>
    <row r="89">
      <c r="A89" s="22" t="s">
        <v>92</v>
      </c>
      <c r="B89" s="24">
        <v>4.0</v>
      </c>
      <c r="C89" s="24">
        <v>5.0</v>
      </c>
      <c r="D89" s="24">
        <v>6.0</v>
      </c>
      <c r="E89" s="24">
        <v>7.0</v>
      </c>
    </row>
    <row r="90">
      <c r="A90" s="22" t="s">
        <v>93</v>
      </c>
      <c r="B90" s="49">
        <f>B73-B89</f>
        <v>20734</v>
      </c>
      <c r="C90" s="49">
        <f>C73-C89-17</f>
        <v>20366</v>
      </c>
      <c r="D90" s="49">
        <f>D73-D89-11</f>
        <v>20375</v>
      </c>
      <c r="E90" s="49">
        <f>E73-E89</f>
        <v>20629</v>
      </c>
    </row>
    <row r="91">
      <c r="A91" s="22" t="s">
        <v>94</v>
      </c>
      <c r="B91" s="23">
        <f t="shared" ref="B91:E91" si="15">B97*30</f>
        <v>18330</v>
      </c>
      <c r="C91" s="23">
        <f t="shared" si="15"/>
        <v>18420</v>
      </c>
      <c r="D91" s="23">
        <f t="shared" si="15"/>
        <v>17880</v>
      </c>
      <c r="E91" s="23">
        <f t="shared" si="15"/>
        <v>18450</v>
      </c>
    </row>
    <row r="92">
      <c r="A92" s="22" t="s">
        <v>95</v>
      </c>
      <c r="B92" s="24">
        <v>20.0</v>
      </c>
      <c r="C92" s="24">
        <v>15.0</v>
      </c>
      <c r="D92" s="24">
        <v>19.0</v>
      </c>
      <c r="E92" s="24">
        <v>7.0</v>
      </c>
    </row>
    <row r="93">
      <c r="A93" s="22" t="s">
        <v>96</v>
      </c>
      <c r="B93" s="24">
        <v>15.0</v>
      </c>
      <c r="C93" s="24">
        <v>10.0</v>
      </c>
      <c r="D93" s="24">
        <v>14.0</v>
      </c>
      <c r="E93" s="24">
        <v>9.0</v>
      </c>
    </row>
    <row r="94">
      <c r="A94" s="22" t="s">
        <v>111</v>
      </c>
      <c r="B94" s="32">
        <v>55.0</v>
      </c>
      <c r="C94" s="32">
        <v>55.0</v>
      </c>
      <c r="D94" s="32">
        <v>55.0</v>
      </c>
      <c r="E94" s="32"/>
    </row>
    <row r="95">
      <c r="A95" s="22" t="s">
        <v>98</v>
      </c>
      <c r="B95" s="49">
        <v>1.0</v>
      </c>
      <c r="C95" s="49">
        <v>1.0</v>
      </c>
      <c r="D95" s="49">
        <v>1.0</v>
      </c>
      <c r="E95" s="49">
        <v>1.0</v>
      </c>
    </row>
    <row r="96">
      <c r="A96" s="22" t="s">
        <v>112</v>
      </c>
      <c r="B96" s="26">
        <f t="shared" ref="B96:E96" si="16">round(((B91/B90)*100),2)</f>
        <v>88.41</v>
      </c>
      <c r="C96" s="26">
        <f t="shared" si="16"/>
        <v>90.44</v>
      </c>
      <c r="D96" s="26">
        <f t="shared" si="16"/>
        <v>87.75</v>
      </c>
      <c r="E96" s="26">
        <f t="shared" si="16"/>
        <v>89.44</v>
      </c>
    </row>
    <row r="97">
      <c r="A97" s="22" t="s">
        <v>100</v>
      </c>
      <c r="B97" s="24">
        <v>611.0</v>
      </c>
      <c r="C97" s="24">
        <v>614.0</v>
      </c>
      <c r="D97" s="24">
        <v>596.0</v>
      </c>
      <c r="E97" s="24">
        <v>615.0</v>
      </c>
    </row>
    <row r="98">
      <c r="A98" s="49" t="s">
        <v>471</v>
      </c>
      <c r="B98" s="18" t="s">
        <v>726</v>
      </c>
      <c r="C98" s="32" t="s">
        <v>792</v>
      </c>
      <c r="D98" s="32" t="s">
        <v>132</v>
      </c>
      <c r="E98" s="18"/>
    </row>
    <row r="99">
      <c r="A99" s="50" t="s">
        <v>178</v>
      </c>
      <c r="B99" s="24" t="s">
        <v>475</v>
      </c>
      <c r="C99" s="24" t="s">
        <v>486</v>
      </c>
      <c r="D99" s="18"/>
      <c r="E99" s="18"/>
    </row>
    <row r="100">
      <c r="A100" s="50" t="s">
        <v>103</v>
      </c>
      <c r="B100" s="24" t="s">
        <v>793</v>
      </c>
      <c r="D100" s="24" t="s">
        <v>794</v>
      </c>
    </row>
    <row r="103">
      <c r="A103" s="48" t="s">
        <v>50</v>
      </c>
      <c r="B103" s="46">
        <v>45850.0</v>
      </c>
    </row>
    <row r="104">
      <c r="B104" s="21" t="s">
        <v>4</v>
      </c>
      <c r="C104" s="21" t="s">
        <v>5</v>
      </c>
      <c r="D104" s="21" t="s">
        <v>6</v>
      </c>
      <c r="E104" s="21" t="s">
        <v>7</v>
      </c>
    </row>
    <row r="105">
      <c r="A105" s="22" t="s">
        <v>91</v>
      </c>
      <c r="B105" s="24">
        <v>71.3</v>
      </c>
      <c r="C105" s="24">
        <v>70.2</v>
      </c>
      <c r="D105" s="24">
        <v>76.2</v>
      </c>
      <c r="E105" s="24">
        <v>73.7</v>
      </c>
    </row>
    <row r="106">
      <c r="A106" s="22" t="s">
        <v>92</v>
      </c>
      <c r="B106" s="24">
        <v>5.0</v>
      </c>
      <c r="C106" s="24">
        <v>7.0</v>
      </c>
      <c r="D106" s="24">
        <v>8.0</v>
      </c>
      <c r="E106" s="24">
        <v>6.0</v>
      </c>
    </row>
    <row r="107">
      <c r="A107" s="22" t="s">
        <v>93</v>
      </c>
      <c r="B107" s="49">
        <f t="shared" ref="B107:E107" si="17">B90-B106</f>
        <v>20729</v>
      </c>
      <c r="C107" s="49">
        <f t="shared" si="17"/>
        <v>20359</v>
      </c>
      <c r="D107" s="49">
        <f t="shared" si="17"/>
        <v>20367</v>
      </c>
      <c r="E107" s="49">
        <f t="shared" si="17"/>
        <v>20623</v>
      </c>
    </row>
    <row r="108">
      <c r="A108" s="22" t="s">
        <v>94</v>
      </c>
      <c r="B108" s="23">
        <f t="shared" ref="B108:E108" si="18">B114*30</f>
        <v>18360</v>
      </c>
      <c r="C108" s="23">
        <f t="shared" si="18"/>
        <v>18480</v>
      </c>
      <c r="D108" s="23">
        <f t="shared" si="18"/>
        <v>18030</v>
      </c>
      <c r="E108" s="23">
        <f t="shared" si="18"/>
        <v>18390</v>
      </c>
    </row>
    <row r="109">
      <c r="A109" s="22" t="s">
        <v>95</v>
      </c>
      <c r="B109" s="24">
        <v>10.0</v>
      </c>
      <c r="C109" s="24">
        <v>27.0</v>
      </c>
      <c r="D109" s="24">
        <v>14.0</v>
      </c>
      <c r="E109" s="24">
        <v>21.0</v>
      </c>
    </row>
    <row r="110">
      <c r="A110" s="22" t="s">
        <v>96</v>
      </c>
      <c r="B110" s="24">
        <v>8.0</v>
      </c>
      <c r="C110" s="24">
        <v>17.0</v>
      </c>
      <c r="D110" s="24">
        <v>17.0</v>
      </c>
      <c r="E110" s="24">
        <v>5.0</v>
      </c>
    </row>
    <row r="111">
      <c r="A111" s="22" t="s">
        <v>111</v>
      </c>
      <c r="B111" s="32"/>
      <c r="C111" s="32"/>
      <c r="D111" s="32"/>
      <c r="E111" s="32"/>
    </row>
    <row r="112">
      <c r="A112" s="22" t="s">
        <v>98</v>
      </c>
      <c r="B112" s="49">
        <v>1.0</v>
      </c>
      <c r="C112" s="49">
        <v>1.0</v>
      </c>
      <c r="D112" s="49">
        <v>1.0</v>
      </c>
      <c r="E112" s="49">
        <v>1.0</v>
      </c>
    </row>
    <row r="113">
      <c r="A113" s="22" t="s">
        <v>112</v>
      </c>
      <c r="B113" s="26">
        <f t="shared" ref="B113:E113" si="19">round(((B108/B107)*100),2)</f>
        <v>88.57</v>
      </c>
      <c r="C113" s="26">
        <f t="shared" si="19"/>
        <v>90.77</v>
      </c>
      <c r="D113" s="26">
        <f t="shared" si="19"/>
        <v>88.53</v>
      </c>
      <c r="E113" s="26">
        <f t="shared" si="19"/>
        <v>89.17</v>
      </c>
    </row>
    <row r="114">
      <c r="A114" s="22" t="s">
        <v>100</v>
      </c>
      <c r="B114" s="24">
        <v>612.0</v>
      </c>
      <c r="C114" s="24">
        <v>616.0</v>
      </c>
      <c r="D114" s="24">
        <v>601.0</v>
      </c>
      <c r="E114" s="24">
        <v>613.0</v>
      </c>
    </row>
    <row r="115">
      <c r="A115" s="49" t="s">
        <v>471</v>
      </c>
      <c r="B115" s="18" t="s">
        <v>726</v>
      </c>
      <c r="C115" s="32" t="s">
        <v>792</v>
      </c>
      <c r="D115" s="32" t="s">
        <v>132</v>
      </c>
      <c r="E115" s="18"/>
    </row>
    <row r="116">
      <c r="A116" s="50" t="s">
        <v>178</v>
      </c>
      <c r="B116" s="24" t="s">
        <v>479</v>
      </c>
      <c r="C116" s="24" t="s">
        <v>185</v>
      </c>
      <c r="D116" s="18"/>
      <c r="E116" s="18"/>
    </row>
    <row r="117">
      <c r="A117" s="50" t="s">
        <v>103</v>
      </c>
      <c r="B117" s="24" t="s">
        <v>795</v>
      </c>
      <c r="D117" s="24" t="s">
        <v>796</v>
      </c>
    </row>
    <row r="120">
      <c r="A120" s="48" t="s">
        <v>50</v>
      </c>
      <c r="B120" s="46">
        <v>45881.0</v>
      </c>
    </row>
    <row r="121">
      <c r="B121" s="21" t="s">
        <v>4</v>
      </c>
      <c r="C121" s="21" t="s">
        <v>5</v>
      </c>
      <c r="D121" s="21" t="s">
        <v>6</v>
      </c>
      <c r="E121" s="21" t="s">
        <v>7</v>
      </c>
    </row>
    <row r="122">
      <c r="A122" s="22" t="s">
        <v>91</v>
      </c>
      <c r="B122" s="24">
        <v>71.4</v>
      </c>
      <c r="C122" s="24">
        <v>70.3</v>
      </c>
      <c r="D122" s="24">
        <v>76.3</v>
      </c>
      <c r="E122" s="24">
        <v>74.1</v>
      </c>
    </row>
    <row r="123">
      <c r="A123" s="22" t="s">
        <v>92</v>
      </c>
      <c r="B123" s="24">
        <v>2.0</v>
      </c>
      <c r="C123" s="24">
        <v>4.0</v>
      </c>
      <c r="D123" s="24">
        <v>6.0</v>
      </c>
      <c r="E123" s="24">
        <v>6.0</v>
      </c>
    </row>
    <row r="124">
      <c r="A124" s="22" t="s">
        <v>93</v>
      </c>
      <c r="B124" s="49">
        <f t="shared" ref="B124:E124" si="20">B107-B123</f>
        <v>20727</v>
      </c>
      <c r="C124" s="49">
        <f t="shared" si="20"/>
        <v>20355</v>
      </c>
      <c r="D124" s="49">
        <f t="shared" si="20"/>
        <v>20361</v>
      </c>
      <c r="E124" s="49">
        <f t="shared" si="20"/>
        <v>20617</v>
      </c>
    </row>
    <row r="125">
      <c r="A125" s="22" t="s">
        <v>94</v>
      </c>
      <c r="B125" s="23">
        <f t="shared" ref="B125:E125" si="21">B131*30</f>
        <v>18540</v>
      </c>
      <c r="C125" s="23">
        <f t="shared" si="21"/>
        <v>18450</v>
      </c>
      <c r="D125" s="23">
        <f t="shared" si="21"/>
        <v>18090</v>
      </c>
      <c r="E125" s="23">
        <f t="shared" si="21"/>
        <v>18510</v>
      </c>
    </row>
    <row r="126">
      <c r="A126" s="22" t="s">
        <v>95</v>
      </c>
      <c r="B126" s="24">
        <v>29.0</v>
      </c>
      <c r="C126" s="24">
        <v>18.0</v>
      </c>
      <c r="D126" s="24">
        <v>23.0</v>
      </c>
      <c r="E126" s="24">
        <v>12.0</v>
      </c>
    </row>
    <row r="127">
      <c r="A127" s="22" t="s">
        <v>96</v>
      </c>
      <c r="B127" s="24">
        <v>17.0</v>
      </c>
      <c r="C127" s="24">
        <v>12.0</v>
      </c>
      <c r="D127" s="24">
        <v>12.0</v>
      </c>
      <c r="E127" s="24">
        <v>2.0</v>
      </c>
    </row>
    <row r="128">
      <c r="A128" s="22" t="s">
        <v>111</v>
      </c>
      <c r="B128" s="32">
        <v>110.0</v>
      </c>
      <c r="C128" s="32">
        <v>110.0</v>
      </c>
      <c r="D128" s="32">
        <v>110.0</v>
      </c>
      <c r="E128" s="32">
        <v>110.0</v>
      </c>
    </row>
    <row r="129">
      <c r="A129" s="22" t="s">
        <v>98</v>
      </c>
      <c r="B129" s="49">
        <v>1.0</v>
      </c>
      <c r="C129" s="49">
        <v>1.0</v>
      </c>
      <c r="D129" s="49">
        <v>1.0</v>
      </c>
      <c r="E129" s="49">
        <v>1.0</v>
      </c>
    </row>
    <row r="130">
      <c r="A130" s="22" t="s">
        <v>112</v>
      </c>
      <c r="B130" s="26">
        <f t="shared" ref="B130:E130" si="22">round(((B125/B124)*100),2)</f>
        <v>89.45</v>
      </c>
      <c r="C130" s="26">
        <f t="shared" si="22"/>
        <v>90.64</v>
      </c>
      <c r="D130" s="26">
        <f t="shared" si="22"/>
        <v>88.85</v>
      </c>
      <c r="E130" s="26">
        <f t="shared" si="22"/>
        <v>89.78</v>
      </c>
    </row>
    <row r="131">
      <c r="A131" s="22" t="s">
        <v>100</v>
      </c>
      <c r="B131" s="24">
        <v>618.0</v>
      </c>
      <c r="C131" s="24">
        <v>615.0</v>
      </c>
      <c r="D131" s="24">
        <v>603.0</v>
      </c>
      <c r="E131" s="24">
        <v>617.0</v>
      </c>
    </row>
    <row r="132">
      <c r="A132" s="49" t="s">
        <v>471</v>
      </c>
      <c r="B132" s="18" t="s">
        <v>726</v>
      </c>
      <c r="C132" s="32" t="s">
        <v>792</v>
      </c>
      <c r="D132" s="32" t="s">
        <v>132</v>
      </c>
      <c r="E132" s="18"/>
    </row>
    <row r="133">
      <c r="A133" s="50" t="s">
        <v>178</v>
      </c>
      <c r="B133" s="24" t="s">
        <v>472</v>
      </c>
      <c r="C133" s="24" t="s">
        <v>185</v>
      </c>
      <c r="D133" s="18"/>
      <c r="E133" s="18"/>
    </row>
    <row r="134">
      <c r="A134" s="50" t="s">
        <v>103</v>
      </c>
      <c r="B134" s="24"/>
      <c r="D134" s="24" t="s">
        <v>797</v>
      </c>
    </row>
    <row r="137">
      <c r="A137" s="48" t="s">
        <v>50</v>
      </c>
      <c r="B137" s="46">
        <v>45912.0</v>
      </c>
    </row>
    <row r="138">
      <c r="B138" s="21" t="s">
        <v>4</v>
      </c>
      <c r="C138" s="21" t="s">
        <v>5</v>
      </c>
      <c r="D138" s="21" t="s">
        <v>6</v>
      </c>
      <c r="E138" s="21" t="s">
        <v>7</v>
      </c>
    </row>
    <row r="139">
      <c r="A139" s="22" t="s">
        <v>91</v>
      </c>
      <c r="B139" s="24">
        <v>71.5</v>
      </c>
      <c r="C139" s="24">
        <v>70.4</v>
      </c>
      <c r="D139" s="24">
        <v>76.4</v>
      </c>
      <c r="E139" s="24">
        <v>74.2</v>
      </c>
    </row>
    <row r="140">
      <c r="A140" s="22" t="s">
        <v>92</v>
      </c>
      <c r="B140" s="24">
        <v>7.0</v>
      </c>
      <c r="C140" s="24">
        <v>8.0</v>
      </c>
      <c r="D140" s="24">
        <v>5.0</v>
      </c>
      <c r="E140" s="24">
        <v>3.0</v>
      </c>
    </row>
    <row r="141">
      <c r="A141" s="22" t="s">
        <v>93</v>
      </c>
      <c r="B141" s="49">
        <f t="shared" ref="B141:E141" si="23">B124-B140</f>
        <v>20720</v>
      </c>
      <c r="C141" s="49">
        <f t="shared" si="23"/>
        <v>20347</v>
      </c>
      <c r="D141" s="49">
        <f t="shared" si="23"/>
        <v>20356</v>
      </c>
      <c r="E141" s="49">
        <f t="shared" si="23"/>
        <v>20614</v>
      </c>
    </row>
    <row r="142">
      <c r="A142" s="22" t="s">
        <v>94</v>
      </c>
      <c r="B142" s="23">
        <f t="shared" ref="B142:E142" si="24">B148*30</f>
        <v>18630</v>
      </c>
      <c r="C142" s="23">
        <f t="shared" si="24"/>
        <v>18600</v>
      </c>
      <c r="D142" s="23">
        <f t="shared" si="24"/>
        <v>18150</v>
      </c>
      <c r="E142" s="23">
        <f t="shared" si="24"/>
        <v>18600</v>
      </c>
    </row>
    <row r="143">
      <c r="A143" s="22" t="s">
        <v>95</v>
      </c>
      <c r="B143" s="24">
        <v>20.0</v>
      </c>
      <c r="C143" s="24">
        <v>16.0</v>
      </c>
      <c r="D143" s="24">
        <v>20.0</v>
      </c>
      <c r="E143" s="24">
        <v>8.0</v>
      </c>
    </row>
    <row r="144">
      <c r="A144" s="22" t="s">
        <v>96</v>
      </c>
      <c r="B144" s="24">
        <v>14.0</v>
      </c>
      <c r="C144" s="24">
        <v>11.0</v>
      </c>
      <c r="D144" s="24">
        <v>13.0</v>
      </c>
      <c r="E144" s="24">
        <v>10.0</v>
      </c>
    </row>
    <row r="145">
      <c r="A145" s="22" t="s">
        <v>111</v>
      </c>
      <c r="B145" s="32"/>
      <c r="C145" s="32"/>
      <c r="D145" s="32"/>
      <c r="E145" s="32"/>
    </row>
    <row r="146">
      <c r="A146" s="22" t="s">
        <v>98</v>
      </c>
      <c r="B146" s="49">
        <v>1.0</v>
      </c>
      <c r="C146" s="49">
        <v>1.0</v>
      </c>
      <c r="D146" s="49">
        <v>1.0</v>
      </c>
      <c r="E146" s="49">
        <v>1.0</v>
      </c>
    </row>
    <row r="147">
      <c r="A147" s="22" t="s">
        <v>112</v>
      </c>
      <c r="B147" s="26">
        <f t="shared" ref="B147:E147" si="25">round(((B142/B141)*100),2)</f>
        <v>89.91</v>
      </c>
      <c r="C147" s="26">
        <f t="shared" si="25"/>
        <v>91.41</v>
      </c>
      <c r="D147" s="26">
        <f t="shared" si="25"/>
        <v>89.16</v>
      </c>
      <c r="E147" s="26">
        <f t="shared" si="25"/>
        <v>90.23</v>
      </c>
    </row>
    <row r="148">
      <c r="A148" s="22" t="s">
        <v>100</v>
      </c>
      <c r="B148" s="24">
        <v>621.0</v>
      </c>
      <c r="C148" s="24">
        <v>620.0</v>
      </c>
      <c r="D148" s="24">
        <v>605.0</v>
      </c>
      <c r="E148" s="24">
        <v>620.0</v>
      </c>
    </row>
    <row r="149">
      <c r="A149" s="49" t="s">
        <v>471</v>
      </c>
      <c r="B149" s="18" t="s">
        <v>726</v>
      </c>
      <c r="C149" s="32" t="s">
        <v>792</v>
      </c>
      <c r="D149" s="32" t="s">
        <v>132</v>
      </c>
      <c r="E149" s="18"/>
    </row>
    <row r="150">
      <c r="A150" s="50" t="s">
        <v>178</v>
      </c>
      <c r="B150" s="24" t="s">
        <v>656</v>
      </c>
      <c r="C150" s="24" t="s">
        <v>492</v>
      </c>
      <c r="D150" s="18"/>
      <c r="E150" s="18"/>
    </row>
    <row r="151">
      <c r="A151" s="50" t="s">
        <v>103</v>
      </c>
      <c r="B151" s="24" t="s">
        <v>798</v>
      </c>
      <c r="D151" s="24" t="s">
        <v>799</v>
      </c>
    </row>
    <row r="154">
      <c r="A154" s="48" t="s">
        <v>50</v>
      </c>
      <c r="B154" s="46">
        <v>45942.0</v>
      </c>
    </row>
    <row r="155">
      <c r="B155" s="21" t="s">
        <v>4</v>
      </c>
      <c r="C155" s="21" t="s">
        <v>5</v>
      </c>
      <c r="D155" s="21" t="s">
        <v>6</v>
      </c>
      <c r="E155" s="21" t="s">
        <v>7</v>
      </c>
    </row>
    <row r="156">
      <c r="A156" s="22" t="s">
        <v>91</v>
      </c>
      <c r="B156" s="24">
        <v>71.6</v>
      </c>
      <c r="C156" s="24">
        <v>70.5</v>
      </c>
      <c r="D156" s="24">
        <v>76.5</v>
      </c>
      <c r="E156" s="24">
        <v>74.3</v>
      </c>
    </row>
    <row r="157">
      <c r="A157" s="22" t="s">
        <v>92</v>
      </c>
      <c r="B157" s="24">
        <v>1.0</v>
      </c>
      <c r="C157" s="24">
        <v>0.0</v>
      </c>
      <c r="D157" s="24">
        <v>8.0</v>
      </c>
      <c r="E157" s="24">
        <v>10.0</v>
      </c>
    </row>
    <row r="158">
      <c r="A158" s="22" t="s">
        <v>93</v>
      </c>
      <c r="B158" s="49">
        <f t="shared" ref="B158:E158" si="26">B141-B157</f>
        <v>20719</v>
      </c>
      <c r="C158" s="49">
        <f t="shared" si="26"/>
        <v>20347</v>
      </c>
      <c r="D158" s="49">
        <f t="shared" si="26"/>
        <v>20348</v>
      </c>
      <c r="E158" s="49">
        <f t="shared" si="26"/>
        <v>20604</v>
      </c>
    </row>
    <row r="159">
      <c r="A159" s="22" t="s">
        <v>94</v>
      </c>
      <c r="B159" s="23">
        <f t="shared" ref="B159:E159" si="27">B165*30</f>
        <v>18660</v>
      </c>
      <c r="C159" s="23">
        <f t="shared" si="27"/>
        <v>18630</v>
      </c>
      <c r="D159" s="23">
        <f t="shared" si="27"/>
        <v>18030</v>
      </c>
      <c r="E159" s="23">
        <f t="shared" si="27"/>
        <v>18540</v>
      </c>
    </row>
    <row r="160">
      <c r="A160" s="22" t="s">
        <v>95</v>
      </c>
      <c r="B160" s="24">
        <v>10.0</v>
      </c>
      <c r="C160" s="24">
        <v>16.0</v>
      </c>
      <c r="D160" s="24">
        <v>22.0</v>
      </c>
      <c r="E160" s="24">
        <v>15.0</v>
      </c>
    </row>
    <row r="161">
      <c r="A161" s="22" t="s">
        <v>96</v>
      </c>
      <c r="B161" s="24">
        <v>7.0</v>
      </c>
      <c r="C161" s="24">
        <v>9.0</v>
      </c>
      <c r="D161" s="24">
        <v>11.0</v>
      </c>
      <c r="E161" s="24">
        <v>2.0</v>
      </c>
    </row>
    <row r="162">
      <c r="A162" s="22" t="s">
        <v>111</v>
      </c>
      <c r="B162" s="32"/>
      <c r="C162" s="32"/>
      <c r="D162" s="32"/>
      <c r="E162" s="32"/>
    </row>
    <row r="163">
      <c r="A163" s="22" t="s">
        <v>98</v>
      </c>
      <c r="B163" s="49">
        <v>1.0</v>
      </c>
      <c r="C163" s="49">
        <v>1.0</v>
      </c>
      <c r="D163" s="49">
        <v>1.0</v>
      </c>
      <c r="E163" s="49">
        <v>1.0</v>
      </c>
    </row>
    <row r="164">
      <c r="A164" s="22" t="s">
        <v>112</v>
      </c>
      <c r="B164" s="26">
        <f t="shared" ref="B164:E164" si="28">round(((B159/B158)*100),2)</f>
        <v>90.06</v>
      </c>
      <c r="C164" s="26">
        <f t="shared" si="28"/>
        <v>91.56</v>
      </c>
      <c r="D164" s="26">
        <f t="shared" si="28"/>
        <v>88.61</v>
      </c>
      <c r="E164" s="26">
        <f t="shared" si="28"/>
        <v>89.98</v>
      </c>
    </row>
    <row r="165">
      <c r="A165" s="22" t="s">
        <v>100</v>
      </c>
      <c r="B165" s="24">
        <v>622.0</v>
      </c>
      <c r="C165" s="24">
        <v>621.0</v>
      </c>
      <c r="D165" s="24">
        <v>601.0</v>
      </c>
      <c r="E165" s="24">
        <v>618.0</v>
      </c>
    </row>
    <row r="166">
      <c r="A166" s="49" t="s">
        <v>471</v>
      </c>
      <c r="B166" s="18" t="s">
        <v>726</v>
      </c>
      <c r="C166" s="32" t="s">
        <v>800</v>
      </c>
      <c r="D166" s="32" t="s">
        <v>132</v>
      </c>
      <c r="E166" s="18"/>
    </row>
    <row r="167">
      <c r="A167" s="50" t="s">
        <v>178</v>
      </c>
      <c r="B167" s="24" t="s">
        <v>801</v>
      </c>
      <c r="C167" s="24" t="s">
        <v>486</v>
      </c>
      <c r="D167" s="18"/>
      <c r="E167" s="18"/>
    </row>
    <row r="168">
      <c r="A168" s="50" t="s">
        <v>103</v>
      </c>
      <c r="B168" s="24" t="s">
        <v>802</v>
      </c>
      <c r="D168" s="24" t="s">
        <v>803</v>
      </c>
    </row>
    <row r="171">
      <c r="A171" s="48" t="s">
        <v>50</v>
      </c>
      <c r="B171" s="46">
        <v>45973.0</v>
      </c>
    </row>
    <row r="172">
      <c r="B172" s="21" t="s">
        <v>4</v>
      </c>
      <c r="C172" s="21" t="s">
        <v>5</v>
      </c>
      <c r="D172" s="21" t="s">
        <v>6</v>
      </c>
      <c r="E172" s="21" t="s">
        <v>7</v>
      </c>
    </row>
    <row r="173">
      <c r="A173" s="22" t="s">
        <v>91</v>
      </c>
      <c r="B173" s="24">
        <v>71.7</v>
      </c>
      <c r="C173" s="24">
        <v>70.6</v>
      </c>
      <c r="D173" s="24">
        <v>76.6</v>
      </c>
      <c r="E173" s="24">
        <v>74.4</v>
      </c>
    </row>
    <row r="174">
      <c r="A174" s="22" t="s">
        <v>92</v>
      </c>
      <c r="B174" s="24">
        <v>4.0</v>
      </c>
      <c r="C174" s="24">
        <v>1.0</v>
      </c>
      <c r="D174" s="24">
        <v>1.0</v>
      </c>
      <c r="E174" s="24">
        <v>3.0</v>
      </c>
    </row>
    <row r="175">
      <c r="A175" s="22" t="s">
        <v>93</v>
      </c>
      <c r="B175" s="49">
        <f>B158-B174</f>
        <v>20715</v>
      </c>
      <c r="C175" s="49">
        <f>C158-C174-14</f>
        <v>20332</v>
      </c>
      <c r="D175" s="49">
        <f t="shared" ref="D175:E175" si="29">D158-D174</f>
        <v>20347</v>
      </c>
      <c r="E175" s="49">
        <f t="shared" si="29"/>
        <v>20601</v>
      </c>
    </row>
    <row r="176">
      <c r="A176" s="22" t="s">
        <v>94</v>
      </c>
      <c r="B176" s="23">
        <f t="shared" ref="B176:E176" si="30">B182*30</f>
        <v>18540</v>
      </c>
      <c r="C176" s="23">
        <f t="shared" si="30"/>
        <v>18600</v>
      </c>
      <c r="D176" s="23">
        <f t="shared" si="30"/>
        <v>18060</v>
      </c>
      <c r="E176" s="23">
        <f t="shared" si="30"/>
        <v>18360</v>
      </c>
    </row>
    <row r="177">
      <c r="A177" s="22" t="s">
        <v>95</v>
      </c>
      <c r="B177" s="24">
        <v>27.0</v>
      </c>
      <c r="C177" s="24">
        <v>14.0</v>
      </c>
      <c r="D177" s="24">
        <v>15.0</v>
      </c>
      <c r="E177" s="24">
        <v>8.0</v>
      </c>
    </row>
    <row r="178">
      <c r="A178" s="22" t="s">
        <v>96</v>
      </c>
      <c r="B178" s="24">
        <v>16.0</v>
      </c>
      <c r="C178" s="24">
        <v>9.0</v>
      </c>
      <c r="D178" s="24">
        <v>17.0</v>
      </c>
      <c r="E178" s="24">
        <v>3.0</v>
      </c>
    </row>
    <row r="179">
      <c r="A179" s="22" t="s">
        <v>111</v>
      </c>
      <c r="B179" s="32">
        <v>110.0</v>
      </c>
      <c r="C179" s="32">
        <v>110.0</v>
      </c>
      <c r="D179" s="32">
        <v>110.0</v>
      </c>
      <c r="E179" s="32">
        <v>110.0</v>
      </c>
    </row>
    <row r="180">
      <c r="A180" s="22" t="s">
        <v>98</v>
      </c>
      <c r="B180" s="49">
        <v>1.0</v>
      </c>
      <c r="C180" s="49">
        <v>1.0</v>
      </c>
      <c r="D180" s="49">
        <v>1.0</v>
      </c>
      <c r="E180" s="49">
        <v>1.0</v>
      </c>
    </row>
    <row r="181">
      <c r="A181" s="22" t="s">
        <v>112</v>
      </c>
      <c r="B181" s="26">
        <f t="shared" ref="B181:E181" si="31">round(((B176/B175)*100),2)</f>
        <v>89.5</v>
      </c>
      <c r="C181" s="26">
        <f t="shared" si="31"/>
        <v>91.48</v>
      </c>
      <c r="D181" s="26">
        <f t="shared" si="31"/>
        <v>88.76</v>
      </c>
      <c r="E181" s="26">
        <f t="shared" si="31"/>
        <v>89.12</v>
      </c>
    </row>
    <row r="182">
      <c r="A182" s="22" t="s">
        <v>100</v>
      </c>
      <c r="B182" s="24">
        <v>618.0</v>
      </c>
      <c r="C182" s="24">
        <v>620.0</v>
      </c>
      <c r="D182" s="24">
        <v>602.0</v>
      </c>
      <c r="E182" s="24">
        <v>612.0</v>
      </c>
    </row>
    <row r="183">
      <c r="A183" s="49" t="s">
        <v>471</v>
      </c>
      <c r="B183" s="18" t="s">
        <v>726</v>
      </c>
      <c r="C183" s="32" t="s">
        <v>792</v>
      </c>
      <c r="D183" s="32" t="s">
        <v>132</v>
      </c>
      <c r="E183" s="18"/>
    </row>
    <row r="184">
      <c r="A184" s="50" t="s">
        <v>178</v>
      </c>
      <c r="B184" s="24" t="s">
        <v>613</v>
      </c>
      <c r="C184" s="24" t="s">
        <v>496</v>
      </c>
      <c r="D184" s="18"/>
      <c r="E184" s="18"/>
    </row>
    <row r="185">
      <c r="A185" s="50" t="s">
        <v>103</v>
      </c>
      <c r="B185" s="24" t="s">
        <v>804</v>
      </c>
      <c r="D185" s="24" t="s">
        <v>805</v>
      </c>
    </row>
    <row r="188">
      <c r="A188" s="48" t="s">
        <v>50</v>
      </c>
      <c r="B188" s="46">
        <v>46003.0</v>
      </c>
    </row>
    <row r="189">
      <c r="B189" s="21" t="s">
        <v>4</v>
      </c>
      <c r="C189" s="21" t="s">
        <v>5</v>
      </c>
      <c r="D189" s="21" t="s">
        <v>6</v>
      </c>
      <c r="E189" s="21" t="s">
        <v>7</v>
      </c>
    </row>
    <row r="190">
      <c r="A190" s="22" t="s">
        <v>91</v>
      </c>
      <c r="B190" s="24">
        <v>72.1</v>
      </c>
      <c r="C190" s="24">
        <v>70.7</v>
      </c>
      <c r="D190" s="24">
        <v>76.7</v>
      </c>
      <c r="E190" s="24">
        <v>74.5</v>
      </c>
    </row>
    <row r="191">
      <c r="A191" s="22" t="s">
        <v>92</v>
      </c>
      <c r="B191" s="24">
        <v>4.0</v>
      </c>
      <c r="C191" s="24">
        <v>1.0</v>
      </c>
      <c r="D191" s="24">
        <v>2.0</v>
      </c>
      <c r="E191" s="24">
        <v>5.0</v>
      </c>
    </row>
    <row r="192">
      <c r="A192" s="22" t="s">
        <v>93</v>
      </c>
      <c r="B192" s="49">
        <f t="shared" ref="B192:E192" si="32">B175-B191</f>
        <v>20711</v>
      </c>
      <c r="C192" s="49">
        <f t="shared" si="32"/>
        <v>20331</v>
      </c>
      <c r="D192" s="49">
        <f t="shared" si="32"/>
        <v>20345</v>
      </c>
      <c r="E192" s="49">
        <f t="shared" si="32"/>
        <v>20596</v>
      </c>
    </row>
    <row r="193">
      <c r="A193" s="22" t="s">
        <v>94</v>
      </c>
      <c r="B193" s="23">
        <f t="shared" ref="B193:E193" si="33">B199*30</f>
        <v>18060</v>
      </c>
      <c r="C193" s="23">
        <f t="shared" si="33"/>
        <v>18690</v>
      </c>
      <c r="D193" s="23">
        <f t="shared" si="33"/>
        <v>18000</v>
      </c>
      <c r="E193" s="23">
        <f t="shared" si="33"/>
        <v>18390</v>
      </c>
    </row>
    <row r="194">
      <c r="A194" s="22" t="s">
        <v>95</v>
      </c>
      <c r="B194" s="24">
        <v>9.0</v>
      </c>
      <c r="C194" s="24">
        <v>11.0</v>
      </c>
      <c r="D194" s="24">
        <v>21.0</v>
      </c>
      <c r="E194" s="24">
        <v>4.0</v>
      </c>
    </row>
    <row r="195">
      <c r="A195" s="22" t="s">
        <v>96</v>
      </c>
      <c r="B195" s="24">
        <v>7.0</v>
      </c>
      <c r="C195" s="24">
        <v>2.0</v>
      </c>
      <c r="D195" s="24">
        <v>17.0</v>
      </c>
      <c r="E195" s="24">
        <v>4.0</v>
      </c>
    </row>
    <row r="196">
      <c r="A196" s="22" t="s">
        <v>111</v>
      </c>
      <c r="B196" s="32"/>
      <c r="C196" s="32"/>
      <c r="D196" s="32"/>
      <c r="E196" s="32"/>
    </row>
    <row r="197">
      <c r="A197" s="22" t="s">
        <v>98</v>
      </c>
      <c r="B197" s="49">
        <v>1.0</v>
      </c>
      <c r="C197" s="49">
        <v>1.0</v>
      </c>
      <c r="D197" s="49">
        <v>1.0</v>
      </c>
      <c r="E197" s="49">
        <v>1.0</v>
      </c>
    </row>
    <row r="198">
      <c r="A198" s="22" t="s">
        <v>112</v>
      </c>
      <c r="B198" s="26">
        <f t="shared" ref="B198:E198" si="34">round(((B193/B192)*100),2)</f>
        <v>87.2</v>
      </c>
      <c r="C198" s="26">
        <f t="shared" si="34"/>
        <v>91.93</v>
      </c>
      <c r="D198" s="26">
        <f t="shared" si="34"/>
        <v>88.47</v>
      </c>
      <c r="E198" s="26">
        <f t="shared" si="34"/>
        <v>89.29</v>
      </c>
    </row>
    <row r="199">
      <c r="A199" s="22" t="s">
        <v>100</v>
      </c>
      <c r="B199" s="24">
        <v>602.0</v>
      </c>
      <c r="C199" s="24">
        <v>623.0</v>
      </c>
      <c r="D199" s="24">
        <v>600.0</v>
      </c>
      <c r="E199" s="24">
        <v>613.0</v>
      </c>
    </row>
    <row r="200">
      <c r="A200" s="49" t="s">
        <v>471</v>
      </c>
      <c r="B200" s="18" t="s">
        <v>726</v>
      </c>
      <c r="C200" s="32" t="s">
        <v>792</v>
      </c>
      <c r="D200" s="32" t="s">
        <v>132</v>
      </c>
      <c r="E200" s="18"/>
    </row>
    <row r="201">
      <c r="A201" s="50" t="s">
        <v>178</v>
      </c>
      <c r="B201" s="24" t="s">
        <v>613</v>
      </c>
      <c r="C201" s="24" t="s">
        <v>496</v>
      </c>
      <c r="D201" s="18"/>
      <c r="E201" s="18"/>
    </row>
    <row r="202">
      <c r="A202" s="50" t="s">
        <v>103</v>
      </c>
      <c r="B202" s="24" t="s">
        <v>806</v>
      </c>
      <c r="D202" s="24" t="s">
        <v>807</v>
      </c>
    </row>
    <row r="205">
      <c r="A205" s="48" t="s">
        <v>50</v>
      </c>
      <c r="B205" s="46">
        <v>46003.0</v>
      </c>
    </row>
    <row r="206">
      <c r="B206" s="21" t="s">
        <v>4</v>
      </c>
      <c r="C206" s="21" t="s">
        <v>5</v>
      </c>
      <c r="D206" s="21" t="s">
        <v>6</v>
      </c>
      <c r="E206" s="21" t="s">
        <v>7</v>
      </c>
    </row>
    <row r="207">
      <c r="A207" s="22" t="s">
        <v>91</v>
      </c>
      <c r="B207" s="24">
        <v>72.1</v>
      </c>
      <c r="C207" s="24">
        <v>70.7</v>
      </c>
      <c r="D207" s="24">
        <v>76.7</v>
      </c>
      <c r="E207" s="24">
        <v>74.5</v>
      </c>
    </row>
    <row r="208">
      <c r="A208" s="22" t="s">
        <v>92</v>
      </c>
      <c r="B208" s="24">
        <v>4.0</v>
      </c>
      <c r="C208" s="24">
        <v>1.0</v>
      </c>
      <c r="D208" s="24">
        <v>2.0</v>
      </c>
      <c r="E208" s="24">
        <v>5.0</v>
      </c>
    </row>
    <row r="209">
      <c r="A209" s="22" t="s">
        <v>93</v>
      </c>
      <c r="B209" s="49">
        <f t="shared" ref="B209:E209" si="35">B192-B208</f>
        <v>20707</v>
      </c>
      <c r="C209" s="49">
        <f t="shared" si="35"/>
        <v>20330</v>
      </c>
      <c r="D209" s="49">
        <f t="shared" si="35"/>
        <v>20343</v>
      </c>
      <c r="E209" s="49">
        <f t="shared" si="35"/>
        <v>20591</v>
      </c>
    </row>
    <row r="210">
      <c r="A210" s="22" t="s">
        <v>94</v>
      </c>
      <c r="B210" s="23">
        <f t="shared" ref="B210:E210" si="36">B216*30</f>
        <v>18060</v>
      </c>
      <c r="C210" s="23">
        <f t="shared" si="36"/>
        <v>18690</v>
      </c>
      <c r="D210" s="23">
        <f t="shared" si="36"/>
        <v>18000</v>
      </c>
      <c r="E210" s="23">
        <f t="shared" si="36"/>
        <v>18390</v>
      </c>
    </row>
    <row r="211">
      <c r="A211" s="22" t="s">
        <v>95</v>
      </c>
      <c r="B211" s="24">
        <v>9.0</v>
      </c>
      <c r="C211" s="24">
        <v>11.0</v>
      </c>
      <c r="D211" s="24">
        <v>21.0</v>
      </c>
      <c r="E211" s="24">
        <v>4.0</v>
      </c>
    </row>
    <row r="212">
      <c r="A212" s="22" t="s">
        <v>96</v>
      </c>
      <c r="B212" s="24">
        <v>7.0</v>
      </c>
      <c r="C212" s="24">
        <v>2.0</v>
      </c>
      <c r="D212" s="24">
        <v>17.0</v>
      </c>
      <c r="E212" s="24">
        <v>4.0</v>
      </c>
    </row>
    <row r="213">
      <c r="A213" s="22" t="s">
        <v>111</v>
      </c>
      <c r="B213" s="32"/>
      <c r="C213" s="32"/>
      <c r="D213" s="32"/>
      <c r="E213" s="32"/>
    </row>
    <row r="214">
      <c r="A214" s="22" t="s">
        <v>98</v>
      </c>
      <c r="B214" s="49">
        <v>1.0</v>
      </c>
      <c r="C214" s="49">
        <v>1.0</v>
      </c>
      <c r="D214" s="49">
        <v>1.0</v>
      </c>
      <c r="E214" s="49">
        <v>1.0</v>
      </c>
    </row>
    <row r="215">
      <c r="A215" s="22" t="s">
        <v>112</v>
      </c>
      <c r="B215" s="26">
        <f t="shared" ref="B215:E215" si="37">round(((B210/B209)*100),2)</f>
        <v>87.22</v>
      </c>
      <c r="C215" s="26">
        <f t="shared" si="37"/>
        <v>91.93</v>
      </c>
      <c r="D215" s="26">
        <f t="shared" si="37"/>
        <v>88.48</v>
      </c>
      <c r="E215" s="26">
        <f t="shared" si="37"/>
        <v>89.31</v>
      </c>
    </row>
    <row r="216">
      <c r="A216" s="22" t="s">
        <v>100</v>
      </c>
      <c r="B216" s="24">
        <v>602.0</v>
      </c>
      <c r="C216" s="24">
        <v>623.0</v>
      </c>
      <c r="D216" s="24">
        <v>600.0</v>
      </c>
      <c r="E216" s="24">
        <v>613.0</v>
      </c>
    </row>
    <row r="217">
      <c r="A217" s="49" t="s">
        <v>471</v>
      </c>
      <c r="B217" s="18" t="s">
        <v>726</v>
      </c>
      <c r="C217" s="32" t="s">
        <v>792</v>
      </c>
      <c r="D217" s="32" t="s">
        <v>132</v>
      </c>
      <c r="E217" s="18"/>
    </row>
    <row r="218">
      <c r="A218" s="50" t="s">
        <v>178</v>
      </c>
      <c r="B218" s="24" t="s">
        <v>613</v>
      </c>
      <c r="C218" s="24" t="s">
        <v>496</v>
      </c>
      <c r="D218" s="18"/>
      <c r="E218" s="18"/>
    </row>
    <row r="219">
      <c r="A219" s="50" t="s">
        <v>103</v>
      </c>
      <c r="B219" s="24" t="s">
        <v>806</v>
      </c>
      <c r="D219" s="24" t="s">
        <v>807</v>
      </c>
    </row>
    <row r="222">
      <c r="A222" s="19" t="s">
        <v>50</v>
      </c>
      <c r="B222" s="20" t="s">
        <v>808</v>
      </c>
    </row>
    <row r="223">
      <c r="B223" s="21" t="s">
        <v>4</v>
      </c>
      <c r="C223" s="21" t="s">
        <v>5</v>
      </c>
      <c r="D223" s="21" t="s">
        <v>6</v>
      </c>
      <c r="E223" s="21" t="s">
        <v>7</v>
      </c>
    </row>
    <row r="224">
      <c r="A224" s="22" t="s">
        <v>91</v>
      </c>
      <c r="B224" s="24">
        <v>72.2</v>
      </c>
      <c r="C224" s="24">
        <v>71.1</v>
      </c>
      <c r="D224" s="24">
        <v>77.1</v>
      </c>
      <c r="E224" s="24">
        <v>74.6</v>
      </c>
    </row>
    <row r="225">
      <c r="A225" s="22" t="s">
        <v>92</v>
      </c>
      <c r="B225" s="24">
        <v>3.0</v>
      </c>
      <c r="C225" s="24">
        <v>7.0</v>
      </c>
      <c r="D225" s="24">
        <v>6.0</v>
      </c>
      <c r="E225" s="24">
        <v>6.0</v>
      </c>
    </row>
    <row r="226">
      <c r="A226" s="22" t="s">
        <v>93</v>
      </c>
      <c r="B226" s="23">
        <f t="shared" ref="B226:E226" si="38">B209-B225</f>
        <v>20704</v>
      </c>
      <c r="C226" s="23">
        <f t="shared" si="38"/>
        <v>20323</v>
      </c>
      <c r="D226" s="23">
        <f t="shared" si="38"/>
        <v>20337</v>
      </c>
      <c r="E226" s="23">
        <f t="shared" si="38"/>
        <v>20585</v>
      </c>
    </row>
    <row r="227">
      <c r="A227" s="22" t="s">
        <v>94</v>
      </c>
      <c r="B227" s="23">
        <f t="shared" ref="B227:E227" si="39">B233*30</f>
        <v>18330</v>
      </c>
      <c r="C227" s="23">
        <f t="shared" si="39"/>
        <v>18330</v>
      </c>
      <c r="D227" s="23">
        <f t="shared" si="39"/>
        <v>17850</v>
      </c>
      <c r="E227" s="23">
        <f t="shared" si="39"/>
        <v>18300</v>
      </c>
    </row>
    <row r="228">
      <c r="A228" s="22" t="s">
        <v>95</v>
      </c>
      <c r="B228" s="24">
        <v>13.0</v>
      </c>
      <c r="C228" s="24">
        <v>13.0</v>
      </c>
      <c r="D228" s="24">
        <v>11.0</v>
      </c>
      <c r="E228" s="24">
        <v>8.0</v>
      </c>
    </row>
    <row r="229">
      <c r="A229" s="22" t="s">
        <v>96</v>
      </c>
      <c r="B229" s="23">
        <v>7.0</v>
      </c>
      <c r="C229" s="24">
        <v>4.0</v>
      </c>
      <c r="D229" s="24">
        <v>13.0</v>
      </c>
      <c r="E229" s="24">
        <v>10.0</v>
      </c>
    </row>
    <row r="230">
      <c r="A230" s="22" t="s">
        <v>111</v>
      </c>
      <c r="B230" s="32">
        <v>55.0</v>
      </c>
      <c r="C230" s="32">
        <v>55.0</v>
      </c>
      <c r="D230" s="32">
        <v>55.0</v>
      </c>
      <c r="E230" s="32">
        <v>55.0</v>
      </c>
    </row>
    <row r="231">
      <c r="A231" s="22" t="s">
        <v>98</v>
      </c>
      <c r="B231" s="23">
        <v>1.0</v>
      </c>
      <c r="C231" s="23">
        <v>1.0</v>
      </c>
      <c r="D231" s="23">
        <v>1.0</v>
      </c>
      <c r="E231" s="23">
        <v>1.0</v>
      </c>
    </row>
    <row r="232">
      <c r="A232" s="22" t="s">
        <v>112</v>
      </c>
      <c r="B232" s="26">
        <f t="shared" ref="B232:E232" si="40">round(((B227/B226)*100),2)</f>
        <v>88.53</v>
      </c>
      <c r="C232" s="26">
        <f t="shared" si="40"/>
        <v>90.19</v>
      </c>
      <c r="D232" s="26">
        <f t="shared" si="40"/>
        <v>87.77</v>
      </c>
      <c r="E232" s="26">
        <f t="shared" si="40"/>
        <v>88.9</v>
      </c>
    </row>
    <row r="233">
      <c r="A233" s="22" t="s">
        <v>100</v>
      </c>
      <c r="B233" s="24">
        <v>611.0</v>
      </c>
      <c r="C233" s="24">
        <v>611.0</v>
      </c>
      <c r="D233" s="24">
        <v>595.0</v>
      </c>
      <c r="E233" s="24">
        <v>610.0</v>
      </c>
    </row>
    <row r="234">
      <c r="A234" s="23" t="s">
        <v>471</v>
      </c>
      <c r="B234" s="18" t="s">
        <v>726</v>
      </c>
      <c r="C234" s="18" t="s">
        <v>792</v>
      </c>
      <c r="D234" s="18" t="s">
        <v>132</v>
      </c>
      <c r="E234" s="18"/>
    </row>
    <row r="235">
      <c r="A235" s="22" t="s">
        <v>178</v>
      </c>
      <c r="B235" s="23" t="s">
        <v>613</v>
      </c>
      <c r="C235" s="23" t="s">
        <v>496</v>
      </c>
      <c r="D235" s="18"/>
      <c r="E235" s="18"/>
    </row>
    <row r="236">
      <c r="A236" s="22" t="s">
        <v>103</v>
      </c>
      <c r="B236" s="24" t="s">
        <v>809</v>
      </c>
      <c r="D236" s="24" t="s">
        <v>810</v>
      </c>
    </row>
    <row r="239">
      <c r="A239" s="19" t="s">
        <v>50</v>
      </c>
      <c r="B239" s="20" t="s">
        <v>811</v>
      </c>
    </row>
    <row r="240">
      <c r="B240" s="21" t="s">
        <v>4</v>
      </c>
      <c r="C240" s="21" t="s">
        <v>5</v>
      </c>
      <c r="D240" s="21" t="s">
        <v>6</v>
      </c>
      <c r="E240" s="21" t="s">
        <v>7</v>
      </c>
    </row>
    <row r="241">
      <c r="A241" s="22" t="s">
        <v>91</v>
      </c>
      <c r="B241" s="24">
        <v>72.3</v>
      </c>
      <c r="C241" s="24">
        <v>71.2</v>
      </c>
      <c r="D241" s="24">
        <v>77.2</v>
      </c>
      <c r="E241" s="24">
        <v>74.7</v>
      </c>
    </row>
    <row r="242">
      <c r="A242" s="22" t="s">
        <v>92</v>
      </c>
      <c r="B242" s="24">
        <v>3.0</v>
      </c>
      <c r="C242" s="24">
        <v>0.0</v>
      </c>
      <c r="D242" s="24">
        <v>2.0</v>
      </c>
      <c r="E242" s="24">
        <v>7.0</v>
      </c>
    </row>
    <row r="243">
      <c r="A243" s="22" t="s">
        <v>93</v>
      </c>
      <c r="B243" s="23">
        <f t="shared" ref="B243:E243" si="41">B226-B242</f>
        <v>20701</v>
      </c>
      <c r="C243" s="23">
        <f t="shared" si="41"/>
        <v>20323</v>
      </c>
      <c r="D243" s="23">
        <f t="shared" si="41"/>
        <v>20335</v>
      </c>
      <c r="E243" s="23">
        <f t="shared" si="41"/>
        <v>20578</v>
      </c>
    </row>
    <row r="244">
      <c r="A244" s="22" t="s">
        <v>94</v>
      </c>
      <c r="B244" s="23">
        <f t="shared" ref="B244:E244" si="42">B250*30</f>
        <v>18390</v>
      </c>
      <c r="C244" s="23">
        <f t="shared" si="42"/>
        <v>18480</v>
      </c>
      <c r="D244" s="23">
        <f t="shared" si="42"/>
        <v>17820</v>
      </c>
      <c r="E244" s="23">
        <f t="shared" si="42"/>
        <v>18360</v>
      </c>
    </row>
    <row r="245">
      <c r="A245" s="22" t="s">
        <v>95</v>
      </c>
      <c r="B245" s="24">
        <v>20.0</v>
      </c>
      <c r="C245" s="24">
        <v>18.0</v>
      </c>
      <c r="D245" s="24">
        <v>18.0</v>
      </c>
      <c r="E245" s="24">
        <v>7.0</v>
      </c>
    </row>
    <row r="246">
      <c r="A246" s="22" t="s">
        <v>96</v>
      </c>
      <c r="B246" s="24">
        <v>14.0</v>
      </c>
      <c r="C246" s="24">
        <v>12.0</v>
      </c>
      <c r="D246" s="24">
        <v>13.0</v>
      </c>
      <c r="E246" s="24">
        <v>17.0</v>
      </c>
    </row>
    <row r="247">
      <c r="A247" s="22" t="s">
        <v>111</v>
      </c>
      <c r="B247" s="32"/>
      <c r="C247" s="32"/>
      <c r="D247" s="32"/>
      <c r="E247" s="32"/>
    </row>
    <row r="248">
      <c r="A248" s="22" t="s">
        <v>98</v>
      </c>
      <c r="B248" s="23">
        <v>1.0</v>
      </c>
      <c r="C248" s="23">
        <v>1.0</v>
      </c>
      <c r="D248" s="23">
        <v>1.0</v>
      </c>
      <c r="E248" s="23">
        <v>1.0</v>
      </c>
    </row>
    <row r="249">
      <c r="A249" s="22" t="s">
        <v>112</v>
      </c>
      <c r="B249" s="26">
        <f t="shared" ref="B249:E249" si="43">round(((B244/B243)*100),2)</f>
        <v>88.84</v>
      </c>
      <c r="C249" s="26">
        <f t="shared" si="43"/>
        <v>90.93</v>
      </c>
      <c r="D249" s="26">
        <f t="shared" si="43"/>
        <v>87.63</v>
      </c>
      <c r="E249" s="26">
        <f t="shared" si="43"/>
        <v>89.22</v>
      </c>
    </row>
    <row r="250">
      <c r="A250" s="22" t="s">
        <v>100</v>
      </c>
      <c r="B250" s="24">
        <v>613.0</v>
      </c>
      <c r="C250" s="24">
        <v>616.0</v>
      </c>
      <c r="D250" s="24">
        <v>594.0</v>
      </c>
      <c r="E250" s="24">
        <v>612.0</v>
      </c>
    </row>
    <row r="251">
      <c r="A251" s="23" t="s">
        <v>471</v>
      </c>
      <c r="B251" s="18" t="s">
        <v>726</v>
      </c>
      <c r="C251" s="18" t="s">
        <v>792</v>
      </c>
      <c r="D251" s="18" t="s">
        <v>132</v>
      </c>
      <c r="E251" s="18"/>
    </row>
    <row r="252">
      <c r="A252" s="22"/>
      <c r="B252" s="24"/>
      <c r="C252" s="24"/>
      <c r="D252" s="18"/>
      <c r="E252" s="18"/>
    </row>
    <row r="253">
      <c r="A253" s="22" t="s">
        <v>178</v>
      </c>
      <c r="B253" s="24" t="s">
        <v>812</v>
      </c>
      <c r="C253" s="24" t="s">
        <v>185</v>
      </c>
      <c r="D253" s="18"/>
      <c r="E253" s="18"/>
    </row>
    <row r="254">
      <c r="A254" s="22" t="s">
        <v>103</v>
      </c>
      <c r="B254" s="24" t="s">
        <v>813</v>
      </c>
      <c r="D254" s="24" t="s">
        <v>814</v>
      </c>
    </row>
    <row r="257">
      <c r="A257" s="19" t="s">
        <v>50</v>
      </c>
      <c r="B257" s="20" t="s">
        <v>815</v>
      </c>
    </row>
    <row r="258">
      <c r="B258" s="21" t="s">
        <v>4</v>
      </c>
      <c r="C258" s="21" t="s">
        <v>5</v>
      </c>
      <c r="D258" s="21" t="s">
        <v>6</v>
      </c>
      <c r="E258" s="21" t="s">
        <v>7</v>
      </c>
    </row>
    <row r="259">
      <c r="A259" s="22" t="s">
        <v>91</v>
      </c>
      <c r="B259" s="24">
        <v>72.4</v>
      </c>
      <c r="C259" s="24">
        <v>71.3</v>
      </c>
      <c r="D259" s="24">
        <v>77.3</v>
      </c>
      <c r="E259" s="24">
        <v>75.1</v>
      </c>
    </row>
    <row r="260">
      <c r="A260" s="22" t="s">
        <v>92</v>
      </c>
      <c r="B260" s="24">
        <v>8.0</v>
      </c>
      <c r="C260" s="24">
        <v>2.0</v>
      </c>
      <c r="D260" s="24">
        <v>6.0</v>
      </c>
      <c r="E260" s="24">
        <v>7.0</v>
      </c>
    </row>
    <row r="261">
      <c r="A261" s="22" t="s">
        <v>93</v>
      </c>
      <c r="B261" s="23">
        <f t="shared" ref="B261:E261" si="44">B243-B260</f>
        <v>20693</v>
      </c>
      <c r="C261" s="23">
        <f t="shared" si="44"/>
        <v>20321</v>
      </c>
      <c r="D261" s="23">
        <f t="shared" si="44"/>
        <v>20329</v>
      </c>
      <c r="E261" s="23">
        <f t="shared" si="44"/>
        <v>20571</v>
      </c>
    </row>
    <row r="262">
      <c r="A262" s="22" t="s">
        <v>94</v>
      </c>
      <c r="B262" s="23">
        <f t="shared" ref="B262:E262" si="45">B268*30</f>
        <v>18240</v>
      </c>
      <c r="C262" s="23">
        <f t="shared" si="45"/>
        <v>18510</v>
      </c>
      <c r="D262" s="23">
        <f t="shared" si="45"/>
        <v>17850</v>
      </c>
      <c r="E262" s="23">
        <f t="shared" si="45"/>
        <v>18450</v>
      </c>
    </row>
    <row r="263">
      <c r="A263" s="22" t="s">
        <v>95</v>
      </c>
      <c r="B263" s="24">
        <v>21.0</v>
      </c>
      <c r="C263" s="24">
        <v>10.0</v>
      </c>
      <c r="D263" s="24">
        <v>20.0</v>
      </c>
      <c r="E263" s="24">
        <v>9.0</v>
      </c>
    </row>
    <row r="264">
      <c r="A264" s="22" t="s">
        <v>96</v>
      </c>
      <c r="B264" s="24">
        <v>14.0</v>
      </c>
      <c r="C264" s="24">
        <v>6.0</v>
      </c>
      <c r="D264" s="24">
        <v>18.0</v>
      </c>
      <c r="E264" s="24">
        <v>17.0</v>
      </c>
    </row>
    <row r="265">
      <c r="A265" s="22" t="s">
        <v>111</v>
      </c>
      <c r="B265" s="32">
        <v>110.0</v>
      </c>
      <c r="C265" s="32">
        <v>110.0</v>
      </c>
      <c r="D265" s="32">
        <v>110.0</v>
      </c>
      <c r="E265" s="32">
        <v>110.0</v>
      </c>
    </row>
    <row r="266">
      <c r="A266" s="22" t="s">
        <v>98</v>
      </c>
      <c r="B266" s="23">
        <v>1.0</v>
      </c>
      <c r="C266" s="23">
        <v>1.0</v>
      </c>
      <c r="D266" s="23">
        <v>1.0</v>
      </c>
      <c r="E266" s="23">
        <v>1.0</v>
      </c>
    </row>
    <row r="267">
      <c r="A267" s="22" t="s">
        <v>112</v>
      </c>
      <c r="B267" s="26">
        <f t="shared" ref="B267:E267" si="46">round(((B262/B261)*100),2)</f>
        <v>88.15</v>
      </c>
      <c r="C267" s="26">
        <f t="shared" si="46"/>
        <v>91.09</v>
      </c>
      <c r="D267" s="26">
        <f t="shared" si="46"/>
        <v>87.81</v>
      </c>
      <c r="E267" s="26">
        <f t="shared" si="46"/>
        <v>89.69</v>
      </c>
    </row>
    <row r="268">
      <c r="A268" s="22" t="s">
        <v>100</v>
      </c>
      <c r="B268" s="24">
        <v>608.0</v>
      </c>
      <c r="C268" s="24">
        <v>617.0</v>
      </c>
      <c r="D268" s="24">
        <v>595.0</v>
      </c>
      <c r="E268" s="24">
        <v>615.0</v>
      </c>
    </row>
    <row r="269">
      <c r="A269" s="23" t="s">
        <v>471</v>
      </c>
      <c r="B269" s="18" t="s">
        <v>726</v>
      </c>
      <c r="C269" s="18" t="s">
        <v>792</v>
      </c>
      <c r="D269" s="18" t="s">
        <v>132</v>
      </c>
      <c r="E269" s="18"/>
    </row>
    <row r="270">
      <c r="A270" s="22" t="s">
        <v>178</v>
      </c>
      <c r="B270" s="24" t="s">
        <v>816</v>
      </c>
      <c r="C270" s="24" t="s">
        <v>486</v>
      </c>
      <c r="D270" s="18"/>
      <c r="E270" s="18"/>
    </row>
    <row r="271">
      <c r="A271" s="22" t="s">
        <v>103</v>
      </c>
      <c r="B271" s="24" t="s">
        <v>817</v>
      </c>
      <c r="D271" s="24" t="s">
        <v>818</v>
      </c>
    </row>
    <row r="274">
      <c r="A274" s="19" t="s">
        <v>50</v>
      </c>
      <c r="B274" s="20" t="s">
        <v>819</v>
      </c>
    </row>
    <row r="275">
      <c r="B275" s="21" t="s">
        <v>4</v>
      </c>
      <c r="C275" s="21" t="s">
        <v>5</v>
      </c>
      <c r="D275" s="21" t="s">
        <v>6</v>
      </c>
      <c r="E275" s="21" t="s">
        <v>7</v>
      </c>
    </row>
    <row r="276">
      <c r="A276" s="22" t="s">
        <v>91</v>
      </c>
      <c r="B276" s="24">
        <v>72.5</v>
      </c>
      <c r="C276" s="24">
        <v>71.4</v>
      </c>
      <c r="D276" s="24">
        <v>77.4</v>
      </c>
      <c r="E276" s="24">
        <v>75.2</v>
      </c>
    </row>
    <row r="277">
      <c r="A277" s="22" t="s">
        <v>92</v>
      </c>
      <c r="B277" s="24">
        <v>10.0</v>
      </c>
      <c r="C277" s="24">
        <v>2.0</v>
      </c>
      <c r="D277" s="24">
        <v>5.0</v>
      </c>
      <c r="E277" s="24">
        <v>3.0</v>
      </c>
    </row>
    <row r="278">
      <c r="A278" s="22" t="s">
        <v>93</v>
      </c>
      <c r="B278" s="23">
        <f t="shared" ref="B278:E278" si="47">B261-B277</f>
        <v>20683</v>
      </c>
      <c r="C278" s="23">
        <f t="shared" si="47"/>
        <v>20319</v>
      </c>
      <c r="D278" s="23">
        <f t="shared" si="47"/>
        <v>20324</v>
      </c>
      <c r="E278" s="23">
        <f t="shared" si="47"/>
        <v>20568</v>
      </c>
    </row>
    <row r="279">
      <c r="A279" s="22" t="s">
        <v>94</v>
      </c>
      <c r="B279" s="23">
        <f t="shared" ref="B279:E279" si="48">B285*30</f>
        <v>18000</v>
      </c>
      <c r="C279" s="23">
        <f t="shared" si="48"/>
        <v>18420</v>
      </c>
      <c r="D279" s="23">
        <f t="shared" si="48"/>
        <v>17820</v>
      </c>
      <c r="E279" s="23">
        <f t="shared" si="48"/>
        <v>18600</v>
      </c>
    </row>
    <row r="280">
      <c r="A280" s="22" t="s">
        <v>95</v>
      </c>
      <c r="B280" s="24">
        <v>24.0</v>
      </c>
      <c r="C280" s="24">
        <v>18.0</v>
      </c>
      <c r="D280" s="24">
        <v>23.0</v>
      </c>
      <c r="E280" s="24">
        <v>18.0</v>
      </c>
    </row>
    <row r="281">
      <c r="A281" s="22" t="s">
        <v>96</v>
      </c>
      <c r="B281" s="24">
        <v>16.0</v>
      </c>
      <c r="C281" s="24">
        <v>12.0</v>
      </c>
      <c r="D281" s="24">
        <v>13.0</v>
      </c>
      <c r="E281" s="24">
        <v>6.0</v>
      </c>
    </row>
    <row r="282">
      <c r="A282" s="22" t="s">
        <v>111</v>
      </c>
      <c r="B282" s="32"/>
      <c r="C282" s="32"/>
      <c r="D282" s="32"/>
      <c r="E282" s="32"/>
    </row>
    <row r="283">
      <c r="A283" s="22" t="s">
        <v>98</v>
      </c>
      <c r="B283" s="23">
        <v>1.0</v>
      </c>
      <c r="C283" s="23">
        <v>1.0</v>
      </c>
      <c r="D283" s="23">
        <v>1.0</v>
      </c>
      <c r="E283" s="24">
        <v>2.0</v>
      </c>
    </row>
    <row r="284">
      <c r="A284" s="22" t="s">
        <v>112</v>
      </c>
      <c r="B284" s="26">
        <f t="shared" ref="B284:E284" si="49">round(((B279/B278)*100),2)</f>
        <v>87.03</v>
      </c>
      <c r="C284" s="26">
        <f t="shared" si="49"/>
        <v>90.65</v>
      </c>
      <c r="D284" s="26">
        <f t="shared" si="49"/>
        <v>87.68</v>
      </c>
      <c r="E284" s="26">
        <f t="shared" si="49"/>
        <v>90.43</v>
      </c>
    </row>
    <row r="285">
      <c r="A285" s="22" t="s">
        <v>100</v>
      </c>
      <c r="B285" s="24">
        <v>600.0</v>
      </c>
      <c r="C285" s="24">
        <v>614.0</v>
      </c>
      <c r="D285" s="24">
        <v>594.0</v>
      </c>
      <c r="E285" s="24">
        <v>620.0</v>
      </c>
    </row>
    <row r="286">
      <c r="A286" s="23" t="s">
        <v>471</v>
      </c>
      <c r="B286" s="18" t="s">
        <v>726</v>
      </c>
      <c r="C286" s="18" t="s">
        <v>792</v>
      </c>
      <c r="D286" s="18" t="s">
        <v>132</v>
      </c>
      <c r="E286" s="18"/>
    </row>
    <row r="287">
      <c r="A287" s="22" t="s">
        <v>178</v>
      </c>
      <c r="B287" s="24" t="s">
        <v>820</v>
      </c>
      <c r="C287" s="24" t="s">
        <v>126</v>
      </c>
      <c r="D287" s="18"/>
      <c r="E287" s="18"/>
    </row>
    <row r="288">
      <c r="A288" s="22" t="s">
        <v>103</v>
      </c>
      <c r="B288" s="24"/>
      <c r="D288" s="24" t="s">
        <v>821</v>
      </c>
    </row>
    <row r="291">
      <c r="A291" s="19" t="s">
        <v>50</v>
      </c>
      <c r="B291" s="20" t="s">
        <v>822</v>
      </c>
    </row>
    <row r="292">
      <c r="B292" s="21" t="s">
        <v>4</v>
      </c>
      <c r="C292" s="21" t="s">
        <v>5</v>
      </c>
      <c r="D292" s="21" t="s">
        <v>6</v>
      </c>
      <c r="E292" s="21" t="s">
        <v>7</v>
      </c>
    </row>
    <row r="293">
      <c r="A293" s="22" t="s">
        <v>91</v>
      </c>
      <c r="B293" s="24">
        <v>72.6</v>
      </c>
      <c r="C293" s="24">
        <v>71.5</v>
      </c>
      <c r="D293" s="24">
        <v>77.5</v>
      </c>
      <c r="E293" s="24">
        <v>75.3</v>
      </c>
    </row>
    <row r="294">
      <c r="A294" s="22" t="s">
        <v>92</v>
      </c>
      <c r="B294" s="24">
        <v>4.0</v>
      </c>
      <c r="C294" s="24">
        <v>8.0</v>
      </c>
      <c r="D294" s="24">
        <v>2.0</v>
      </c>
      <c r="E294" s="24">
        <v>2.0</v>
      </c>
    </row>
    <row r="295">
      <c r="A295" s="22" t="s">
        <v>93</v>
      </c>
      <c r="B295" s="23">
        <f t="shared" ref="B295:E295" si="50">B278-B294</f>
        <v>20679</v>
      </c>
      <c r="C295" s="23">
        <f t="shared" si="50"/>
        <v>20311</v>
      </c>
      <c r="D295" s="23">
        <f t="shared" si="50"/>
        <v>20322</v>
      </c>
      <c r="E295" s="23">
        <f t="shared" si="50"/>
        <v>20566</v>
      </c>
    </row>
    <row r="296">
      <c r="A296" s="22" t="s">
        <v>94</v>
      </c>
      <c r="B296" s="23">
        <f t="shared" ref="B296:E296" si="51">B302*30</f>
        <v>17880</v>
      </c>
      <c r="C296" s="23">
        <f t="shared" si="51"/>
        <v>18210</v>
      </c>
      <c r="D296" s="23">
        <f t="shared" si="51"/>
        <v>17670</v>
      </c>
      <c r="E296" s="23">
        <f t="shared" si="51"/>
        <v>18000</v>
      </c>
    </row>
    <row r="297">
      <c r="A297" s="22" t="s">
        <v>95</v>
      </c>
      <c r="B297" s="24">
        <v>19.0</v>
      </c>
      <c r="C297" s="24">
        <v>10.0</v>
      </c>
      <c r="D297" s="24">
        <v>15.0</v>
      </c>
      <c r="E297" s="24">
        <v>18.0</v>
      </c>
    </row>
    <row r="298">
      <c r="A298" s="22" t="s">
        <v>96</v>
      </c>
      <c r="B298" s="24">
        <v>16.0</v>
      </c>
      <c r="C298" s="24">
        <v>14.0</v>
      </c>
      <c r="D298" s="24">
        <v>13.0</v>
      </c>
      <c r="E298" s="24">
        <v>11.0</v>
      </c>
    </row>
    <row r="299">
      <c r="A299" s="22" t="s">
        <v>111</v>
      </c>
      <c r="B299" s="32"/>
      <c r="C299" s="32"/>
      <c r="D299" s="32"/>
      <c r="E299" s="32"/>
    </row>
    <row r="300">
      <c r="A300" s="22" t="s">
        <v>98</v>
      </c>
      <c r="B300" s="23">
        <v>1.0</v>
      </c>
      <c r="C300" s="23">
        <v>1.0</v>
      </c>
      <c r="D300" s="23">
        <v>1.0</v>
      </c>
      <c r="E300" s="24">
        <v>2.0</v>
      </c>
    </row>
    <row r="301">
      <c r="A301" s="22" t="s">
        <v>112</v>
      </c>
      <c r="B301" s="26">
        <f t="shared" ref="B301:E301" si="52">round(((B296/B295)*100),2)</f>
        <v>86.46</v>
      </c>
      <c r="C301" s="26">
        <f t="shared" si="52"/>
        <v>89.66</v>
      </c>
      <c r="D301" s="26">
        <f t="shared" si="52"/>
        <v>86.95</v>
      </c>
      <c r="E301" s="26">
        <f t="shared" si="52"/>
        <v>87.52</v>
      </c>
    </row>
    <row r="302">
      <c r="A302" s="22" t="s">
        <v>100</v>
      </c>
      <c r="B302" s="24">
        <v>596.0</v>
      </c>
      <c r="C302" s="24">
        <v>607.0</v>
      </c>
      <c r="D302" s="24">
        <v>589.0</v>
      </c>
      <c r="E302" s="24">
        <v>600.0</v>
      </c>
    </row>
    <row r="303">
      <c r="A303" s="23" t="s">
        <v>471</v>
      </c>
      <c r="B303" s="18" t="s">
        <v>726</v>
      </c>
      <c r="C303" s="18" t="s">
        <v>792</v>
      </c>
      <c r="D303" s="18" t="s">
        <v>132</v>
      </c>
      <c r="E303" s="18"/>
    </row>
    <row r="304">
      <c r="A304" s="22" t="s">
        <v>178</v>
      </c>
      <c r="B304" s="24" t="s">
        <v>823</v>
      </c>
      <c r="C304" s="24" t="s">
        <v>126</v>
      </c>
      <c r="D304" s="18"/>
      <c r="E304" s="32"/>
    </row>
    <row r="305">
      <c r="A305" s="22" t="s">
        <v>103</v>
      </c>
      <c r="B305" s="24" t="s">
        <v>824</v>
      </c>
      <c r="D305" s="24" t="s">
        <v>825</v>
      </c>
    </row>
    <row r="308">
      <c r="A308" s="19" t="s">
        <v>50</v>
      </c>
      <c r="B308" s="20" t="s">
        <v>826</v>
      </c>
    </row>
    <row r="309">
      <c r="B309" s="21" t="s">
        <v>4</v>
      </c>
      <c r="C309" s="21" t="s">
        <v>5</v>
      </c>
      <c r="D309" s="21" t="s">
        <v>6</v>
      </c>
      <c r="E309" s="21" t="s">
        <v>7</v>
      </c>
    </row>
    <row r="310">
      <c r="A310" s="22" t="s">
        <v>91</v>
      </c>
      <c r="B310" s="24">
        <v>72.7</v>
      </c>
      <c r="C310" s="24">
        <v>71.6</v>
      </c>
      <c r="D310" s="24">
        <v>77.6</v>
      </c>
      <c r="E310" s="24">
        <v>75.4</v>
      </c>
    </row>
    <row r="311">
      <c r="A311" s="22" t="s">
        <v>92</v>
      </c>
      <c r="B311" s="24">
        <v>2.0</v>
      </c>
      <c r="C311" s="24">
        <v>5.0</v>
      </c>
      <c r="D311" s="24">
        <v>3.0</v>
      </c>
      <c r="E311" s="24">
        <v>6.0</v>
      </c>
    </row>
    <row r="312">
      <c r="A312" s="22" t="s">
        <v>93</v>
      </c>
      <c r="B312" s="23">
        <f t="shared" ref="B312:E312" si="53">B295-B311</f>
        <v>20677</v>
      </c>
      <c r="C312" s="23">
        <f t="shared" si="53"/>
        <v>20306</v>
      </c>
      <c r="D312" s="23">
        <f t="shared" si="53"/>
        <v>20319</v>
      </c>
      <c r="E312" s="23">
        <f t="shared" si="53"/>
        <v>20560</v>
      </c>
    </row>
    <row r="313">
      <c r="A313" s="22" t="s">
        <v>94</v>
      </c>
      <c r="B313" s="23">
        <f t="shared" ref="B313:E313" si="54">B319*30</f>
        <v>18060</v>
      </c>
      <c r="C313" s="23">
        <f t="shared" si="54"/>
        <v>18330</v>
      </c>
      <c r="D313" s="23">
        <f t="shared" si="54"/>
        <v>17760</v>
      </c>
      <c r="E313" s="23">
        <f t="shared" si="54"/>
        <v>18060</v>
      </c>
    </row>
    <row r="314">
      <c r="A314" s="22" t="s">
        <v>95</v>
      </c>
      <c r="B314" s="24">
        <v>15.0</v>
      </c>
      <c r="C314" s="24">
        <v>16.0</v>
      </c>
      <c r="D314" s="24">
        <v>18.0</v>
      </c>
      <c r="E314" s="24">
        <v>15.0</v>
      </c>
    </row>
    <row r="315">
      <c r="A315" s="22" t="s">
        <v>96</v>
      </c>
      <c r="B315" s="24">
        <v>17.0</v>
      </c>
      <c r="C315" s="24">
        <v>15.0</v>
      </c>
      <c r="D315" s="24">
        <v>12.0</v>
      </c>
      <c r="E315" s="24">
        <v>10.0</v>
      </c>
    </row>
    <row r="316">
      <c r="A316" s="22" t="s">
        <v>111</v>
      </c>
      <c r="B316" s="32">
        <v>110.0</v>
      </c>
      <c r="C316" s="32">
        <v>110.0</v>
      </c>
      <c r="D316" s="32">
        <v>110.0</v>
      </c>
      <c r="E316" s="32">
        <v>110.0</v>
      </c>
    </row>
    <row r="317">
      <c r="A317" s="22" t="s">
        <v>98</v>
      </c>
      <c r="B317" s="23">
        <v>1.0</v>
      </c>
      <c r="C317" s="23">
        <v>1.0</v>
      </c>
      <c r="D317" s="23">
        <v>1.0</v>
      </c>
      <c r="E317" s="24">
        <v>2.0</v>
      </c>
    </row>
    <row r="318">
      <c r="A318" s="22" t="s">
        <v>112</v>
      </c>
      <c r="B318" s="26">
        <f t="shared" ref="B318:E318" si="55">round(((B313/B312)*100),2)</f>
        <v>87.34</v>
      </c>
      <c r="C318" s="26">
        <f t="shared" si="55"/>
        <v>90.27</v>
      </c>
      <c r="D318" s="26">
        <f t="shared" si="55"/>
        <v>87.41</v>
      </c>
      <c r="E318" s="26">
        <f t="shared" si="55"/>
        <v>87.84</v>
      </c>
    </row>
    <row r="319">
      <c r="A319" s="22" t="s">
        <v>100</v>
      </c>
      <c r="B319" s="24">
        <v>602.0</v>
      </c>
      <c r="C319" s="24">
        <v>611.0</v>
      </c>
      <c r="D319" s="24">
        <v>592.0</v>
      </c>
      <c r="E319" s="24">
        <v>602.0</v>
      </c>
    </row>
    <row r="320">
      <c r="A320" s="23" t="s">
        <v>471</v>
      </c>
      <c r="B320" s="18" t="s">
        <v>726</v>
      </c>
      <c r="C320" s="18" t="s">
        <v>792</v>
      </c>
      <c r="D320" s="18" t="s">
        <v>132</v>
      </c>
      <c r="E320" s="18"/>
    </row>
    <row r="321">
      <c r="A321" s="22" t="s">
        <v>178</v>
      </c>
      <c r="B321" s="24" t="s">
        <v>823</v>
      </c>
      <c r="C321" s="24" t="s">
        <v>476</v>
      </c>
      <c r="D321" s="18"/>
      <c r="E321" s="32"/>
    </row>
    <row r="322">
      <c r="A322" s="22" t="s">
        <v>103</v>
      </c>
      <c r="B322" s="24" t="s">
        <v>827</v>
      </c>
      <c r="D322" s="24" t="s">
        <v>828</v>
      </c>
    </row>
    <row r="325">
      <c r="A325" s="19" t="s">
        <v>50</v>
      </c>
      <c r="B325" s="20" t="s">
        <v>829</v>
      </c>
    </row>
    <row r="326">
      <c r="B326" s="21" t="s">
        <v>4</v>
      </c>
      <c r="C326" s="21" t="s">
        <v>5</v>
      </c>
      <c r="D326" s="21" t="s">
        <v>6</v>
      </c>
      <c r="E326" s="21" t="s">
        <v>7</v>
      </c>
    </row>
    <row r="327">
      <c r="A327" s="22" t="s">
        <v>91</v>
      </c>
      <c r="B327" s="24">
        <v>73.1</v>
      </c>
      <c r="C327" s="24">
        <v>71.7</v>
      </c>
      <c r="D327" s="24">
        <v>77.7</v>
      </c>
      <c r="E327" s="24">
        <v>75.5</v>
      </c>
    </row>
    <row r="328">
      <c r="A328" s="22" t="s">
        <v>92</v>
      </c>
      <c r="B328" s="24">
        <v>2.0</v>
      </c>
      <c r="C328" s="24">
        <v>3.0</v>
      </c>
      <c r="D328" s="24">
        <v>2.0</v>
      </c>
      <c r="E328" s="24">
        <v>5.0</v>
      </c>
    </row>
    <row r="329">
      <c r="A329" s="22" t="s">
        <v>93</v>
      </c>
      <c r="B329" s="23">
        <f t="shared" ref="B329:E329" si="56">B312-B328</f>
        <v>20675</v>
      </c>
      <c r="C329" s="23">
        <f t="shared" si="56"/>
        <v>20303</v>
      </c>
      <c r="D329" s="23">
        <f t="shared" si="56"/>
        <v>20317</v>
      </c>
      <c r="E329" s="23">
        <f t="shared" si="56"/>
        <v>20555</v>
      </c>
    </row>
    <row r="330">
      <c r="A330" s="22" t="s">
        <v>94</v>
      </c>
      <c r="B330" s="23">
        <f t="shared" ref="B330:E330" si="57">B336*30</f>
        <v>17850</v>
      </c>
      <c r="C330" s="23">
        <f t="shared" si="57"/>
        <v>18420</v>
      </c>
      <c r="D330" s="23">
        <f t="shared" si="57"/>
        <v>17550</v>
      </c>
      <c r="E330" s="23">
        <f t="shared" si="57"/>
        <v>18000</v>
      </c>
    </row>
    <row r="331">
      <c r="A331" s="22" t="s">
        <v>95</v>
      </c>
      <c r="B331" s="24">
        <v>19.0</v>
      </c>
      <c r="C331" s="24">
        <v>19.0</v>
      </c>
      <c r="D331" s="24">
        <v>22.0</v>
      </c>
      <c r="E331" s="24">
        <v>8.0</v>
      </c>
    </row>
    <row r="332">
      <c r="A332" s="22" t="s">
        <v>96</v>
      </c>
      <c r="B332" s="24">
        <v>17.0</v>
      </c>
      <c r="C332" s="24">
        <v>14.0</v>
      </c>
      <c r="D332" s="24">
        <v>19.0</v>
      </c>
      <c r="E332" s="24">
        <v>18.0</v>
      </c>
    </row>
    <row r="333">
      <c r="A333" s="22" t="s">
        <v>111</v>
      </c>
      <c r="B333" s="32"/>
      <c r="C333" s="32"/>
      <c r="D333" s="32"/>
      <c r="E333" s="32"/>
    </row>
    <row r="334">
      <c r="A334" s="22" t="s">
        <v>98</v>
      </c>
      <c r="B334" s="23">
        <v>1.0</v>
      </c>
      <c r="C334" s="23">
        <v>1.0</v>
      </c>
      <c r="D334" s="23">
        <v>1.0</v>
      </c>
      <c r="E334" s="24">
        <v>1.0</v>
      </c>
    </row>
    <row r="335">
      <c r="A335" s="22" t="s">
        <v>112</v>
      </c>
      <c r="B335" s="26">
        <f t="shared" ref="B335:E335" si="58">round(((B330/B329)*100),2)</f>
        <v>86.34</v>
      </c>
      <c r="C335" s="26">
        <f t="shared" si="58"/>
        <v>90.73</v>
      </c>
      <c r="D335" s="26">
        <f t="shared" si="58"/>
        <v>86.38</v>
      </c>
      <c r="E335" s="26">
        <f t="shared" si="58"/>
        <v>87.57</v>
      </c>
    </row>
    <row r="336">
      <c r="A336" s="22" t="s">
        <v>100</v>
      </c>
      <c r="B336" s="24">
        <v>595.0</v>
      </c>
      <c r="C336" s="24">
        <v>614.0</v>
      </c>
      <c r="D336" s="24">
        <v>585.0</v>
      </c>
      <c r="E336" s="24">
        <v>600.0</v>
      </c>
    </row>
    <row r="337">
      <c r="A337" s="23" t="s">
        <v>471</v>
      </c>
      <c r="B337" s="18" t="s">
        <v>726</v>
      </c>
      <c r="C337" s="32" t="s">
        <v>830</v>
      </c>
      <c r="D337" s="18" t="s">
        <v>132</v>
      </c>
      <c r="E337" s="18"/>
    </row>
    <row r="338">
      <c r="A338" s="22" t="s">
        <v>178</v>
      </c>
      <c r="B338" s="24" t="s">
        <v>823</v>
      </c>
      <c r="C338" s="24" t="s">
        <v>126</v>
      </c>
      <c r="D338" s="18"/>
      <c r="E338" s="32"/>
    </row>
    <row r="339">
      <c r="A339" s="22" t="s">
        <v>103</v>
      </c>
      <c r="B339" s="24" t="s">
        <v>831</v>
      </c>
      <c r="D339" s="24" t="s">
        <v>832</v>
      </c>
    </row>
    <row r="342">
      <c r="A342" s="19" t="s">
        <v>50</v>
      </c>
      <c r="B342" s="20" t="s">
        <v>833</v>
      </c>
    </row>
    <row r="343">
      <c r="B343" s="21" t="s">
        <v>4</v>
      </c>
      <c r="C343" s="21" t="s">
        <v>5</v>
      </c>
      <c r="D343" s="21" t="s">
        <v>6</v>
      </c>
      <c r="E343" s="21" t="s">
        <v>7</v>
      </c>
    </row>
    <row r="344">
      <c r="A344" s="22" t="s">
        <v>91</v>
      </c>
      <c r="B344" s="24">
        <v>73.2</v>
      </c>
      <c r="C344" s="24">
        <v>72.1</v>
      </c>
      <c r="D344" s="24">
        <v>78.1</v>
      </c>
      <c r="E344" s="24">
        <v>75.6</v>
      </c>
    </row>
    <row r="345">
      <c r="A345" s="22" t="s">
        <v>92</v>
      </c>
      <c r="B345" s="24">
        <v>4.0</v>
      </c>
      <c r="C345" s="24">
        <v>7.0</v>
      </c>
      <c r="D345" s="24">
        <v>2.0</v>
      </c>
      <c r="E345" s="24">
        <v>6.0</v>
      </c>
    </row>
    <row r="346">
      <c r="A346" s="22" t="s">
        <v>93</v>
      </c>
      <c r="B346" s="23">
        <f>B329-B345</f>
        <v>20671</v>
      </c>
      <c r="C346" s="23">
        <f>C329-C345-20</f>
        <v>20276</v>
      </c>
      <c r="D346" s="23">
        <f t="shared" ref="D346:E346" si="59">D329-D345</f>
        <v>20315</v>
      </c>
      <c r="E346" s="23">
        <f t="shared" si="59"/>
        <v>20549</v>
      </c>
    </row>
    <row r="347">
      <c r="A347" s="22" t="s">
        <v>94</v>
      </c>
      <c r="B347" s="23">
        <f t="shared" ref="B347:E347" si="60">B353*30</f>
        <v>17850</v>
      </c>
      <c r="C347" s="23">
        <f t="shared" si="60"/>
        <v>17820</v>
      </c>
      <c r="D347" s="23">
        <f t="shared" si="60"/>
        <v>17610</v>
      </c>
      <c r="E347" s="23">
        <f t="shared" si="60"/>
        <v>18060</v>
      </c>
    </row>
    <row r="348">
      <c r="A348" s="22" t="s">
        <v>95</v>
      </c>
      <c r="B348" s="24">
        <v>16.0</v>
      </c>
      <c r="C348" s="24">
        <v>10.0</v>
      </c>
      <c r="D348" s="24">
        <v>15.0</v>
      </c>
      <c r="E348" s="24">
        <v>7.0</v>
      </c>
    </row>
    <row r="349">
      <c r="A349" s="22" t="s">
        <v>96</v>
      </c>
      <c r="B349" s="24">
        <v>11.0</v>
      </c>
      <c r="C349" s="24">
        <v>12.0</v>
      </c>
      <c r="D349" s="24">
        <v>13.0</v>
      </c>
      <c r="E349" s="24">
        <v>18.0</v>
      </c>
    </row>
    <row r="350">
      <c r="A350" s="22" t="s">
        <v>111</v>
      </c>
      <c r="B350" s="32">
        <v>55.0</v>
      </c>
      <c r="C350" s="32">
        <v>55.0</v>
      </c>
      <c r="D350" s="32">
        <v>55.0</v>
      </c>
      <c r="E350" s="32">
        <v>55.0</v>
      </c>
    </row>
    <row r="351">
      <c r="A351" s="22" t="s">
        <v>98</v>
      </c>
      <c r="B351" s="23">
        <v>1.0</v>
      </c>
      <c r="C351" s="23">
        <v>1.0</v>
      </c>
      <c r="D351" s="23">
        <v>1.0</v>
      </c>
      <c r="E351" s="24">
        <v>1.0</v>
      </c>
    </row>
    <row r="352">
      <c r="A352" s="22" t="s">
        <v>112</v>
      </c>
      <c r="B352" s="26">
        <f t="shared" ref="B352:E352" si="61">round(((B347/B346)*100),2)</f>
        <v>86.35</v>
      </c>
      <c r="C352" s="26">
        <f t="shared" si="61"/>
        <v>87.89</v>
      </c>
      <c r="D352" s="26">
        <f t="shared" si="61"/>
        <v>86.68</v>
      </c>
      <c r="E352" s="26">
        <f t="shared" si="61"/>
        <v>87.89</v>
      </c>
    </row>
    <row r="353">
      <c r="A353" s="22" t="s">
        <v>100</v>
      </c>
      <c r="B353" s="24">
        <v>595.0</v>
      </c>
      <c r="C353" s="24">
        <v>594.0</v>
      </c>
      <c r="D353" s="24">
        <v>587.0</v>
      </c>
      <c r="E353" s="24">
        <v>602.0</v>
      </c>
    </row>
    <row r="354">
      <c r="A354" s="23" t="s">
        <v>471</v>
      </c>
      <c r="B354" s="18" t="s">
        <v>726</v>
      </c>
      <c r="C354" s="32"/>
      <c r="D354" s="18" t="s">
        <v>132</v>
      </c>
      <c r="E354" s="18"/>
    </row>
    <row r="355">
      <c r="A355" s="22" t="s">
        <v>178</v>
      </c>
      <c r="B355" s="24" t="s">
        <v>834</v>
      </c>
      <c r="C355" s="24" t="s">
        <v>492</v>
      </c>
      <c r="D355" s="18"/>
      <c r="E355" s="32"/>
    </row>
    <row r="356">
      <c r="A356" s="22" t="s">
        <v>103</v>
      </c>
      <c r="B356" s="24" t="s">
        <v>835</v>
      </c>
      <c r="D356" s="24" t="s">
        <v>836</v>
      </c>
    </row>
    <row r="359">
      <c r="A359" s="19" t="s">
        <v>50</v>
      </c>
      <c r="B359" s="20" t="s">
        <v>837</v>
      </c>
    </row>
    <row r="360">
      <c r="B360" s="21" t="s">
        <v>4</v>
      </c>
      <c r="C360" s="21" t="s">
        <v>5</v>
      </c>
      <c r="D360" s="21" t="s">
        <v>6</v>
      </c>
      <c r="E360" s="21" t="s">
        <v>7</v>
      </c>
    </row>
    <row r="361">
      <c r="A361" s="22" t="s">
        <v>91</v>
      </c>
      <c r="B361" s="24">
        <v>73.3</v>
      </c>
      <c r="C361" s="24">
        <v>72.2</v>
      </c>
      <c r="D361" s="24">
        <v>78.2</v>
      </c>
      <c r="E361" s="24">
        <v>75.7</v>
      </c>
    </row>
    <row r="362">
      <c r="A362" s="22" t="s">
        <v>92</v>
      </c>
      <c r="B362" s="24">
        <v>4.0</v>
      </c>
      <c r="C362" s="24">
        <v>2.0</v>
      </c>
      <c r="D362" s="24">
        <v>4.0</v>
      </c>
      <c r="E362" s="24">
        <v>6.0</v>
      </c>
    </row>
    <row r="363">
      <c r="A363" s="22" t="s">
        <v>93</v>
      </c>
      <c r="B363" s="23">
        <f t="shared" ref="B363:E363" si="62">B346-B362</f>
        <v>20667</v>
      </c>
      <c r="C363" s="23">
        <f t="shared" si="62"/>
        <v>20274</v>
      </c>
      <c r="D363" s="23">
        <f t="shared" si="62"/>
        <v>20311</v>
      </c>
      <c r="E363" s="23">
        <f t="shared" si="62"/>
        <v>20543</v>
      </c>
    </row>
    <row r="364">
      <c r="A364" s="22" t="s">
        <v>94</v>
      </c>
      <c r="B364" s="23">
        <f t="shared" ref="B364:E364" si="63">B370*30</f>
        <v>17850</v>
      </c>
      <c r="C364" s="23">
        <f t="shared" si="63"/>
        <v>17910</v>
      </c>
      <c r="D364" s="23">
        <f t="shared" si="63"/>
        <v>17430</v>
      </c>
      <c r="E364" s="23">
        <f t="shared" si="63"/>
        <v>17760</v>
      </c>
    </row>
    <row r="365">
      <c r="A365" s="22" t="s">
        <v>95</v>
      </c>
      <c r="B365" s="24">
        <v>18.0</v>
      </c>
      <c r="C365" s="24">
        <v>12.0</v>
      </c>
      <c r="D365" s="24">
        <v>22.0</v>
      </c>
      <c r="E365" s="24">
        <v>14.0</v>
      </c>
    </row>
    <row r="366">
      <c r="A366" s="22" t="s">
        <v>96</v>
      </c>
      <c r="B366" s="24">
        <v>17.0</v>
      </c>
      <c r="C366" s="24">
        <v>10.0</v>
      </c>
      <c r="D366" s="24">
        <v>11.0</v>
      </c>
      <c r="E366" s="24">
        <v>7.0</v>
      </c>
    </row>
    <row r="367">
      <c r="A367" s="22" t="s">
        <v>111</v>
      </c>
      <c r="B367" s="32"/>
      <c r="C367" s="32"/>
      <c r="D367" s="32"/>
      <c r="E367" s="32"/>
    </row>
    <row r="368">
      <c r="A368" s="22" t="s">
        <v>98</v>
      </c>
      <c r="B368" s="23">
        <v>1.0</v>
      </c>
      <c r="C368" s="23">
        <v>1.0</v>
      </c>
      <c r="D368" s="23">
        <v>1.0</v>
      </c>
      <c r="E368" s="24">
        <v>1.0</v>
      </c>
    </row>
    <row r="369">
      <c r="A369" s="22" t="s">
        <v>112</v>
      </c>
      <c r="B369" s="26">
        <f t="shared" ref="B369:E369" si="64">round(((B364/B363)*100),2)</f>
        <v>86.37</v>
      </c>
      <c r="C369" s="26">
        <f t="shared" si="64"/>
        <v>88.34</v>
      </c>
      <c r="D369" s="26">
        <f t="shared" si="64"/>
        <v>85.82</v>
      </c>
      <c r="E369" s="26">
        <f t="shared" si="64"/>
        <v>86.45</v>
      </c>
    </row>
    <row r="370">
      <c r="A370" s="22" t="s">
        <v>100</v>
      </c>
      <c r="B370" s="24">
        <v>595.0</v>
      </c>
      <c r="C370" s="24">
        <v>597.0</v>
      </c>
      <c r="D370" s="24">
        <v>581.0</v>
      </c>
      <c r="E370" s="24">
        <v>592.0</v>
      </c>
    </row>
    <row r="371">
      <c r="A371" s="23" t="s">
        <v>471</v>
      </c>
      <c r="B371" s="32" t="s">
        <v>838</v>
      </c>
      <c r="C371" s="32" t="s">
        <v>839</v>
      </c>
      <c r="D371" s="32" t="s">
        <v>840</v>
      </c>
      <c r="E371" s="18"/>
    </row>
    <row r="372">
      <c r="A372" s="22" t="s">
        <v>178</v>
      </c>
      <c r="B372" s="24" t="s">
        <v>841</v>
      </c>
      <c r="C372" s="24" t="s">
        <v>486</v>
      </c>
      <c r="D372" s="18"/>
      <c r="E372" s="32"/>
    </row>
    <row r="373">
      <c r="A373" s="22" t="s">
        <v>103</v>
      </c>
      <c r="B373" s="24"/>
      <c r="D373" s="24" t="s">
        <v>842</v>
      </c>
    </row>
    <row r="376">
      <c r="A376" s="19" t="s">
        <v>50</v>
      </c>
      <c r="B376" s="20" t="s">
        <v>843</v>
      </c>
    </row>
    <row r="377">
      <c r="B377" s="21" t="s">
        <v>4</v>
      </c>
      <c r="C377" s="21" t="s">
        <v>5</v>
      </c>
      <c r="D377" s="21" t="s">
        <v>6</v>
      </c>
      <c r="E377" s="21" t="s">
        <v>7</v>
      </c>
    </row>
    <row r="378">
      <c r="A378" s="22" t="s">
        <v>91</v>
      </c>
      <c r="B378" s="24">
        <v>73.4</v>
      </c>
      <c r="C378" s="24">
        <v>72.3</v>
      </c>
      <c r="D378" s="24">
        <v>78.3</v>
      </c>
      <c r="E378" s="24">
        <v>76.1</v>
      </c>
    </row>
    <row r="379">
      <c r="A379" s="22" t="s">
        <v>92</v>
      </c>
      <c r="B379" s="24">
        <v>2.0</v>
      </c>
      <c r="C379" s="24">
        <v>11.0</v>
      </c>
      <c r="D379" s="24">
        <v>4.0</v>
      </c>
      <c r="E379" s="24">
        <v>5.0</v>
      </c>
    </row>
    <row r="380">
      <c r="A380" s="22" t="s">
        <v>93</v>
      </c>
      <c r="B380" s="23">
        <f t="shared" ref="B380:C380" si="65">B363-B379-4</f>
        <v>20661</v>
      </c>
      <c r="C380" s="23">
        <f t="shared" si="65"/>
        <v>20259</v>
      </c>
      <c r="D380" s="23">
        <f>D363-D379-8</f>
        <v>20299</v>
      </c>
      <c r="E380" s="23">
        <f>E363-E379</f>
        <v>20538</v>
      </c>
    </row>
    <row r="381">
      <c r="A381" s="22" t="s">
        <v>94</v>
      </c>
      <c r="B381" s="23">
        <f t="shared" ref="B381:E381" si="66">B387*30</f>
        <v>17880</v>
      </c>
      <c r="C381" s="23">
        <f t="shared" si="66"/>
        <v>18060</v>
      </c>
      <c r="D381" s="23">
        <f t="shared" si="66"/>
        <v>17430</v>
      </c>
      <c r="E381" s="23">
        <f t="shared" si="66"/>
        <v>17760</v>
      </c>
    </row>
    <row r="382">
      <c r="A382" s="22" t="s">
        <v>95</v>
      </c>
      <c r="B382" s="24">
        <v>13.0</v>
      </c>
      <c r="C382" s="24">
        <v>18.0</v>
      </c>
      <c r="D382" s="24">
        <v>19.0</v>
      </c>
      <c r="E382" s="24">
        <v>10.0</v>
      </c>
    </row>
    <row r="383">
      <c r="A383" s="22" t="s">
        <v>96</v>
      </c>
      <c r="B383" s="24">
        <v>8.0</v>
      </c>
      <c r="C383" s="24">
        <v>14.0</v>
      </c>
      <c r="D383" s="24">
        <v>13.0</v>
      </c>
      <c r="E383" s="24">
        <v>17.0</v>
      </c>
    </row>
    <row r="384">
      <c r="A384" s="22" t="s">
        <v>111</v>
      </c>
      <c r="B384" s="32">
        <v>110.0</v>
      </c>
      <c r="C384" s="32">
        <v>110.0</v>
      </c>
      <c r="D384" s="32">
        <v>110.0</v>
      </c>
      <c r="E384" s="32">
        <v>110.0</v>
      </c>
    </row>
    <row r="385">
      <c r="A385" s="22" t="s">
        <v>98</v>
      </c>
      <c r="B385" s="23">
        <v>1.0</v>
      </c>
      <c r="C385" s="23">
        <v>1.0</v>
      </c>
      <c r="D385" s="23">
        <v>1.0</v>
      </c>
      <c r="E385" s="24">
        <v>1.0</v>
      </c>
    </row>
    <row r="386">
      <c r="A386" s="22" t="s">
        <v>112</v>
      </c>
      <c r="B386" s="26">
        <f t="shared" ref="B386:E386" si="67">round(((B381/B380)*100),2)</f>
        <v>86.54</v>
      </c>
      <c r="C386" s="26">
        <f t="shared" si="67"/>
        <v>89.15</v>
      </c>
      <c r="D386" s="26">
        <f t="shared" si="67"/>
        <v>85.87</v>
      </c>
      <c r="E386" s="26">
        <f t="shared" si="67"/>
        <v>86.47</v>
      </c>
    </row>
    <row r="387">
      <c r="A387" s="22" t="s">
        <v>100</v>
      </c>
      <c r="B387" s="24">
        <v>596.0</v>
      </c>
      <c r="C387" s="24">
        <v>602.0</v>
      </c>
      <c r="D387" s="24">
        <v>581.0</v>
      </c>
      <c r="E387" s="24">
        <v>592.0</v>
      </c>
    </row>
    <row r="388">
      <c r="A388" s="23" t="s">
        <v>471</v>
      </c>
      <c r="B388" s="32" t="s">
        <v>132</v>
      </c>
      <c r="C388" s="32"/>
      <c r="D388" s="32" t="s">
        <v>792</v>
      </c>
      <c r="E388" s="18"/>
    </row>
    <row r="389">
      <c r="A389" s="22" t="s">
        <v>178</v>
      </c>
      <c r="B389" s="24" t="s">
        <v>844</v>
      </c>
      <c r="C389" s="24" t="s">
        <v>509</v>
      </c>
      <c r="D389" s="18"/>
      <c r="E389" s="32"/>
    </row>
    <row r="390">
      <c r="A390" s="22" t="s">
        <v>103</v>
      </c>
      <c r="B390" s="24"/>
      <c r="D390" s="24" t="s">
        <v>845</v>
      </c>
    </row>
    <row r="393">
      <c r="A393" s="19" t="s">
        <v>50</v>
      </c>
      <c r="B393" s="20" t="s">
        <v>846</v>
      </c>
    </row>
    <row r="394">
      <c r="B394" s="21" t="s">
        <v>4</v>
      </c>
      <c r="C394" s="21" t="s">
        <v>5</v>
      </c>
      <c r="D394" s="21" t="s">
        <v>6</v>
      </c>
      <c r="E394" s="21" t="s">
        <v>7</v>
      </c>
    </row>
    <row r="395">
      <c r="A395" s="22" t="s">
        <v>91</v>
      </c>
      <c r="B395" s="24">
        <v>73.5</v>
      </c>
      <c r="C395" s="24">
        <v>72.4</v>
      </c>
      <c r="D395" s="24">
        <v>78.4</v>
      </c>
      <c r="E395" s="24">
        <v>76.2</v>
      </c>
    </row>
    <row r="396">
      <c r="A396" s="22" t="s">
        <v>92</v>
      </c>
      <c r="B396" s="24">
        <v>3.0</v>
      </c>
      <c r="C396" s="24">
        <v>4.0</v>
      </c>
      <c r="D396" s="24">
        <v>9.0</v>
      </c>
      <c r="E396" s="24">
        <v>8.0</v>
      </c>
    </row>
    <row r="397">
      <c r="A397" s="22" t="s">
        <v>93</v>
      </c>
      <c r="B397" s="23">
        <f t="shared" ref="B397:E397" si="68">B380-B396</f>
        <v>20658</v>
      </c>
      <c r="C397" s="23">
        <f t="shared" si="68"/>
        <v>20255</v>
      </c>
      <c r="D397" s="23">
        <f t="shared" si="68"/>
        <v>20290</v>
      </c>
      <c r="E397" s="23">
        <f t="shared" si="68"/>
        <v>20530</v>
      </c>
    </row>
    <row r="398">
      <c r="A398" s="22" t="s">
        <v>94</v>
      </c>
      <c r="B398" s="23">
        <f t="shared" ref="B398:E398" si="69">B404*30</f>
        <v>17850</v>
      </c>
      <c r="C398" s="23">
        <f t="shared" si="69"/>
        <v>17880</v>
      </c>
      <c r="D398" s="23">
        <f t="shared" si="69"/>
        <v>16830</v>
      </c>
      <c r="E398" s="23">
        <f t="shared" si="69"/>
        <v>17730</v>
      </c>
    </row>
    <row r="399">
      <c r="A399" s="22" t="s">
        <v>95</v>
      </c>
      <c r="B399" s="24">
        <v>13.0</v>
      </c>
      <c r="C399" s="24">
        <v>14.0</v>
      </c>
      <c r="D399" s="24">
        <v>11.0</v>
      </c>
      <c r="E399" s="24">
        <v>13.0</v>
      </c>
    </row>
    <row r="400">
      <c r="A400" s="22" t="s">
        <v>96</v>
      </c>
      <c r="B400" s="24">
        <v>8.0</v>
      </c>
      <c r="C400" s="24">
        <v>12.0</v>
      </c>
      <c r="D400" s="24">
        <v>19.0</v>
      </c>
      <c r="E400" s="24">
        <v>12.0</v>
      </c>
    </row>
    <row r="401">
      <c r="A401" s="22" t="s">
        <v>111</v>
      </c>
      <c r="B401" s="32"/>
      <c r="C401" s="32"/>
      <c r="D401" s="32"/>
      <c r="E401" s="32"/>
    </row>
    <row r="402">
      <c r="A402" s="22" t="s">
        <v>98</v>
      </c>
      <c r="B402" s="23">
        <v>1.0</v>
      </c>
      <c r="C402" s="23">
        <v>1.0</v>
      </c>
      <c r="D402" s="23">
        <v>1.0</v>
      </c>
      <c r="E402" s="24">
        <v>1.0</v>
      </c>
    </row>
    <row r="403">
      <c r="A403" s="22" t="s">
        <v>112</v>
      </c>
      <c r="B403" s="26">
        <f t="shared" ref="B403:E403" si="70">round(((B398/B397)*100),2)</f>
        <v>86.41</v>
      </c>
      <c r="C403" s="26">
        <f t="shared" si="70"/>
        <v>88.27</v>
      </c>
      <c r="D403" s="26">
        <f t="shared" si="70"/>
        <v>82.95</v>
      </c>
      <c r="E403" s="26">
        <f t="shared" si="70"/>
        <v>86.36</v>
      </c>
    </row>
    <row r="404">
      <c r="A404" s="22" t="s">
        <v>100</v>
      </c>
      <c r="B404" s="24">
        <v>595.0</v>
      </c>
      <c r="C404" s="24">
        <v>596.0</v>
      </c>
      <c r="D404" s="24">
        <v>561.0</v>
      </c>
      <c r="E404" s="24">
        <v>591.0</v>
      </c>
    </row>
    <row r="405">
      <c r="A405" s="23" t="s">
        <v>471</v>
      </c>
      <c r="B405" s="32" t="s">
        <v>132</v>
      </c>
      <c r="C405" s="32"/>
      <c r="D405" s="32" t="s">
        <v>792</v>
      </c>
      <c r="E405" s="18"/>
    </row>
    <row r="406">
      <c r="A406" s="22" t="s">
        <v>178</v>
      </c>
      <c r="B406" s="24" t="s">
        <v>823</v>
      </c>
      <c r="C406" s="24" t="s">
        <v>492</v>
      </c>
      <c r="D406" s="18"/>
      <c r="E406" s="32"/>
    </row>
    <row r="407">
      <c r="A407" s="22" t="s">
        <v>103</v>
      </c>
      <c r="B407" s="24" t="s">
        <v>847</v>
      </c>
      <c r="D407" s="24" t="s">
        <v>848</v>
      </c>
    </row>
    <row r="410">
      <c r="A410" s="19" t="s">
        <v>50</v>
      </c>
      <c r="B410" s="20" t="s">
        <v>849</v>
      </c>
    </row>
    <row r="411">
      <c r="B411" s="21" t="s">
        <v>4</v>
      </c>
      <c r="C411" s="21" t="s">
        <v>5</v>
      </c>
      <c r="D411" s="21" t="s">
        <v>6</v>
      </c>
      <c r="E411" s="21" t="s">
        <v>7</v>
      </c>
    </row>
    <row r="412">
      <c r="A412" s="22" t="s">
        <v>91</v>
      </c>
      <c r="B412" s="24">
        <v>73.6</v>
      </c>
      <c r="C412" s="24">
        <v>72.5</v>
      </c>
      <c r="D412" s="24">
        <v>78.5</v>
      </c>
      <c r="E412" s="24">
        <v>76.3</v>
      </c>
    </row>
    <row r="413">
      <c r="A413" s="22" t="s">
        <v>92</v>
      </c>
      <c r="B413" s="24">
        <v>2.0</v>
      </c>
      <c r="C413" s="24">
        <v>5.0</v>
      </c>
      <c r="D413" s="24">
        <v>3.0</v>
      </c>
      <c r="E413" s="24">
        <v>8.0</v>
      </c>
    </row>
    <row r="414">
      <c r="A414" s="22" t="s">
        <v>93</v>
      </c>
      <c r="B414" s="23">
        <f t="shared" ref="B414:E414" si="71">B397-B413</f>
        <v>20656</v>
      </c>
      <c r="C414" s="23">
        <f t="shared" si="71"/>
        <v>20250</v>
      </c>
      <c r="D414" s="23">
        <f t="shared" si="71"/>
        <v>20287</v>
      </c>
      <c r="E414" s="23">
        <f t="shared" si="71"/>
        <v>20522</v>
      </c>
    </row>
    <row r="415">
      <c r="A415" s="22" t="s">
        <v>94</v>
      </c>
      <c r="B415" s="23">
        <f t="shared" ref="B415:E415" si="72">B421*30</f>
        <v>17730</v>
      </c>
      <c r="C415" s="23">
        <f t="shared" si="72"/>
        <v>17940</v>
      </c>
      <c r="D415" s="23">
        <f t="shared" si="72"/>
        <v>17400</v>
      </c>
      <c r="E415" s="23">
        <f t="shared" si="72"/>
        <v>18030</v>
      </c>
    </row>
    <row r="416">
      <c r="A416" s="22" t="s">
        <v>95</v>
      </c>
      <c r="B416" s="24">
        <v>12.0</v>
      </c>
      <c r="C416" s="24">
        <v>14.0</v>
      </c>
      <c r="D416" s="24">
        <v>22.0</v>
      </c>
      <c r="E416" s="24">
        <v>21.0</v>
      </c>
    </row>
    <row r="417">
      <c r="A417" s="22" t="s">
        <v>96</v>
      </c>
      <c r="B417" s="24">
        <v>9.0</v>
      </c>
      <c r="C417" s="24">
        <v>12.0</v>
      </c>
      <c r="D417" s="24">
        <v>11.0</v>
      </c>
      <c r="E417" s="24">
        <v>18.0</v>
      </c>
    </row>
    <row r="418">
      <c r="A418" s="22" t="s">
        <v>111</v>
      </c>
      <c r="B418" s="32"/>
      <c r="C418" s="32"/>
      <c r="D418" s="32"/>
      <c r="E418" s="32"/>
    </row>
    <row r="419">
      <c r="A419" s="22" t="s">
        <v>98</v>
      </c>
      <c r="B419" s="23">
        <v>1.0</v>
      </c>
      <c r="C419" s="23">
        <v>1.0</v>
      </c>
      <c r="D419" s="23">
        <v>1.0</v>
      </c>
      <c r="E419" s="24">
        <v>1.0</v>
      </c>
    </row>
    <row r="420">
      <c r="A420" s="22" t="s">
        <v>112</v>
      </c>
      <c r="B420" s="26">
        <f t="shared" ref="B420:E420" si="73">round(((B415/B414)*100),2)</f>
        <v>85.83</v>
      </c>
      <c r="C420" s="26">
        <f t="shared" si="73"/>
        <v>88.59</v>
      </c>
      <c r="D420" s="26">
        <f t="shared" si="73"/>
        <v>85.77</v>
      </c>
      <c r="E420" s="26">
        <f t="shared" si="73"/>
        <v>87.86</v>
      </c>
    </row>
    <row r="421">
      <c r="A421" s="22" t="s">
        <v>100</v>
      </c>
      <c r="B421" s="24">
        <v>591.0</v>
      </c>
      <c r="C421" s="24">
        <v>598.0</v>
      </c>
      <c r="D421" s="24">
        <v>580.0</v>
      </c>
      <c r="E421" s="24">
        <v>601.0</v>
      </c>
    </row>
    <row r="422">
      <c r="A422" s="23" t="s">
        <v>471</v>
      </c>
      <c r="B422" s="32" t="s">
        <v>132</v>
      </c>
      <c r="C422" s="32"/>
      <c r="D422" s="32" t="s">
        <v>792</v>
      </c>
      <c r="E422" s="18"/>
    </row>
    <row r="423">
      <c r="A423" s="22" t="s">
        <v>178</v>
      </c>
      <c r="B423" s="24" t="s">
        <v>841</v>
      </c>
      <c r="C423" s="24" t="s">
        <v>492</v>
      </c>
      <c r="D423" s="18"/>
      <c r="E423" s="32"/>
    </row>
    <row r="424">
      <c r="A424" s="22" t="s">
        <v>103</v>
      </c>
      <c r="B424" s="24"/>
      <c r="D424" s="24" t="s">
        <v>850</v>
      </c>
    </row>
    <row r="427">
      <c r="A427" s="19" t="s">
        <v>50</v>
      </c>
      <c r="B427" s="20" t="s">
        <v>851</v>
      </c>
    </row>
    <row r="428">
      <c r="B428" s="21" t="s">
        <v>4</v>
      </c>
      <c r="C428" s="21" t="s">
        <v>5</v>
      </c>
      <c r="D428" s="21" t="s">
        <v>6</v>
      </c>
      <c r="E428" s="21" t="s">
        <v>7</v>
      </c>
    </row>
    <row r="429">
      <c r="A429" s="22" t="s">
        <v>91</v>
      </c>
      <c r="B429" s="24">
        <v>73.7</v>
      </c>
      <c r="C429" s="24">
        <v>72.6</v>
      </c>
      <c r="D429" s="24">
        <v>78.6</v>
      </c>
      <c r="E429" s="24">
        <v>76.4</v>
      </c>
    </row>
    <row r="430">
      <c r="A430" s="22" t="s">
        <v>92</v>
      </c>
      <c r="B430" s="24">
        <v>6.0</v>
      </c>
      <c r="C430" s="24">
        <v>5.0</v>
      </c>
      <c r="D430" s="24">
        <v>6.0</v>
      </c>
      <c r="E430" s="24">
        <v>4.0</v>
      </c>
    </row>
    <row r="431">
      <c r="A431" s="22" t="s">
        <v>93</v>
      </c>
      <c r="B431" s="23">
        <f t="shared" ref="B431:E431" si="74">B414-B430</f>
        <v>20650</v>
      </c>
      <c r="C431" s="23">
        <f t="shared" si="74"/>
        <v>20245</v>
      </c>
      <c r="D431" s="23">
        <f t="shared" si="74"/>
        <v>20281</v>
      </c>
      <c r="E431" s="23">
        <f t="shared" si="74"/>
        <v>20518</v>
      </c>
    </row>
    <row r="432">
      <c r="A432" s="22" t="s">
        <v>94</v>
      </c>
      <c r="B432" s="23">
        <f t="shared" ref="B432:E432" si="75">B438*30</f>
        <v>17880</v>
      </c>
      <c r="C432" s="23">
        <f t="shared" si="75"/>
        <v>17940</v>
      </c>
      <c r="D432" s="23">
        <f t="shared" si="75"/>
        <v>17520</v>
      </c>
      <c r="E432" s="23">
        <f t="shared" si="75"/>
        <v>17970</v>
      </c>
    </row>
    <row r="433">
      <c r="A433" s="22" t="s">
        <v>95</v>
      </c>
      <c r="B433" s="24">
        <v>12.0</v>
      </c>
      <c r="C433" s="24">
        <v>14.0</v>
      </c>
      <c r="D433" s="24">
        <v>22.0</v>
      </c>
      <c r="E433" s="24">
        <v>20.0</v>
      </c>
    </row>
    <row r="434">
      <c r="A434" s="22" t="s">
        <v>96</v>
      </c>
      <c r="B434" s="24">
        <v>8.0</v>
      </c>
      <c r="C434" s="24">
        <v>16.0</v>
      </c>
      <c r="D434" s="24">
        <v>17.0</v>
      </c>
      <c r="E434" s="24">
        <v>28.0</v>
      </c>
    </row>
    <row r="435">
      <c r="A435" s="22" t="s">
        <v>111</v>
      </c>
      <c r="B435" s="32">
        <v>110.0</v>
      </c>
      <c r="C435" s="32">
        <v>110.0</v>
      </c>
      <c r="D435" s="32">
        <v>110.0</v>
      </c>
      <c r="E435" s="32">
        <v>110.0</v>
      </c>
    </row>
    <row r="436">
      <c r="A436" s="22" t="s">
        <v>98</v>
      </c>
      <c r="B436" s="23">
        <v>1.0</v>
      </c>
      <c r="C436" s="23">
        <v>1.0</v>
      </c>
      <c r="D436" s="23">
        <v>1.0</v>
      </c>
      <c r="E436" s="24">
        <v>1.0</v>
      </c>
    </row>
    <row r="437">
      <c r="A437" s="22" t="s">
        <v>112</v>
      </c>
      <c r="B437" s="26">
        <f t="shared" ref="B437:E437" si="76">round(((B432/B431)*100),2)</f>
        <v>86.59</v>
      </c>
      <c r="C437" s="26">
        <f t="shared" si="76"/>
        <v>88.61</v>
      </c>
      <c r="D437" s="26">
        <f t="shared" si="76"/>
        <v>86.39</v>
      </c>
      <c r="E437" s="26">
        <f t="shared" si="76"/>
        <v>87.58</v>
      </c>
    </row>
    <row r="438">
      <c r="A438" s="22" t="s">
        <v>100</v>
      </c>
      <c r="B438" s="24">
        <v>596.0</v>
      </c>
      <c r="C438" s="24">
        <v>598.0</v>
      </c>
      <c r="D438" s="24">
        <v>584.0</v>
      </c>
      <c r="E438" s="24">
        <v>599.0</v>
      </c>
    </row>
    <row r="439">
      <c r="A439" s="23" t="s">
        <v>471</v>
      </c>
      <c r="B439" s="32" t="s">
        <v>852</v>
      </c>
      <c r="C439" s="32" t="s">
        <v>853</v>
      </c>
      <c r="D439" s="32" t="s">
        <v>854</v>
      </c>
      <c r="E439" s="32" t="s">
        <v>855</v>
      </c>
    </row>
    <row r="440">
      <c r="A440" s="22" t="s">
        <v>178</v>
      </c>
      <c r="B440" s="24" t="s">
        <v>834</v>
      </c>
      <c r="C440" s="24" t="s">
        <v>185</v>
      </c>
      <c r="D440" s="18"/>
      <c r="E440" s="32"/>
    </row>
    <row r="441">
      <c r="A441" s="22" t="s">
        <v>103</v>
      </c>
      <c r="B441" s="24"/>
      <c r="D441" s="24" t="s">
        <v>856</v>
      </c>
    </row>
    <row r="444">
      <c r="A444" s="19" t="s">
        <v>50</v>
      </c>
      <c r="B444" s="20" t="s">
        <v>857</v>
      </c>
    </row>
    <row r="445">
      <c r="B445" s="21" t="s">
        <v>4</v>
      </c>
      <c r="C445" s="21" t="s">
        <v>5</v>
      </c>
      <c r="D445" s="21" t="s">
        <v>6</v>
      </c>
      <c r="E445" s="21" t="s">
        <v>7</v>
      </c>
    </row>
    <row r="446">
      <c r="A446" s="22" t="s">
        <v>91</v>
      </c>
      <c r="B446" s="24">
        <v>74.1</v>
      </c>
      <c r="C446" s="24">
        <v>72.7</v>
      </c>
      <c r="D446" s="24">
        <v>78.7</v>
      </c>
      <c r="E446" s="24">
        <v>76.5</v>
      </c>
    </row>
    <row r="447">
      <c r="A447" s="22" t="s">
        <v>92</v>
      </c>
      <c r="B447" s="24">
        <v>3.0</v>
      </c>
      <c r="C447" s="24">
        <v>2.0</v>
      </c>
      <c r="D447" s="24">
        <v>3.0</v>
      </c>
      <c r="E447" s="24">
        <v>7.0</v>
      </c>
    </row>
    <row r="448">
      <c r="A448" s="22" t="s">
        <v>93</v>
      </c>
      <c r="B448" s="23">
        <f t="shared" ref="B448:C448" si="77">B431-B447-6</f>
        <v>20641</v>
      </c>
      <c r="C448" s="23">
        <f t="shared" si="77"/>
        <v>20237</v>
      </c>
      <c r="D448" s="23">
        <f>D431-D447-15</f>
        <v>20263</v>
      </c>
      <c r="E448" s="23">
        <f>E431-E447-2</f>
        <v>20509</v>
      </c>
    </row>
    <row r="449">
      <c r="A449" s="22" t="s">
        <v>94</v>
      </c>
      <c r="B449" s="23">
        <f t="shared" ref="B449:E449" si="78">B455*30</f>
        <v>17910</v>
      </c>
      <c r="C449" s="23">
        <f t="shared" si="78"/>
        <v>18090</v>
      </c>
      <c r="D449" s="23">
        <f t="shared" si="78"/>
        <v>17550</v>
      </c>
      <c r="E449" s="23">
        <f t="shared" si="78"/>
        <v>17910</v>
      </c>
    </row>
    <row r="450">
      <c r="A450" s="22" t="s">
        <v>95</v>
      </c>
      <c r="B450" s="24">
        <v>12.0</v>
      </c>
      <c r="C450" s="24">
        <v>12.0</v>
      </c>
      <c r="D450" s="24">
        <v>18.0</v>
      </c>
      <c r="E450" s="24">
        <v>16.0</v>
      </c>
    </row>
    <row r="451">
      <c r="A451" s="22" t="s">
        <v>96</v>
      </c>
      <c r="B451" s="24">
        <v>10.0</v>
      </c>
      <c r="C451" s="24">
        <v>14.0</v>
      </c>
      <c r="D451" s="24">
        <v>12.0</v>
      </c>
      <c r="E451" s="24">
        <v>15.0</v>
      </c>
    </row>
    <row r="452">
      <c r="A452" s="22" t="s">
        <v>111</v>
      </c>
      <c r="B452" s="32">
        <v>80.0</v>
      </c>
      <c r="C452" s="32">
        <v>80.0</v>
      </c>
      <c r="D452" s="32">
        <v>80.0</v>
      </c>
      <c r="E452" s="32">
        <v>80.0</v>
      </c>
    </row>
    <row r="453">
      <c r="A453" s="22" t="s">
        <v>98</v>
      </c>
      <c r="B453" s="23">
        <v>1.0</v>
      </c>
      <c r="C453" s="23">
        <v>1.0</v>
      </c>
      <c r="D453" s="23">
        <v>1.0</v>
      </c>
      <c r="E453" s="24">
        <v>1.0</v>
      </c>
    </row>
    <row r="454">
      <c r="A454" s="22" t="s">
        <v>112</v>
      </c>
      <c r="B454" s="26">
        <f t="shared" ref="B454:E454" si="79">round(((B449/B448)*100),2)</f>
        <v>86.77</v>
      </c>
      <c r="C454" s="26">
        <f t="shared" si="79"/>
        <v>89.39</v>
      </c>
      <c r="D454" s="26">
        <f t="shared" si="79"/>
        <v>86.61</v>
      </c>
      <c r="E454" s="26">
        <f t="shared" si="79"/>
        <v>87.33</v>
      </c>
    </row>
    <row r="455">
      <c r="A455" s="22" t="s">
        <v>100</v>
      </c>
      <c r="B455" s="24">
        <v>597.0</v>
      </c>
      <c r="C455" s="24">
        <v>603.0</v>
      </c>
      <c r="D455" s="24">
        <v>585.0</v>
      </c>
      <c r="E455" s="24">
        <v>597.0</v>
      </c>
    </row>
    <row r="456">
      <c r="A456" s="23" t="s">
        <v>471</v>
      </c>
      <c r="B456" s="32" t="s">
        <v>132</v>
      </c>
      <c r="C456" s="32"/>
      <c r="D456" s="32" t="s">
        <v>858</v>
      </c>
      <c r="E456" s="32"/>
    </row>
    <row r="457">
      <c r="A457" s="22" t="s">
        <v>178</v>
      </c>
      <c r="B457" s="24" t="s">
        <v>859</v>
      </c>
      <c r="C457" s="24" t="s">
        <v>492</v>
      </c>
      <c r="D457" s="18"/>
      <c r="E457" s="32"/>
    </row>
    <row r="458">
      <c r="A458" s="22" t="s">
        <v>103</v>
      </c>
      <c r="B458" s="24" t="s">
        <v>860</v>
      </c>
      <c r="D458" s="24" t="s">
        <v>861</v>
      </c>
    </row>
    <row r="461">
      <c r="A461" s="19" t="s">
        <v>50</v>
      </c>
      <c r="B461" s="20" t="s">
        <v>862</v>
      </c>
    </row>
    <row r="462">
      <c r="B462" s="21" t="s">
        <v>4</v>
      </c>
      <c r="C462" s="21" t="s">
        <v>5</v>
      </c>
      <c r="D462" s="21" t="s">
        <v>6</v>
      </c>
      <c r="E462" s="21" t="s">
        <v>7</v>
      </c>
    </row>
    <row r="463">
      <c r="A463" s="22" t="s">
        <v>91</v>
      </c>
      <c r="B463" s="24">
        <v>74.2</v>
      </c>
      <c r="C463" s="24">
        <v>73.1</v>
      </c>
      <c r="D463" s="24">
        <v>79.1</v>
      </c>
      <c r="E463" s="24">
        <v>76.6</v>
      </c>
    </row>
    <row r="464">
      <c r="A464" s="22" t="s">
        <v>92</v>
      </c>
      <c r="B464" s="24">
        <v>4.0</v>
      </c>
      <c r="C464" s="24">
        <v>3.0</v>
      </c>
      <c r="D464" s="24">
        <v>6.0</v>
      </c>
      <c r="E464" s="24">
        <v>4.0</v>
      </c>
    </row>
    <row r="465">
      <c r="A465" s="22" t="s">
        <v>93</v>
      </c>
      <c r="B465" s="23">
        <f t="shared" ref="B465:E465" si="80">B448-B464</f>
        <v>20637</v>
      </c>
      <c r="C465" s="23">
        <f t="shared" si="80"/>
        <v>20234</v>
      </c>
      <c r="D465" s="23">
        <f t="shared" si="80"/>
        <v>20257</v>
      </c>
      <c r="E465" s="23">
        <f t="shared" si="80"/>
        <v>20505</v>
      </c>
    </row>
    <row r="466">
      <c r="A466" s="22" t="s">
        <v>94</v>
      </c>
      <c r="B466" s="23">
        <f t="shared" ref="B466:E466" si="81">B472*30</f>
        <v>17910</v>
      </c>
      <c r="C466" s="23">
        <f t="shared" si="81"/>
        <v>17940</v>
      </c>
      <c r="D466" s="23">
        <f t="shared" si="81"/>
        <v>17610</v>
      </c>
      <c r="E466" s="23">
        <f t="shared" si="81"/>
        <v>18000</v>
      </c>
    </row>
    <row r="467">
      <c r="A467" s="22" t="s">
        <v>95</v>
      </c>
      <c r="B467" s="24">
        <v>7.0</v>
      </c>
      <c r="C467" s="24">
        <v>15.0</v>
      </c>
      <c r="D467" s="24">
        <v>18.0</v>
      </c>
      <c r="E467" s="24">
        <v>10.0</v>
      </c>
    </row>
    <row r="468">
      <c r="A468" s="22" t="s">
        <v>96</v>
      </c>
      <c r="B468" s="24">
        <v>10.0</v>
      </c>
      <c r="C468" s="24">
        <v>8.0</v>
      </c>
      <c r="D468" s="24">
        <v>11.0</v>
      </c>
      <c r="E468" s="24">
        <v>15.0</v>
      </c>
    </row>
    <row r="469">
      <c r="A469" s="22" t="s">
        <v>111</v>
      </c>
      <c r="B469" s="32">
        <v>135.0</v>
      </c>
      <c r="C469" s="32">
        <v>135.0</v>
      </c>
      <c r="D469" s="32">
        <v>135.0</v>
      </c>
      <c r="E469" s="32">
        <v>135.0</v>
      </c>
    </row>
    <row r="470">
      <c r="A470" s="22" t="s">
        <v>98</v>
      </c>
      <c r="B470" s="23">
        <v>1.0</v>
      </c>
      <c r="C470" s="23">
        <v>1.0</v>
      </c>
      <c r="D470" s="23">
        <v>1.0</v>
      </c>
      <c r="E470" s="24">
        <v>1.0</v>
      </c>
    </row>
    <row r="471">
      <c r="A471" s="22" t="s">
        <v>112</v>
      </c>
      <c r="B471" s="26">
        <f t="shared" ref="B471:E471" si="82">round(((B466/B465)*100),2)</f>
        <v>86.79</v>
      </c>
      <c r="C471" s="26">
        <f t="shared" si="82"/>
        <v>88.66</v>
      </c>
      <c r="D471" s="26">
        <f t="shared" si="82"/>
        <v>86.93</v>
      </c>
      <c r="E471" s="26">
        <f t="shared" si="82"/>
        <v>87.78</v>
      </c>
    </row>
    <row r="472">
      <c r="A472" s="22" t="s">
        <v>100</v>
      </c>
      <c r="B472" s="24">
        <v>597.0</v>
      </c>
      <c r="C472" s="24">
        <v>598.0</v>
      </c>
      <c r="D472" s="24">
        <v>587.0</v>
      </c>
      <c r="E472" s="24">
        <v>600.0</v>
      </c>
    </row>
    <row r="473">
      <c r="A473" s="23" t="s">
        <v>471</v>
      </c>
      <c r="B473" s="32" t="s">
        <v>132</v>
      </c>
      <c r="C473" s="32"/>
      <c r="D473" s="32" t="s">
        <v>858</v>
      </c>
      <c r="E473" s="32"/>
    </row>
    <row r="474">
      <c r="A474" s="22" t="s">
        <v>178</v>
      </c>
      <c r="B474" s="24" t="s">
        <v>863</v>
      </c>
      <c r="C474" s="24" t="s">
        <v>545</v>
      </c>
      <c r="D474" s="18"/>
      <c r="E474" s="32"/>
    </row>
    <row r="475">
      <c r="A475" s="22" t="s">
        <v>103</v>
      </c>
      <c r="B475" s="24" t="s">
        <v>864</v>
      </c>
      <c r="D475" s="24" t="s">
        <v>865</v>
      </c>
    </row>
    <row r="478">
      <c r="A478" s="19" t="s">
        <v>50</v>
      </c>
      <c r="B478" s="20" t="s">
        <v>866</v>
      </c>
    </row>
    <row r="479">
      <c r="B479" s="21" t="s">
        <v>4</v>
      </c>
      <c r="C479" s="21" t="s">
        <v>5</v>
      </c>
      <c r="D479" s="21" t="s">
        <v>6</v>
      </c>
      <c r="E479" s="21" t="s">
        <v>7</v>
      </c>
    </row>
    <row r="480">
      <c r="A480" s="22" t="s">
        <v>91</v>
      </c>
      <c r="B480" s="24">
        <v>74.3</v>
      </c>
      <c r="C480" s="24">
        <v>73.2</v>
      </c>
      <c r="D480" s="24">
        <v>79.2</v>
      </c>
      <c r="E480" s="24">
        <v>76.7</v>
      </c>
    </row>
    <row r="481">
      <c r="A481" s="22" t="s">
        <v>92</v>
      </c>
      <c r="B481" s="24">
        <v>5.0</v>
      </c>
      <c r="C481" s="24">
        <v>3.0</v>
      </c>
      <c r="D481" s="24">
        <v>4.0</v>
      </c>
      <c r="E481" s="24">
        <v>7.0</v>
      </c>
    </row>
    <row r="482">
      <c r="A482" s="22" t="s">
        <v>93</v>
      </c>
      <c r="B482" s="23">
        <f t="shared" ref="B482:E482" si="83">B465-B481</f>
        <v>20632</v>
      </c>
      <c r="C482" s="23">
        <f t="shared" si="83"/>
        <v>20231</v>
      </c>
      <c r="D482" s="23">
        <f t="shared" si="83"/>
        <v>20253</v>
      </c>
      <c r="E482" s="23">
        <f t="shared" si="83"/>
        <v>20498</v>
      </c>
    </row>
    <row r="483">
      <c r="A483" s="22" t="s">
        <v>94</v>
      </c>
      <c r="B483" s="23">
        <f t="shared" ref="B483:E483" si="84">B489*30</f>
        <v>17760</v>
      </c>
      <c r="C483" s="23">
        <f t="shared" si="84"/>
        <v>18120</v>
      </c>
      <c r="D483" s="23">
        <f t="shared" si="84"/>
        <v>17700</v>
      </c>
      <c r="E483" s="23">
        <f t="shared" si="84"/>
        <v>18000</v>
      </c>
    </row>
    <row r="484">
      <c r="A484" s="22" t="s">
        <v>95</v>
      </c>
      <c r="B484" s="24">
        <v>18.0</v>
      </c>
      <c r="C484" s="24">
        <v>14.0</v>
      </c>
      <c r="D484" s="24">
        <v>21.0</v>
      </c>
      <c r="E484" s="24">
        <v>20.0</v>
      </c>
    </row>
    <row r="485">
      <c r="A485" s="22" t="s">
        <v>96</v>
      </c>
      <c r="B485" s="24">
        <v>14.0</v>
      </c>
      <c r="C485" s="24">
        <v>12.0</v>
      </c>
      <c r="D485" s="24">
        <v>9.0</v>
      </c>
      <c r="E485" s="24">
        <v>15.0</v>
      </c>
    </row>
    <row r="486">
      <c r="A486" s="22" t="s">
        <v>111</v>
      </c>
      <c r="B486" s="32">
        <v>80.0</v>
      </c>
      <c r="C486" s="32">
        <v>80.0</v>
      </c>
      <c r="D486" s="32">
        <v>80.0</v>
      </c>
      <c r="E486" s="32">
        <v>80.0</v>
      </c>
    </row>
    <row r="487">
      <c r="A487" s="22" t="s">
        <v>98</v>
      </c>
      <c r="B487" s="23">
        <v>1.0</v>
      </c>
      <c r="C487" s="23">
        <v>1.0</v>
      </c>
      <c r="D487" s="23">
        <v>1.0</v>
      </c>
      <c r="E487" s="24">
        <v>1.0</v>
      </c>
    </row>
    <row r="488">
      <c r="A488" s="22" t="s">
        <v>112</v>
      </c>
      <c r="B488" s="26">
        <f t="shared" ref="B488:E488" si="85">round(((B483/B482)*100),2)</f>
        <v>86.08</v>
      </c>
      <c r="C488" s="26">
        <f t="shared" si="85"/>
        <v>89.57</v>
      </c>
      <c r="D488" s="26">
        <f t="shared" si="85"/>
        <v>87.39</v>
      </c>
      <c r="E488" s="26">
        <f t="shared" si="85"/>
        <v>87.81</v>
      </c>
    </row>
    <row r="489">
      <c r="A489" s="22" t="s">
        <v>100</v>
      </c>
      <c r="B489" s="24">
        <v>592.0</v>
      </c>
      <c r="C489" s="24">
        <v>604.0</v>
      </c>
      <c r="D489" s="24">
        <v>590.0</v>
      </c>
      <c r="E489" s="24">
        <v>600.0</v>
      </c>
    </row>
    <row r="490">
      <c r="A490" s="23" t="s">
        <v>471</v>
      </c>
      <c r="B490" s="32" t="s">
        <v>132</v>
      </c>
      <c r="C490" s="32"/>
      <c r="D490" s="32" t="s">
        <v>858</v>
      </c>
      <c r="E490" s="32"/>
    </row>
    <row r="491">
      <c r="A491" s="22" t="s">
        <v>178</v>
      </c>
      <c r="B491" s="24" t="s">
        <v>859</v>
      </c>
      <c r="C491" s="24" t="s">
        <v>185</v>
      </c>
      <c r="D491" s="18"/>
      <c r="E491" s="32"/>
    </row>
    <row r="492">
      <c r="A492" s="22" t="s">
        <v>103</v>
      </c>
      <c r="B492" s="24" t="s">
        <v>867</v>
      </c>
      <c r="D492" s="24" t="s">
        <v>868</v>
      </c>
    </row>
    <row r="495">
      <c r="A495" s="19" t="s">
        <v>50</v>
      </c>
      <c r="B495" s="20" t="s">
        <v>869</v>
      </c>
    </row>
    <row r="496">
      <c r="B496" s="21" t="s">
        <v>4</v>
      </c>
      <c r="C496" s="21" t="s">
        <v>5</v>
      </c>
      <c r="D496" s="21" t="s">
        <v>6</v>
      </c>
      <c r="E496" s="21" t="s">
        <v>7</v>
      </c>
    </row>
    <row r="497">
      <c r="A497" s="22" t="s">
        <v>91</v>
      </c>
      <c r="B497" s="24">
        <v>74.4</v>
      </c>
      <c r="C497" s="24">
        <v>73.3</v>
      </c>
      <c r="D497" s="24">
        <v>79.3</v>
      </c>
      <c r="E497" s="24">
        <v>77.1</v>
      </c>
    </row>
    <row r="498">
      <c r="A498" s="22" t="s">
        <v>92</v>
      </c>
      <c r="B498" s="24">
        <v>3.0</v>
      </c>
      <c r="C498" s="24">
        <v>6.0</v>
      </c>
      <c r="D498" s="24">
        <v>3.0</v>
      </c>
      <c r="E498" s="24">
        <v>4.0</v>
      </c>
    </row>
    <row r="499">
      <c r="A499" s="22" t="s">
        <v>93</v>
      </c>
      <c r="B499" s="23">
        <f t="shared" ref="B499:E499" si="86">B482-B498</f>
        <v>20629</v>
      </c>
      <c r="C499" s="23">
        <f t="shared" si="86"/>
        <v>20225</v>
      </c>
      <c r="D499" s="23">
        <f t="shared" si="86"/>
        <v>20250</v>
      </c>
      <c r="E499" s="23">
        <f t="shared" si="86"/>
        <v>20494</v>
      </c>
    </row>
    <row r="500">
      <c r="A500" s="22" t="s">
        <v>94</v>
      </c>
      <c r="B500" s="23">
        <f t="shared" ref="B500:E500" si="87">B506*30</f>
        <v>17910</v>
      </c>
      <c r="C500" s="23">
        <f t="shared" si="87"/>
        <v>17910</v>
      </c>
      <c r="D500" s="23">
        <f t="shared" si="87"/>
        <v>17490</v>
      </c>
      <c r="E500" s="23">
        <f t="shared" si="87"/>
        <v>18030</v>
      </c>
    </row>
    <row r="501">
      <c r="A501" s="22" t="s">
        <v>95</v>
      </c>
      <c r="B501" s="24">
        <v>17.0</v>
      </c>
      <c r="C501" s="24">
        <v>12.0</v>
      </c>
      <c r="D501" s="24">
        <v>24.0</v>
      </c>
      <c r="E501" s="24">
        <v>13.0</v>
      </c>
    </row>
    <row r="502">
      <c r="A502" s="22" t="s">
        <v>96</v>
      </c>
      <c r="B502" s="24">
        <v>12.0</v>
      </c>
      <c r="C502" s="24">
        <v>10.0</v>
      </c>
      <c r="D502" s="24">
        <v>14.0</v>
      </c>
      <c r="E502" s="24">
        <v>20.0</v>
      </c>
    </row>
    <row r="503">
      <c r="A503" s="22" t="s">
        <v>111</v>
      </c>
      <c r="B503" s="32">
        <v>190.0</v>
      </c>
      <c r="C503" s="32">
        <v>190.0</v>
      </c>
      <c r="D503" s="32">
        <v>190.0</v>
      </c>
      <c r="E503" s="32">
        <v>190.0</v>
      </c>
    </row>
    <row r="504">
      <c r="A504" s="22" t="s">
        <v>98</v>
      </c>
      <c r="B504" s="23">
        <v>1.0</v>
      </c>
      <c r="C504" s="23">
        <v>1.0</v>
      </c>
      <c r="D504" s="23">
        <v>1.0</v>
      </c>
      <c r="E504" s="24">
        <v>1.0</v>
      </c>
    </row>
    <row r="505">
      <c r="A505" s="22" t="s">
        <v>112</v>
      </c>
      <c r="B505" s="26">
        <f t="shared" ref="B505:E505" si="88">round(((B500/B499)*100),2)</f>
        <v>86.82</v>
      </c>
      <c r="C505" s="26">
        <f t="shared" si="88"/>
        <v>88.55</v>
      </c>
      <c r="D505" s="26">
        <f t="shared" si="88"/>
        <v>86.37</v>
      </c>
      <c r="E505" s="26">
        <f t="shared" si="88"/>
        <v>87.98</v>
      </c>
    </row>
    <row r="506">
      <c r="A506" s="22" t="s">
        <v>100</v>
      </c>
      <c r="B506" s="24">
        <v>597.0</v>
      </c>
      <c r="C506" s="24">
        <v>597.0</v>
      </c>
      <c r="D506" s="24">
        <v>583.0</v>
      </c>
      <c r="E506" s="24">
        <v>601.0</v>
      </c>
    </row>
    <row r="507">
      <c r="A507" s="23" t="s">
        <v>471</v>
      </c>
      <c r="B507" s="32" t="s">
        <v>132</v>
      </c>
      <c r="C507" s="32"/>
      <c r="D507" s="32" t="s">
        <v>858</v>
      </c>
      <c r="E507" s="32"/>
    </row>
    <row r="508">
      <c r="A508" s="22" t="s">
        <v>178</v>
      </c>
      <c r="B508" s="24" t="s">
        <v>859</v>
      </c>
      <c r="C508" s="24" t="s">
        <v>621</v>
      </c>
      <c r="D508" s="18"/>
      <c r="E508" s="32"/>
    </row>
    <row r="509">
      <c r="A509" s="22" t="s">
        <v>103</v>
      </c>
      <c r="B509" s="24" t="s">
        <v>870</v>
      </c>
      <c r="D509" s="24" t="s">
        <v>871</v>
      </c>
    </row>
    <row r="512">
      <c r="A512" s="19" t="s">
        <v>50</v>
      </c>
      <c r="B512" s="20" t="s">
        <v>872</v>
      </c>
    </row>
    <row r="513">
      <c r="B513" s="21" t="s">
        <v>4</v>
      </c>
      <c r="C513" s="21" t="s">
        <v>5</v>
      </c>
      <c r="D513" s="21" t="s">
        <v>6</v>
      </c>
      <c r="E513" s="21" t="s">
        <v>7</v>
      </c>
    </row>
    <row r="514">
      <c r="A514" s="22" t="s">
        <v>91</v>
      </c>
      <c r="B514" s="24">
        <v>74.5</v>
      </c>
      <c r="C514" s="24">
        <v>73.4</v>
      </c>
      <c r="D514" s="24">
        <v>79.4</v>
      </c>
      <c r="E514" s="24">
        <v>77.2</v>
      </c>
    </row>
    <row r="515">
      <c r="A515" s="22" t="s">
        <v>92</v>
      </c>
      <c r="B515" s="24">
        <v>5.0</v>
      </c>
      <c r="C515" s="24">
        <v>1.0</v>
      </c>
      <c r="D515" s="24">
        <v>6.0</v>
      </c>
      <c r="E515" s="24">
        <v>5.0</v>
      </c>
    </row>
    <row r="516">
      <c r="A516" s="22" t="s">
        <v>93</v>
      </c>
      <c r="B516" s="23">
        <f t="shared" ref="B516:E516" si="89">B499-B515</f>
        <v>20624</v>
      </c>
      <c r="C516" s="23">
        <f t="shared" si="89"/>
        <v>20224</v>
      </c>
      <c r="D516" s="23">
        <f t="shared" si="89"/>
        <v>20244</v>
      </c>
      <c r="E516" s="23">
        <f t="shared" si="89"/>
        <v>20489</v>
      </c>
    </row>
    <row r="517">
      <c r="A517" s="22" t="s">
        <v>94</v>
      </c>
      <c r="B517" s="23">
        <f t="shared" ref="B517:E517" si="90">B523*30</f>
        <v>17940</v>
      </c>
      <c r="C517" s="23">
        <f t="shared" si="90"/>
        <v>17940</v>
      </c>
      <c r="D517" s="23">
        <f t="shared" si="90"/>
        <v>17430</v>
      </c>
      <c r="E517" s="23">
        <f t="shared" si="90"/>
        <v>18030</v>
      </c>
    </row>
    <row r="518">
      <c r="A518" s="22" t="s">
        <v>95</v>
      </c>
      <c r="B518" s="24">
        <v>15.0</v>
      </c>
      <c r="C518" s="24">
        <v>10.0</v>
      </c>
      <c r="D518" s="24">
        <v>21.0</v>
      </c>
      <c r="E518" s="24">
        <v>10.0</v>
      </c>
    </row>
    <row r="519">
      <c r="A519" s="22" t="s">
        <v>96</v>
      </c>
      <c r="B519" s="24">
        <v>9.0</v>
      </c>
      <c r="C519" s="24">
        <v>12.0</v>
      </c>
      <c r="D519" s="24">
        <v>17.0</v>
      </c>
      <c r="E519" s="24">
        <v>35.0</v>
      </c>
    </row>
    <row r="520">
      <c r="A520" s="22" t="s">
        <v>111</v>
      </c>
      <c r="B520" s="32"/>
      <c r="C520" s="32"/>
      <c r="D520" s="32"/>
      <c r="E520" s="32"/>
    </row>
    <row r="521">
      <c r="A521" s="22" t="s">
        <v>98</v>
      </c>
      <c r="B521" s="23">
        <v>1.0</v>
      </c>
      <c r="C521" s="23">
        <v>1.0</v>
      </c>
      <c r="D521" s="23">
        <v>1.0</v>
      </c>
      <c r="E521" s="24">
        <v>1.0</v>
      </c>
    </row>
    <row r="522">
      <c r="A522" s="22" t="s">
        <v>112</v>
      </c>
      <c r="B522" s="26">
        <f t="shared" ref="B522:E522" si="91">round(((B517/B516)*100),2)</f>
        <v>86.99</v>
      </c>
      <c r="C522" s="26">
        <f t="shared" si="91"/>
        <v>88.71</v>
      </c>
      <c r="D522" s="26">
        <f t="shared" si="91"/>
        <v>86.1</v>
      </c>
      <c r="E522" s="26">
        <f t="shared" si="91"/>
        <v>88</v>
      </c>
    </row>
    <row r="523">
      <c r="A523" s="22" t="s">
        <v>100</v>
      </c>
      <c r="B523" s="24">
        <v>598.0</v>
      </c>
      <c r="C523" s="24">
        <v>598.0</v>
      </c>
      <c r="D523" s="24">
        <v>581.0</v>
      </c>
      <c r="E523" s="24">
        <v>601.0</v>
      </c>
    </row>
    <row r="524">
      <c r="A524" s="23" t="s">
        <v>471</v>
      </c>
      <c r="B524" s="32" t="s">
        <v>132</v>
      </c>
      <c r="C524" s="32"/>
      <c r="D524" s="32" t="s">
        <v>858</v>
      </c>
      <c r="E524" s="32"/>
    </row>
    <row r="525">
      <c r="A525" s="22" t="s">
        <v>178</v>
      </c>
      <c r="B525" s="24" t="s">
        <v>873</v>
      </c>
      <c r="C525" s="24" t="s">
        <v>486</v>
      </c>
      <c r="D525" s="18"/>
      <c r="E525" s="32"/>
    </row>
    <row r="526">
      <c r="A526" s="22" t="s">
        <v>103</v>
      </c>
      <c r="B526" s="24" t="s">
        <v>874</v>
      </c>
      <c r="D526" s="24" t="s">
        <v>875</v>
      </c>
    </row>
    <row r="529">
      <c r="A529" s="19" t="s">
        <v>50</v>
      </c>
      <c r="B529" s="20" t="s">
        <v>876</v>
      </c>
    </row>
    <row r="530">
      <c r="B530" s="21" t="s">
        <v>4</v>
      </c>
      <c r="C530" s="21" t="s">
        <v>5</v>
      </c>
      <c r="D530" s="21" t="s">
        <v>6</v>
      </c>
      <c r="E530" s="21" t="s">
        <v>7</v>
      </c>
    </row>
    <row r="531">
      <c r="A531" s="22" t="s">
        <v>91</v>
      </c>
      <c r="B531" s="24">
        <v>74.6</v>
      </c>
      <c r="C531" s="24">
        <v>73.5</v>
      </c>
      <c r="D531" s="24">
        <v>79.5</v>
      </c>
      <c r="E531" s="24">
        <v>77.3</v>
      </c>
    </row>
    <row r="532">
      <c r="A532" s="22" t="s">
        <v>92</v>
      </c>
      <c r="B532" s="24">
        <v>3.0</v>
      </c>
      <c r="C532" s="24">
        <v>4.0</v>
      </c>
      <c r="D532" s="24">
        <v>4.0</v>
      </c>
      <c r="E532" s="24">
        <v>5.0</v>
      </c>
    </row>
    <row r="533">
      <c r="A533" s="22" t="s">
        <v>93</v>
      </c>
      <c r="B533" s="23">
        <f t="shared" ref="B533:E533" si="92">B516-B532</f>
        <v>20621</v>
      </c>
      <c r="C533" s="23">
        <f t="shared" si="92"/>
        <v>20220</v>
      </c>
      <c r="D533" s="23">
        <f t="shared" si="92"/>
        <v>20240</v>
      </c>
      <c r="E533" s="23">
        <f t="shared" si="92"/>
        <v>20484</v>
      </c>
    </row>
    <row r="534">
      <c r="A534" s="22" t="s">
        <v>94</v>
      </c>
      <c r="B534" s="23">
        <f t="shared" ref="B534:E534" si="93">B540*30</f>
        <v>17760</v>
      </c>
      <c r="C534" s="23">
        <f t="shared" si="93"/>
        <v>18030</v>
      </c>
      <c r="D534" s="23">
        <f t="shared" si="93"/>
        <v>17220</v>
      </c>
      <c r="E534" s="23">
        <f t="shared" si="93"/>
        <v>17820</v>
      </c>
    </row>
    <row r="535">
      <c r="A535" s="22" t="s">
        <v>95</v>
      </c>
      <c r="B535" s="24">
        <v>22.0</v>
      </c>
      <c r="C535" s="24">
        <v>21.0</v>
      </c>
      <c r="D535" s="24">
        <v>25.0</v>
      </c>
      <c r="E535" s="24">
        <v>12.0</v>
      </c>
    </row>
    <row r="536">
      <c r="A536" s="22" t="s">
        <v>96</v>
      </c>
      <c r="B536" s="24">
        <v>16.0</v>
      </c>
      <c r="C536" s="24">
        <v>12.0</v>
      </c>
      <c r="D536" s="24">
        <v>19.0</v>
      </c>
      <c r="E536" s="24">
        <v>26.0</v>
      </c>
    </row>
    <row r="537">
      <c r="A537" s="22" t="s">
        <v>111</v>
      </c>
      <c r="B537" s="32"/>
      <c r="C537" s="32"/>
      <c r="D537" s="32"/>
      <c r="E537" s="32"/>
    </row>
    <row r="538">
      <c r="A538" s="22" t="s">
        <v>98</v>
      </c>
      <c r="B538" s="23">
        <v>1.0</v>
      </c>
      <c r="C538" s="23">
        <v>1.0</v>
      </c>
      <c r="D538" s="23">
        <v>1.0</v>
      </c>
      <c r="E538" s="24">
        <v>1.0</v>
      </c>
    </row>
    <row r="539">
      <c r="A539" s="22" t="s">
        <v>112</v>
      </c>
      <c r="B539" s="26">
        <f t="shared" ref="B539:E539" si="94">round(((B534/B533)*100),2)</f>
        <v>86.13</v>
      </c>
      <c r="C539" s="26">
        <f t="shared" si="94"/>
        <v>89.17</v>
      </c>
      <c r="D539" s="26">
        <f t="shared" si="94"/>
        <v>85.08</v>
      </c>
      <c r="E539" s="26">
        <f t="shared" si="94"/>
        <v>86.99</v>
      </c>
    </row>
    <row r="540">
      <c r="A540" s="22" t="s">
        <v>100</v>
      </c>
      <c r="B540" s="24">
        <v>592.0</v>
      </c>
      <c r="C540" s="24">
        <v>601.0</v>
      </c>
      <c r="D540" s="24">
        <v>574.0</v>
      </c>
      <c r="E540" s="24">
        <v>594.0</v>
      </c>
    </row>
    <row r="541">
      <c r="A541" s="23" t="s">
        <v>471</v>
      </c>
      <c r="B541" s="32" t="s">
        <v>132</v>
      </c>
      <c r="C541" s="32"/>
      <c r="D541" s="32" t="s">
        <v>858</v>
      </c>
      <c r="E541" s="32"/>
    </row>
    <row r="542">
      <c r="A542" s="22" t="s">
        <v>178</v>
      </c>
      <c r="B542" s="24" t="s">
        <v>863</v>
      </c>
      <c r="C542" s="24" t="s">
        <v>509</v>
      </c>
      <c r="D542" s="18"/>
      <c r="E542" s="32"/>
    </row>
    <row r="543">
      <c r="A543" s="22" t="s">
        <v>103</v>
      </c>
      <c r="B543" s="24" t="s">
        <v>877</v>
      </c>
      <c r="D543" s="24" t="s">
        <v>878</v>
      </c>
    </row>
  </sheetData>
  <mergeCells count="128">
    <mergeCell ref="B185:C185"/>
    <mergeCell ref="D185:E185"/>
    <mergeCell ref="A188:A189"/>
    <mergeCell ref="B188:E188"/>
    <mergeCell ref="D202:E202"/>
    <mergeCell ref="A205:A206"/>
    <mergeCell ref="B205:E205"/>
    <mergeCell ref="B202:C202"/>
    <mergeCell ref="B219:C219"/>
    <mergeCell ref="D219:E219"/>
    <mergeCell ref="A222:A223"/>
    <mergeCell ref="B222:E222"/>
    <mergeCell ref="B236:C236"/>
    <mergeCell ref="D236:E236"/>
    <mergeCell ref="A239:A240"/>
    <mergeCell ref="B239:E239"/>
    <mergeCell ref="B254:C254"/>
    <mergeCell ref="D254:E254"/>
    <mergeCell ref="A257:A258"/>
    <mergeCell ref="B257:E257"/>
    <mergeCell ref="D271:E271"/>
    <mergeCell ref="B271:C271"/>
    <mergeCell ref="A274:A275"/>
    <mergeCell ref="B274:E274"/>
    <mergeCell ref="B288:C288"/>
    <mergeCell ref="D288:E288"/>
    <mergeCell ref="A291:A292"/>
    <mergeCell ref="B291:E291"/>
    <mergeCell ref="B305:C305"/>
    <mergeCell ref="D305:E305"/>
    <mergeCell ref="A308:A309"/>
    <mergeCell ref="B308:E308"/>
    <mergeCell ref="D322:E322"/>
    <mergeCell ref="A325:A326"/>
    <mergeCell ref="B325:E325"/>
    <mergeCell ref="B322:C322"/>
    <mergeCell ref="B339:C339"/>
    <mergeCell ref="D339:E339"/>
    <mergeCell ref="A342:A343"/>
    <mergeCell ref="B342:E342"/>
    <mergeCell ref="B356:C356"/>
    <mergeCell ref="D356:E356"/>
    <mergeCell ref="A359:A360"/>
    <mergeCell ref="B359:E359"/>
    <mergeCell ref="B373:C373"/>
    <mergeCell ref="D373:E373"/>
    <mergeCell ref="A376:A377"/>
    <mergeCell ref="B376:E376"/>
    <mergeCell ref="D390:E390"/>
    <mergeCell ref="B390:C390"/>
    <mergeCell ref="A393:A394"/>
    <mergeCell ref="B393:E393"/>
    <mergeCell ref="B407:C407"/>
    <mergeCell ref="D407:E407"/>
    <mergeCell ref="A410:A411"/>
    <mergeCell ref="B410:E410"/>
    <mergeCell ref="B424:C424"/>
    <mergeCell ref="D424:E424"/>
    <mergeCell ref="A427:A428"/>
    <mergeCell ref="B427:E427"/>
    <mergeCell ref="D441:E441"/>
    <mergeCell ref="A444:A445"/>
    <mergeCell ref="B444:E444"/>
    <mergeCell ref="B441:C441"/>
    <mergeCell ref="B458:C458"/>
    <mergeCell ref="D458:E458"/>
    <mergeCell ref="A461:A462"/>
    <mergeCell ref="B461:E461"/>
    <mergeCell ref="B475:C475"/>
    <mergeCell ref="D475:E475"/>
    <mergeCell ref="A478:A479"/>
    <mergeCell ref="B478:E478"/>
    <mergeCell ref="B492:C492"/>
    <mergeCell ref="D492:E492"/>
    <mergeCell ref="A495:A496"/>
    <mergeCell ref="B495:E495"/>
    <mergeCell ref="D509:E509"/>
    <mergeCell ref="B509:C509"/>
    <mergeCell ref="A512:A513"/>
    <mergeCell ref="B512:E512"/>
    <mergeCell ref="B526:C526"/>
    <mergeCell ref="D526:E526"/>
    <mergeCell ref="A529:A530"/>
    <mergeCell ref="B529:E529"/>
    <mergeCell ref="A1:A2"/>
    <mergeCell ref="B1:E1"/>
    <mergeCell ref="B15:C15"/>
    <mergeCell ref="D15:E15"/>
    <mergeCell ref="A18:A19"/>
    <mergeCell ref="B18:E18"/>
    <mergeCell ref="D32:E32"/>
    <mergeCell ref="B32:C32"/>
    <mergeCell ref="A35:A36"/>
    <mergeCell ref="B35:E35"/>
    <mergeCell ref="B49:C49"/>
    <mergeCell ref="D49:E49"/>
    <mergeCell ref="A52:A53"/>
    <mergeCell ref="B52:E52"/>
    <mergeCell ref="B66:C66"/>
    <mergeCell ref="D66:E66"/>
    <mergeCell ref="A69:A70"/>
    <mergeCell ref="B69:E69"/>
    <mergeCell ref="D83:E83"/>
    <mergeCell ref="A86:A87"/>
    <mergeCell ref="B86:E86"/>
    <mergeCell ref="B83:C83"/>
    <mergeCell ref="B100:C100"/>
    <mergeCell ref="D100:E100"/>
    <mergeCell ref="A103:A104"/>
    <mergeCell ref="B103:E103"/>
    <mergeCell ref="B117:C117"/>
    <mergeCell ref="D117:E117"/>
    <mergeCell ref="A120:A121"/>
    <mergeCell ref="B120:E120"/>
    <mergeCell ref="B134:C134"/>
    <mergeCell ref="D134:E134"/>
    <mergeCell ref="A137:A138"/>
    <mergeCell ref="B137:E137"/>
    <mergeCell ref="D151:E151"/>
    <mergeCell ref="B151:C151"/>
    <mergeCell ref="A154:A155"/>
    <mergeCell ref="B154:E154"/>
    <mergeCell ref="B168:C168"/>
    <mergeCell ref="D168:E168"/>
    <mergeCell ref="A171:A172"/>
    <mergeCell ref="B171:E171"/>
    <mergeCell ref="B543:C543"/>
    <mergeCell ref="D543:E54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8.75"/>
  </cols>
  <sheetData>
    <row r="1">
      <c r="A1" s="19" t="s">
        <v>50</v>
      </c>
      <c r="B1" s="29">
        <v>46023.0</v>
      </c>
    </row>
    <row r="2">
      <c r="B2" s="21" t="s">
        <v>4</v>
      </c>
      <c r="C2" s="21" t="s">
        <v>5</v>
      </c>
      <c r="D2" s="21" t="s">
        <v>6</v>
      </c>
      <c r="E2" s="21" t="s">
        <v>7</v>
      </c>
    </row>
    <row r="3">
      <c r="A3" s="22" t="s">
        <v>91</v>
      </c>
      <c r="B3" s="24">
        <v>74.7</v>
      </c>
      <c r="C3" s="24">
        <v>73.6</v>
      </c>
      <c r="D3" s="24">
        <v>79.6</v>
      </c>
      <c r="E3" s="24">
        <v>77.4</v>
      </c>
    </row>
    <row r="4">
      <c r="A4" s="22" t="s">
        <v>92</v>
      </c>
      <c r="B4" s="24">
        <v>3.0</v>
      </c>
      <c r="C4" s="24">
        <v>2.0</v>
      </c>
      <c r="D4" s="24">
        <v>3.0</v>
      </c>
      <c r="E4" s="24">
        <v>7.0</v>
      </c>
    </row>
    <row r="5">
      <c r="A5" s="22" t="s">
        <v>93</v>
      </c>
      <c r="B5" s="23">
        <f>20621-B4</f>
        <v>20618</v>
      </c>
      <c r="C5" s="23">
        <f>20220-C4</f>
        <v>20218</v>
      </c>
      <c r="D5" s="23">
        <f>20240-D4</f>
        <v>20237</v>
      </c>
      <c r="E5" s="23">
        <f>20484-E4</f>
        <v>20477</v>
      </c>
    </row>
    <row r="6">
      <c r="A6" s="22" t="s">
        <v>94</v>
      </c>
      <c r="B6" s="23">
        <f t="shared" ref="B6:E6" si="1">B12*30</f>
        <v>17430</v>
      </c>
      <c r="C6" s="23">
        <f t="shared" si="1"/>
        <v>17400</v>
      </c>
      <c r="D6" s="23">
        <f t="shared" si="1"/>
        <v>16950</v>
      </c>
      <c r="E6" s="23">
        <f t="shared" si="1"/>
        <v>17460</v>
      </c>
    </row>
    <row r="7">
      <c r="A7" s="22" t="s">
        <v>95</v>
      </c>
      <c r="B7" s="24">
        <v>13.0</v>
      </c>
      <c r="C7" s="24">
        <v>12.0</v>
      </c>
      <c r="D7" s="24">
        <v>22.0</v>
      </c>
      <c r="E7" s="24">
        <v>20.0</v>
      </c>
    </row>
    <row r="8">
      <c r="A8" s="22" t="s">
        <v>96</v>
      </c>
      <c r="B8" s="24">
        <v>7.0</v>
      </c>
      <c r="C8" s="24">
        <v>10.0</v>
      </c>
      <c r="D8" s="24">
        <v>19.0</v>
      </c>
      <c r="E8" s="24">
        <v>19.0</v>
      </c>
    </row>
    <row r="9">
      <c r="A9" s="22" t="s">
        <v>111</v>
      </c>
      <c r="B9" s="32">
        <v>110.0</v>
      </c>
      <c r="C9" s="32">
        <v>110.0</v>
      </c>
      <c r="D9" s="32">
        <v>110.0</v>
      </c>
      <c r="E9" s="32">
        <v>110.0</v>
      </c>
    </row>
    <row r="10">
      <c r="A10" s="22" t="s">
        <v>98</v>
      </c>
      <c r="B10" s="23">
        <v>1.0</v>
      </c>
      <c r="C10" s="23">
        <v>1.0</v>
      </c>
      <c r="D10" s="23">
        <v>1.0</v>
      </c>
      <c r="E10" s="24">
        <v>1.0</v>
      </c>
    </row>
    <row r="11">
      <c r="A11" s="22" t="s">
        <v>112</v>
      </c>
      <c r="B11" s="26">
        <f t="shared" ref="B11:E11" si="2">round(((B6/B5)*100),2)</f>
        <v>84.54</v>
      </c>
      <c r="C11" s="26">
        <f t="shared" si="2"/>
        <v>86.06</v>
      </c>
      <c r="D11" s="26">
        <f t="shared" si="2"/>
        <v>83.76</v>
      </c>
      <c r="E11" s="26">
        <f t="shared" si="2"/>
        <v>85.27</v>
      </c>
    </row>
    <row r="12">
      <c r="A12" s="22" t="s">
        <v>100</v>
      </c>
      <c r="B12" s="24">
        <v>581.0</v>
      </c>
      <c r="C12" s="24">
        <v>580.0</v>
      </c>
      <c r="D12" s="24">
        <v>565.0</v>
      </c>
      <c r="E12" s="24">
        <v>582.0</v>
      </c>
    </row>
    <row r="13">
      <c r="A13" s="23" t="s">
        <v>471</v>
      </c>
      <c r="B13" s="32" t="s">
        <v>132</v>
      </c>
      <c r="C13" s="32"/>
      <c r="D13" s="32" t="s">
        <v>858</v>
      </c>
      <c r="E13" s="32"/>
    </row>
    <row r="14">
      <c r="A14" s="22" t="s">
        <v>178</v>
      </c>
      <c r="B14" s="24" t="s">
        <v>879</v>
      </c>
      <c r="C14" s="24" t="s">
        <v>476</v>
      </c>
      <c r="D14" s="18"/>
      <c r="E14" s="32"/>
    </row>
    <row r="15">
      <c r="A15" s="22" t="s">
        <v>103</v>
      </c>
      <c r="B15" s="24"/>
      <c r="D15" s="24" t="s">
        <v>880</v>
      </c>
    </row>
    <row r="18">
      <c r="A18" s="19" t="s">
        <v>50</v>
      </c>
      <c r="B18" s="29">
        <v>46054.0</v>
      </c>
    </row>
    <row r="19">
      <c r="B19" s="21" t="s">
        <v>4</v>
      </c>
      <c r="C19" s="21" t="s">
        <v>5</v>
      </c>
      <c r="D19" s="21" t="s">
        <v>6</v>
      </c>
      <c r="E19" s="21" t="s">
        <v>7</v>
      </c>
    </row>
    <row r="20">
      <c r="A20" s="22" t="s">
        <v>91</v>
      </c>
      <c r="B20" s="24">
        <v>75.1</v>
      </c>
      <c r="C20" s="24">
        <v>73.7</v>
      </c>
      <c r="D20" s="24">
        <v>79.7</v>
      </c>
      <c r="E20" s="24">
        <v>77.5</v>
      </c>
    </row>
    <row r="21">
      <c r="A21" s="22" t="s">
        <v>92</v>
      </c>
      <c r="B21" s="24">
        <v>3.0</v>
      </c>
      <c r="C21" s="24">
        <v>4.0</v>
      </c>
      <c r="D21" s="24">
        <v>6.0</v>
      </c>
      <c r="E21" s="24">
        <v>2.0</v>
      </c>
    </row>
    <row r="22">
      <c r="A22" s="22" t="s">
        <v>93</v>
      </c>
      <c r="B22" s="23">
        <f t="shared" ref="B22:E22" si="3">B5-B21</f>
        <v>20615</v>
      </c>
      <c r="C22" s="23">
        <f t="shared" si="3"/>
        <v>20214</v>
      </c>
      <c r="D22" s="23">
        <f t="shared" si="3"/>
        <v>20231</v>
      </c>
      <c r="E22" s="23">
        <f t="shared" si="3"/>
        <v>20475</v>
      </c>
    </row>
    <row r="23">
      <c r="A23" s="22" t="s">
        <v>94</v>
      </c>
      <c r="B23" s="23">
        <f t="shared" ref="B23:E23" si="4">B29*30</f>
        <v>17850</v>
      </c>
      <c r="C23" s="23">
        <f t="shared" si="4"/>
        <v>18090</v>
      </c>
      <c r="D23" s="23">
        <f t="shared" si="4"/>
        <v>17640</v>
      </c>
      <c r="E23" s="23">
        <f t="shared" si="4"/>
        <v>18030</v>
      </c>
    </row>
    <row r="24">
      <c r="A24" s="22" t="s">
        <v>95</v>
      </c>
      <c r="B24" s="24">
        <v>13.0</v>
      </c>
      <c r="C24" s="24">
        <v>24.0</v>
      </c>
      <c r="D24" s="24">
        <v>24.0</v>
      </c>
      <c r="E24" s="24">
        <v>21.0</v>
      </c>
    </row>
    <row r="25">
      <c r="A25" s="22" t="s">
        <v>96</v>
      </c>
      <c r="B25" s="24">
        <v>9.0</v>
      </c>
      <c r="C25" s="24">
        <v>16.0</v>
      </c>
      <c r="D25" s="24">
        <v>11.0</v>
      </c>
      <c r="E25" s="24">
        <v>18.0</v>
      </c>
    </row>
    <row r="26">
      <c r="A26" s="22" t="s">
        <v>111</v>
      </c>
      <c r="B26" s="32"/>
      <c r="C26" s="32"/>
      <c r="D26" s="32"/>
      <c r="E26" s="32"/>
    </row>
    <row r="27">
      <c r="A27" s="22" t="s">
        <v>98</v>
      </c>
      <c r="B27" s="23">
        <v>1.0</v>
      </c>
      <c r="C27" s="23">
        <v>1.0</v>
      </c>
      <c r="D27" s="23">
        <v>1.0</v>
      </c>
      <c r="E27" s="24">
        <v>1.0</v>
      </c>
    </row>
    <row r="28">
      <c r="A28" s="22" t="s">
        <v>112</v>
      </c>
      <c r="B28" s="26">
        <f t="shared" ref="B28:E28" si="5">round(((B23/B22)*100),2)</f>
        <v>86.59</v>
      </c>
      <c r="C28" s="26">
        <f t="shared" si="5"/>
        <v>89.49</v>
      </c>
      <c r="D28" s="26">
        <f t="shared" si="5"/>
        <v>87.19</v>
      </c>
      <c r="E28" s="26">
        <f t="shared" si="5"/>
        <v>88.06</v>
      </c>
    </row>
    <row r="29">
      <c r="A29" s="22" t="s">
        <v>100</v>
      </c>
      <c r="B29" s="24">
        <v>595.0</v>
      </c>
      <c r="C29" s="24">
        <v>603.0</v>
      </c>
      <c r="D29" s="24">
        <v>588.0</v>
      </c>
      <c r="E29" s="24">
        <v>601.0</v>
      </c>
    </row>
    <row r="30">
      <c r="A30" s="23" t="s">
        <v>471</v>
      </c>
      <c r="B30" s="32" t="s">
        <v>132</v>
      </c>
      <c r="C30" s="32"/>
      <c r="D30" s="32" t="s">
        <v>858</v>
      </c>
      <c r="E30" s="32"/>
    </row>
    <row r="31">
      <c r="A31" s="22" t="s">
        <v>178</v>
      </c>
      <c r="B31" s="24" t="s">
        <v>859</v>
      </c>
      <c r="C31" s="24" t="s">
        <v>185</v>
      </c>
      <c r="D31" s="18"/>
      <c r="E31" s="32"/>
    </row>
    <row r="32">
      <c r="A32" s="22" t="s">
        <v>103</v>
      </c>
      <c r="B32" s="24" t="s">
        <v>881</v>
      </c>
      <c r="D32" s="24" t="s">
        <v>882</v>
      </c>
    </row>
    <row r="35">
      <c r="A35" s="19" t="s">
        <v>50</v>
      </c>
      <c r="B35" s="29">
        <v>46082.0</v>
      </c>
    </row>
    <row r="36">
      <c r="B36" s="21" t="s">
        <v>4</v>
      </c>
      <c r="C36" s="21" t="s">
        <v>5</v>
      </c>
      <c r="D36" s="21" t="s">
        <v>6</v>
      </c>
      <c r="E36" s="21" t="s">
        <v>7</v>
      </c>
    </row>
    <row r="37">
      <c r="A37" s="22" t="s">
        <v>91</v>
      </c>
      <c r="B37" s="24">
        <v>75.2</v>
      </c>
      <c r="C37" s="24">
        <v>74.1</v>
      </c>
      <c r="D37" s="24">
        <v>80.1</v>
      </c>
      <c r="E37" s="24">
        <v>77.6</v>
      </c>
    </row>
    <row r="38">
      <c r="A38" s="22" t="s">
        <v>92</v>
      </c>
      <c r="B38" s="24">
        <v>3.0</v>
      </c>
      <c r="C38" s="24">
        <v>5.0</v>
      </c>
      <c r="D38" s="24">
        <v>6.0</v>
      </c>
      <c r="E38" s="24">
        <v>5.0</v>
      </c>
    </row>
    <row r="39">
      <c r="A39" s="22" t="s">
        <v>93</v>
      </c>
      <c r="B39" s="23">
        <f t="shared" ref="B39:E39" si="6">B22-B38</f>
        <v>20612</v>
      </c>
      <c r="C39" s="23">
        <f t="shared" si="6"/>
        <v>20209</v>
      </c>
      <c r="D39" s="23">
        <f t="shared" si="6"/>
        <v>20225</v>
      </c>
      <c r="E39" s="23">
        <f t="shared" si="6"/>
        <v>20470</v>
      </c>
    </row>
    <row r="40">
      <c r="A40" s="22" t="s">
        <v>94</v>
      </c>
      <c r="B40" s="23">
        <f t="shared" ref="B40:E40" si="7">B46*30</f>
        <v>17700</v>
      </c>
      <c r="C40" s="23">
        <f t="shared" si="7"/>
        <v>17280</v>
      </c>
      <c r="D40" s="23">
        <f t="shared" si="7"/>
        <v>17400</v>
      </c>
      <c r="E40" s="23">
        <f t="shared" si="7"/>
        <v>17580</v>
      </c>
    </row>
    <row r="41">
      <c r="A41" s="22" t="s">
        <v>95</v>
      </c>
      <c r="B41" s="24">
        <v>24.0</v>
      </c>
      <c r="C41" s="24">
        <v>14.0</v>
      </c>
      <c r="D41" s="24">
        <v>27.0</v>
      </c>
      <c r="E41" s="24">
        <v>1.0</v>
      </c>
    </row>
    <row r="42">
      <c r="A42" s="22" t="s">
        <v>96</v>
      </c>
      <c r="B42" s="24">
        <v>13.0</v>
      </c>
      <c r="C42" s="24">
        <v>12.0</v>
      </c>
      <c r="D42" s="24">
        <v>17.0</v>
      </c>
      <c r="E42" s="24">
        <v>23.0</v>
      </c>
    </row>
    <row r="43">
      <c r="A43" s="22" t="s">
        <v>111</v>
      </c>
      <c r="B43" s="32">
        <v>55.0</v>
      </c>
      <c r="C43" s="32">
        <v>55.0</v>
      </c>
      <c r="D43" s="32">
        <v>55.0</v>
      </c>
      <c r="E43" s="32">
        <v>55.0</v>
      </c>
    </row>
    <row r="44">
      <c r="A44" s="22" t="s">
        <v>98</v>
      </c>
      <c r="B44" s="23">
        <v>1.0</v>
      </c>
      <c r="C44" s="23">
        <v>1.0</v>
      </c>
      <c r="D44" s="23">
        <v>1.0</v>
      </c>
      <c r="E44" s="24">
        <v>1.0</v>
      </c>
    </row>
    <row r="45">
      <c r="A45" s="22" t="s">
        <v>112</v>
      </c>
      <c r="B45" s="26">
        <f t="shared" ref="B45:E45" si="8">round(((B40/B39)*100),2)</f>
        <v>85.87</v>
      </c>
      <c r="C45" s="26">
        <f t="shared" si="8"/>
        <v>85.51</v>
      </c>
      <c r="D45" s="26">
        <f t="shared" si="8"/>
        <v>86.03</v>
      </c>
      <c r="E45" s="26">
        <f t="shared" si="8"/>
        <v>85.88</v>
      </c>
    </row>
    <row r="46">
      <c r="A46" s="22" t="s">
        <v>100</v>
      </c>
      <c r="B46" s="24">
        <v>590.0</v>
      </c>
      <c r="C46" s="24">
        <v>576.0</v>
      </c>
      <c r="D46" s="24">
        <v>580.0</v>
      </c>
      <c r="E46" s="24">
        <v>586.0</v>
      </c>
    </row>
    <row r="47">
      <c r="A47" s="23" t="s">
        <v>471</v>
      </c>
      <c r="B47" s="32" t="s">
        <v>132</v>
      </c>
      <c r="C47" s="32"/>
      <c r="D47" s="32" t="s">
        <v>858</v>
      </c>
      <c r="E47" s="32"/>
    </row>
    <row r="48">
      <c r="A48" s="22" t="s">
        <v>178</v>
      </c>
      <c r="B48" s="24" t="s">
        <v>883</v>
      </c>
      <c r="C48" s="24" t="s">
        <v>185</v>
      </c>
      <c r="D48" s="18"/>
      <c r="E48" s="32"/>
    </row>
    <row r="49">
      <c r="A49" s="22" t="s">
        <v>103</v>
      </c>
      <c r="B49" s="24" t="s">
        <v>884</v>
      </c>
      <c r="D49" s="24">
        <v>1491.0</v>
      </c>
    </row>
    <row r="52">
      <c r="A52" s="19" t="s">
        <v>50</v>
      </c>
      <c r="B52" s="29">
        <v>46113.0</v>
      </c>
    </row>
    <row r="53">
      <c r="B53" s="21" t="s">
        <v>4</v>
      </c>
      <c r="C53" s="21" t="s">
        <v>5</v>
      </c>
      <c r="D53" s="21" t="s">
        <v>6</v>
      </c>
      <c r="E53" s="21" t="s">
        <v>7</v>
      </c>
    </row>
    <row r="54">
      <c r="A54" s="22" t="s">
        <v>91</v>
      </c>
      <c r="B54" s="24">
        <v>75.3</v>
      </c>
      <c r="C54" s="24">
        <v>74.2</v>
      </c>
      <c r="D54" s="24">
        <v>80.2</v>
      </c>
      <c r="E54" s="24">
        <v>77.7</v>
      </c>
    </row>
    <row r="55">
      <c r="A55" s="22" t="s">
        <v>92</v>
      </c>
      <c r="B55" s="24">
        <v>2.0</v>
      </c>
      <c r="C55" s="24">
        <v>8.0</v>
      </c>
      <c r="D55" s="24">
        <v>4.0</v>
      </c>
      <c r="E55" s="24">
        <v>6.0</v>
      </c>
    </row>
    <row r="56">
      <c r="A56" s="22" t="s">
        <v>93</v>
      </c>
      <c r="B56" s="23">
        <f t="shared" ref="B56:E56" si="9">B39-B55</f>
        <v>20610</v>
      </c>
      <c r="C56" s="23">
        <f t="shared" si="9"/>
        <v>20201</v>
      </c>
      <c r="D56" s="23">
        <f t="shared" si="9"/>
        <v>20221</v>
      </c>
      <c r="E56" s="23">
        <f t="shared" si="9"/>
        <v>20464</v>
      </c>
    </row>
    <row r="57">
      <c r="A57" s="22" t="s">
        <v>94</v>
      </c>
      <c r="B57" s="23">
        <f t="shared" ref="B57:E57" si="10">B63*30</f>
        <v>17700</v>
      </c>
      <c r="C57" s="23">
        <f t="shared" si="10"/>
        <v>17730</v>
      </c>
      <c r="D57" s="23">
        <f t="shared" si="10"/>
        <v>17550</v>
      </c>
      <c r="E57" s="23">
        <f t="shared" si="10"/>
        <v>17910</v>
      </c>
    </row>
    <row r="58">
      <c r="A58" s="22" t="s">
        <v>95</v>
      </c>
      <c r="B58" s="24">
        <v>21.0</v>
      </c>
      <c r="C58" s="24">
        <v>13.0</v>
      </c>
      <c r="D58" s="24">
        <v>21.0</v>
      </c>
      <c r="E58" s="24">
        <v>13.0</v>
      </c>
    </row>
    <row r="59">
      <c r="A59" s="22" t="s">
        <v>96</v>
      </c>
      <c r="B59" s="24">
        <v>16.0</v>
      </c>
      <c r="C59" s="24">
        <v>12.0</v>
      </c>
      <c r="D59" s="24">
        <v>11.0</v>
      </c>
      <c r="E59" s="24">
        <v>17.0</v>
      </c>
    </row>
    <row r="60">
      <c r="A60" s="22" t="s">
        <v>111</v>
      </c>
      <c r="B60" s="32"/>
      <c r="C60" s="32"/>
      <c r="D60" s="32"/>
      <c r="E60" s="32"/>
    </row>
    <row r="61">
      <c r="A61" s="22" t="s">
        <v>98</v>
      </c>
      <c r="B61" s="23">
        <v>1.0</v>
      </c>
      <c r="C61" s="23">
        <v>1.0</v>
      </c>
      <c r="D61" s="23">
        <v>1.0</v>
      </c>
      <c r="E61" s="24">
        <v>1.0</v>
      </c>
    </row>
    <row r="62">
      <c r="A62" s="22" t="s">
        <v>112</v>
      </c>
      <c r="B62" s="26">
        <f t="shared" ref="B62:E62" si="11">round(((B57/B56)*100),2)</f>
        <v>85.88</v>
      </c>
      <c r="C62" s="26">
        <f t="shared" si="11"/>
        <v>87.77</v>
      </c>
      <c r="D62" s="26">
        <f t="shared" si="11"/>
        <v>86.79</v>
      </c>
      <c r="E62" s="26">
        <f t="shared" si="11"/>
        <v>87.52</v>
      </c>
    </row>
    <row r="63">
      <c r="A63" s="22" t="s">
        <v>100</v>
      </c>
      <c r="B63" s="24">
        <v>590.0</v>
      </c>
      <c r="C63" s="24">
        <v>591.0</v>
      </c>
      <c r="D63" s="24">
        <v>585.0</v>
      </c>
      <c r="E63" s="24">
        <v>597.0</v>
      </c>
    </row>
    <row r="64">
      <c r="A64" s="23" t="s">
        <v>471</v>
      </c>
      <c r="B64" s="32" t="s">
        <v>132</v>
      </c>
      <c r="C64" s="32"/>
      <c r="D64" s="32" t="s">
        <v>858</v>
      </c>
      <c r="E64" s="32"/>
    </row>
    <row r="65">
      <c r="A65" s="22" t="s">
        <v>178</v>
      </c>
      <c r="B65" s="24" t="s">
        <v>885</v>
      </c>
      <c r="C65" s="24" t="s">
        <v>492</v>
      </c>
      <c r="D65" s="18"/>
      <c r="E65" s="32"/>
    </row>
    <row r="66">
      <c r="A66" s="22" t="s">
        <v>103</v>
      </c>
      <c r="B66" s="24" t="s">
        <v>886</v>
      </c>
      <c r="D66" s="24" t="s">
        <v>887</v>
      </c>
    </row>
    <row r="69">
      <c r="A69" s="19" t="s">
        <v>50</v>
      </c>
      <c r="B69" s="29">
        <v>46143.0</v>
      </c>
    </row>
    <row r="70">
      <c r="B70" s="21" t="s">
        <v>4</v>
      </c>
      <c r="C70" s="21" t="s">
        <v>5</v>
      </c>
      <c r="D70" s="21" t="s">
        <v>6</v>
      </c>
      <c r="E70" s="21" t="s">
        <v>7</v>
      </c>
    </row>
    <row r="71">
      <c r="A71" s="22" t="s">
        <v>91</v>
      </c>
      <c r="B71" s="24">
        <v>75.4</v>
      </c>
      <c r="C71" s="24">
        <v>74.3</v>
      </c>
      <c r="D71" s="24">
        <v>80.3</v>
      </c>
      <c r="E71" s="24">
        <v>78.1</v>
      </c>
    </row>
    <row r="72">
      <c r="A72" s="22" t="s">
        <v>92</v>
      </c>
      <c r="B72" s="24">
        <v>4.0</v>
      </c>
      <c r="C72" s="24">
        <v>3.0</v>
      </c>
      <c r="D72" s="24">
        <v>3.0</v>
      </c>
      <c r="E72" s="24">
        <v>2.0</v>
      </c>
    </row>
    <row r="73">
      <c r="A73" s="22" t="s">
        <v>93</v>
      </c>
      <c r="B73" s="23">
        <f t="shared" ref="B73:E73" si="12">B56-B72</f>
        <v>20606</v>
      </c>
      <c r="C73" s="23">
        <f t="shared" si="12"/>
        <v>20198</v>
      </c>
      <c r="D73" s="23">
        <f t="shared" si="12"/>
        <v>20218</v>
      </c>
      <c r="E73" s="23">
        <f t="shared" si="12"/>
        <v>20462</v>
      </c>
    </row>
    <row r="74">
      <c r="A74" s="22" t="s">
        <v>94</v>
      </c>
      <c r="B74" s="23">
        <f t="shared" ref="B74:E74" si="13">B80*30</f>
        <v>17880</v>
      </c>
      <c r="C74" s="23">
        <f t="shared" si="13"/>
        <v>18090</v>
      </c>
      <c r="D74" s="23">
        <f t="shared" si="13"/>
        <v>17550</v>
      </c>
      <c r="E74" s="23">
        <f t="shared" si="13"/>
        <v>17820</v>
      </c>
    </row>
    <row r="75">
      <c r="A75" s="22" t="s">
        <v>95</v>
      </c>
      <c r="B75" s="24">
        <v>13.0</v>
      </c>
      <c r="C75" s="24">
        <v>16.0</v>
      </c>
      <c r="D75" s="24">
        <v>22.0</v>
      </c>
      <c r="E75" s="24">
        <v>19.0</v>
      </c>
    </row>
    <row r="76">
      <c r="A76" s="22" t="s">
        <v>96</v>
      </c>
      <c r="B76" s="24">
        <v>9.0</v>
      </c>
      <c r="C76" s="24">
        <v>13.0</v>
      </c>
      <c r="D76" s="24">
        <v>18.0</v>
      </c>
      <c r="E76" s="24">
        <v>25.0</v>
      </c>
    </row>
    <row r="77">
      <c r="A77" s="22" t="s">
        <v>111</v>
      </c>
      <c r="B77" s="32">
        <v>110.0</v>
      </c>
      <c r="C77" s="32">
        <v>110.0</v>
      </c>
      <c r="D77" s="32">
        <v>110.0</v>
      </c>
      <c r="E77" s="32">
        <v>110.0</v>
      </c>
    </row>
    <row r="78">
      <c r="A78" s="22" t="s">
        <v>98</v>
      </c>
      <c r="B78" s="23">
        <v>1.0</v>
      </c>
      <c r="C78" s="23">
        <v>1.0</v>
      </c>
      <c r="D78" s="23">
        <v>1.0</v>
      </c>
      <c r="E78" s="24">
        <v>1.0</v>
      </c>
    </row>
    <row r="79">
      <c r="A79" s="22" t="s">
        <v>112</v>
      </c>
      <c r="B79" s="26">
        <f t="shared" ref="B79:E79" si="14">round(((B74/B73)*100),2)</f>
        <v>86.77</v>
      </c>
      <c r="C79" s="26">
        <f t="shared" si="14"/>
        <v>89.56</v>
      </c>
      <c r="D79" s="26">
        <f t="shared" si="14"/>
        <v>86.8</v>
      </c>
      <c r="E79" s="26">
        <f t="shared" si="14"/>
        <v>87.09</v>
      </c>
    </row>
    <row r="80">
      <c r="A80" s="22" t="s">
        <v>100</v>
      </c>
      <c r="B80" s="24">
        <v>596.0</v>
      </c>
      <c r="C80" s="24">
        <v>603.0</v>
      </c>
      <c r="D80" s="24">
        <v>585.0</v>
      </c>
      <c r="E80" s="24">
        <v>594.0</v>
      </c>
    </row>
    <row r="81">
      <c r="A81" s="23" t="s">
        <v>471</v>
      </c>
      <c r="B81" s="32" t="s">
        <v>132</v>
      </c>
      <c r="C81" s="32"/>
      <c r="D81" s="32" t="s">
        <v>858</v>
      </c>
      <c r="E81" s="32"/>
    </row>
    <row r="82">
      <c r="A82" s="22" t="s">
        <v>178</v>
      </c>
      <c r="B82" s="24" t="s">
        <v>885</v>
      </c>
      <c r="C82" s="24" t="s">
        <v>476</v>
      </c>
      <c r="D82" s="18"/>
      <c r="E82" s="32"/>
    </row>
    <row r="83">
      <c r="A83" s="22" t="s">
        <v>103</v>
      </c>
      <c r="B83" s="24" t="s">
        <v>888</v>
      </c>
      <c r="D83" s="24" t="s">
        <v>889</v>
      </c>
    </row>
    <row r="86">
      <c r="A86" s="19" t="s">
        <v>50</v>
      </c>
      <c r="B86" s="29">
        <v>46174.0</v>
      </c>
    </row>
    <row r="87">
      <c r="B87" s="21" t="s">
        <v>4</v>
      </c>
      <c r="C87" s="21" t="s">
        <v>5</v>
      </c>
      <c r="D87" s="21" t="s">
        <v>6</v>
      </c>
      <c r="E87" s="21" t="s">
        <v>7</v>
      </c>
    </row>
    <row r="88">
      <c r="A88" s="22" t="s">
        <v>91</v>
      </c>
      <c r="B88" s="24">
        <v>75.5</v>
      </c>
      <c r="C88" s="24">
        <v>74.4</v>
      </c>
      <c r="D88" s="24">
        <v>80.4</v>
      </c>
      <c r="E88" s="24">
        <v>78.2</v>
      </c>
    </row>
    <row r="89">
      <c r="A89" s="22" t="s">
        <v>92</v>
      </c>
      <c r="B89" s="24">
        <v>3.0</v>
      </c>
      <c r="C89" s="24">
        <v>2.0</v>
      </c>
      <c r="D89" s="24">
        <v>1.0</v>
      </c>
      <c r="E89" s="24">
        <v>2.0</v>
      </c>
    </row>
    <row r="90">
      <c r="A90" s="22" t="s">
        <v>93</v>
      </c>
      <c r="B90" s="23">
        <f t="shared" ref="B90:E90" si="15">B73-B89</f>
        <v>20603</v>
      </c>
      <c r="C90" s="23">
        <f t="shared" si="15"/>
        <v>20196</v>
      </c>
      <c r="D90" s="23">
        <f t="shared" si="15"/>
        <v>20217</v>
      </c>
      <c r="E90" s="23">
        <f t="shared" si="15"/>
        <v>20460</v>
      </c>
    </row>
    <row r="91">
      <c r="A91" s="22" t="s">
        <v>94</v>
      </c>
      <c r="B91" s="23">
        <f t="shared" ref="B91:E91" si="16">B97*30</f>
        <v>17880</v>
      </c>
      <c r="C91" s="23">
        <f t="shared" si="16"/>
        <v>17700</v>
      </c>
      <c r="D91" s="23">
        <f t="shared" si="16"/>
        <v>17160</v>
      </c>
      <c r="E91" s="23">
        <f t="shared" si="16"/>
        <v>17550</v>
      </c>
    </row>
    <row r="92">
      <c r="A92" s="22" t="s">
        <v>95</v>
      </c>
      <c r="B92" s="24">
        <v>30.0</v>
      </c>
      <c r="C92" s="24">
        <v>18.0</v>
      </c>
      <c r="D92" s="24">
        <v>23.0</v>
      </c>
      <c r="E92" s="24">
        <v>6.0</v>
      </c>
    </row>
    <row r="93">
      <c r="A93" s="22" t="s">
        <v>96</v>
      </c>
      <c r="B93" s="24">
        <v>18.0</v>
      </c>
      <c r="C93" s="24">
        <v>14.0</v>
      </c>
      <c r="D93" s="24">
        <v>14.0</v>
      </c>
      <c r="E93" s="24">
        <v>18.0</v>
      </c>
    </row>
    <row r="94">
      <c r="A94" s="22" t="s">
        <v>111</v>
      </c>
      <c r="B94" s="32"/>
      <c r="C94" s="32"/>
      <c r="D94" s="32"/>
      <c r="E94" s="32"/>
    </row>
    <row r="95">
      <c r="A95" s="22" t="s">
        <v>98</v>
      </c>
      <c r="B95" s="24">
        <v>2.0</v>
      </c>
      <c r="C95" s="23">
        <v>1.0</v>
      </c>
      <c r="D95" s="23">
        <v>1.0</v>
      </c>
      <c r="E95" s="24">
        <v>1.0</v>
      </c>
    </row>
    <row r="96">
      <c r="A96" s="22" t="s">
        <v>112</v>
      </c>
      <c r="B96" s="26">
        <f t="shared" ref="B96:E96" si="17">round(((B91/B90)*100),2)</f>
        <v>86.78</v>
      </c>
      <c r="C96" s="26">
        <f t="shared" si="17"/>
        <v>87.64</v>
      </c>
      <c r="D96" s="26">
        <f t="shared" si="17"/>
        <v>84.88</v>
      </c>
      <c r="E96" s="26">
        <f t="shared" si="17"/>
        <v>85.78</v>
      </c>
    </row>
    <row r="97">
      <c r="A97" s="22" t="s">
        <v>100</v>
      </c>
      <c r="B97" s="24">
        <v>596.0</v>
      </c>
      <c r="C97" s="24">
        <v>590.0</v>
      </c>
      <c r="D97" s="24">
        <v>572.0</v>
      </c>
      <c r="E97" s="24">
        <v>585.0</v>
      </c>
    </row>
    <row r="98">
      <c r="A98" s="23" t="s">
        <v>471</v>
      </c>
      <c r="B98" s="32" t="s">
        <v>132</v>
      </c>
      <c r="C98" s="32"/>
      <c r="D98" s="32" t="s">
        <v>858</v>
      </c>
      <c r="E98" s="32"/>
    </row>
    <row r="99">
      <c r="A99" s="22" t="s">
        <v>178</v>
      </c>
      <c r="B99" s="24" t="s">
        <v>859</v>
      </c>
      <c r="C99" s="24" t="s">
        <v>492</v>
      </c>
      <c r="D99" s="18"/>
      <c r="E99" s="32"/>
    </row>
    <row r="100">
      <c r="A100" s="22" t="s">
        <v>103</v>
      </c>
      <c r="B100" s="24" t="s">
        <v>890</v>
      </c>
      <c r="D100" s="24" t="s">
        <v>891</v>
      </c>
    </row>
    <row r="103">
      <c r="A103" s="19" t="s">
        <v>50</v>
      </c>
      <c r="B103" s="29">
        <v>46204.0</v>
      </c>
    </row>
    <row r="104">
      <c r="B104" s="21" t="s">
        <v>4</v>
      </c>
      <c r="C104" s="21" t="s">
        <v>5</v>
      </c>
      <c r="D104" s="21" t="s">
        <v>6</v>
      </c>
      <c r="E104" s="21" t="s">
        <v>7</v>
      </c>
    </row>
    <row r="105">
      <c r="A105" s="22" t="s">
        <v>91</v>
      </c>
      <c r="B105" s="24">
        <v>75.6</v>
      </c>
      <c r="C105" s="24">
        <v>74.5</v>
      </c>
      <c r="D105" s="24">
        <v>80.5</v>
      </c>
      <c r="E105" s="24">
        <v>78.3</v>
      </c>
    </row>
    <row r="106">
      <c r="A106" s="22" t="s">
        <v>92</v>
      </c>
      <c r="B106" s="24">
        <v>8.0</v>
      </c>
      <c r="C106" s="24">
        <v>6.0</v>
      </c>
      <c r="D106" s="24">
        <v>4.0</v>
      </c>
      <c r="E106" s="24">
        <v>4.0</v>
      </c>
    </row>
    <row r="107">
      <c r="A107" s="22" t="s">
        <v>93</v>
      </c>
      <c r="B107" s="23">
        <f t="shared" ref="B107:E107" si="18">B90-B106</f>
        <v>20595</v>
      </c>
      <c r="C107" s="23">
        <f t="shared" si="18"/>
        <v>20190</v>
      </c>
      <c r="D107" s="23">
        <f t="shared" si="18"/>
        <v>20213</v>
      </c>
      <c r="E107" s="23">
        <f t="shared" si="18"/>
        <v>20456</v>
      </c>
    </row>
    <row r="108">
      <c r="A108" s="22" t="s">
        <v>94</v>
      </c>
      <c r="B108" s="23">
        <f t="shared" ref="B108:E108" si="19">B114*30</f>
        <v>17700</v>
      </c>
      <c r="C108" s="23">
        <f t="shared" si="19"/>
        <v>18060</v>
      </c>
      <c r="D108" s="23">
        <f t="shared" si="19"/>
        <v>17310</v>
      </c>
      <c r="E108" s="23">
        <f t="shared" si="19"/>
        <v>17550</v>
      </c>
    </row>
    <row r="109">
      <c r="A109" s="22" t="s">
        <v>95</v>
      </c>
      <c r="B109" s="24">
        <v>24.0</v>
      </c>
      <c r="C109" s="24">
        <v>15.0</v>
      </c>
      <c r="D109" s="24">
        <v>18.0</v>
      </c>
      <c r="E109" s="24">
        <v>6.0</v>
      </c>
    </row>
    <row r="110">
      <c r="A110" s="22" t="s">
        <v>96</v>
      </c>
      <c r="B110" s="24">
        <v>17.0</v>
      </c>
      <c r="C110" s="24">
        <v>13.0</v>
      </c>
      <c r="D110" s="24">
        <v>17.0</v>
      </c>
      <c r="E110" s="24">
        <v>13.0</v>
      </c>
    </row>
    <row r="111">
      <c r="A111" s="22" t="s">
        <v>111</v>
      </c>
      <c r="B111" s="32"/>
      <c r="C111" s="32"/>
      <c r="D111" s="32"/>
      <c r="E111" s="32"/>
    </row>
    <row r="112">
      <c r="A112" s="22" t="s">
        <v>98</v>
      </c>
      <c r="B112" s="24">
        <v>1.0</v>
      </c>
      <c r="C112" s="23">
        <v>1.0</v>
      </c>
      <c r="D112" s="23">
        <v>1.0</v>
      </c>
      <c r="E112" s="24">
        <v>1.0</v>
      </c>
    </row>
    <row r="113">
      <c r="A113" s="22" t="s">
        <v>112</v>
      </c>
      <c r="B113" s="26">
        <f t="shared" ref="B113:E113" si="20">round(((B108/B107)*100),2)</f>
        <v>85.94</v>
      </c>
      <c r="C113" s="26">
        <f t="shared" si="20"/>
        <v>89.45</v>
      </c>
      <c r="D113" s="26">
        <f t="shared" si="20"/>
        <v>85.64</v>
      </c>
      <c r="E113" s="26">
        <f t="shared" si="20"/>
        <v>85.79</v>
      </c>
    </row>
    <row r="114">
      <c r="A114" s="22" t="s">
        <v>100</v>
      </c>
      <c r="B114" s="24">
        <v>590.0</v>
      </c>
      <c r="C114" s="24">
        <v>602.0</v>
      </c>
      <c r="D114" s="24">
        <v>577.0</v>
      </c>
      <c r="E114" s="24">
        <v>585.0</v>
      </c>
    </row>
    <row r="115">
      <c r="A115" s="23" t="s">
        <v>471</v>
      </c>
      <c r="B115" s="32" t="s">
        <v>132</v>
      </c>
      <c r="C115" s="32"/>
      <c r="D115" s="32" t="s">
        <v>858</v>
      </c>
      <c r="E115" s="32"/>
    </row>
    <row r="116">
      <c r="A116" s="22" t="s">
        <v>178</v>
      </c>
      <c r="B116" s="24" t="s">
        <v>863</v>
      </c>
      <c r="C116" s="24" t="s">
        <v>126</v>
      </c>
      <c r="D116" s="18"/>
      <c r="E116" s="32"/>
    </row>
    <row r="117">
      <c r="A117" s="22" t="s">
        <v>103</v>
      </c>
      <c r="B117" s="24" t="s">
        <v>892</v>
      </c>
      <c r="D117" s="24" t="s">
        <v>893</v>
      </c>
    </row>
    <row r="120">
      <c r="A120" s="19" t="s">
        <v>50</v>
      </c>
      <c r="B120" s="29">
        <v>46235.0</v>
      </c>
    </row>
    <row r="121">
      <c r="B121" s="21" t="s">
        <v>4</v>
      </c>
      <c r="C121" s="21" t="s">
        <v>5</v>
      </c>
      <c r="D121" s="21" t="s">
        <v>6</v>
      </c>
      <c r="E121" s="21" t="s">
        <v>7</v>
      </c>
    </row>
    <row r="122">
      <c r="A122" s="22" t="s">
        <v>91</v>
      </c>
      <c r="B122" s="24">
        <v>75.7</v>
      </c>
      <c r="C122" s="24">
        <v>74.6</v>
      </c>
      <c r="D122" s="24">
        <v>80.6</v>
      </c>
      <c r="E122" s="24">
        <v>78.4</v>
      </c>
    </row>
    <row r="123">
      <c r="A123" s="22" t="s">
        <v>92</v>
      </c>
      <c r="B123" s="24">
        <v>7.0</v>
      </c>
      <c r="C123" s="24">
        <v>4.0</v>
      </c>
      <c r="D123" s="24">
        <v>5.0</v>
      </c>
      <c r="E123" s="24">
        <v>5.0</v>
      </c>
    </row>
    <row r="124">
      <c r="A124" s="22" t="s">
        <v>93</v>
      </c>
      <c r="B124" s="23">
        <f t="shared" ref="B124:E124" si="21">B107-B123</f>
        <v>20588</v>
      </c>
      <c r="C124" s="23">
        <f t="shared" si="21"/>
        <v>20186</v>
      </c>
      <c r="D124" s="23">
        <f t="shared" si="21"/>
        <v>20208</v>
      </c>
      <c r="E124" s="23">
        <f t="shared" si="21"/>
        <v>20451</v>
      </c>
    </row>
    <row r="125">
      <c r="A125" s="22" t="s">
        <v>94</v>
      </c>
      <c r="B125" s="23">
        <f t="shared" ref="B125:E125" si="22">B131*30</f>
        <v>17700</v>
      </c>
      <c r="C125" s="23">
        <f t="shared" si="22"/>
        <v>17520</v>
      </c>
      <c r="D125" s="23">
        <f t="shared" si="22"/>
        <v>17490</v>
      </c>
      <c r="E125" s="23">
        <f t="shared" si="22"/>
        <v>17910</v>
      </c>
    </row>
    <row r="126">
      <c r="A126" s="22" t="s">
        <v>95</v>
      </c>
      <c r="B126" s="24">
        <v>18.0</v>
      </c>
      <c r="C126" s="24">
        <v>16.0</v>
      </c>
      <c r="D126" s="24">
        <v>30.0</v>
      </c>
      <c r="E126" s="24">
        <v>13.0</v>
      </c>
    </row>
    <row r="127">
      <c r="A127" s="22" t="s">
        <v>96</v>
      </c>
      <c r="B127" s="24">
        <v>14.0</v>
      </c>
      <c r="C127" s="24">
        <v>17.0</v>
      </c>
      <c r="D127" s="24">
        <v>15.0</v>
      </c>
      <c r="E127" s="24">
        <v>24.0</v>
      </c>
    </row>
    <row r="128">
      <c r="A128" s="22" t="s">
        <v>111</v>
      </c>
      <c r="B128" s="32">
        <v>110.0</v>
      </c>
      <c r="C128" s="32">
        <v>110.0</v>
      </c>
      <c r="D128" s="32">
        <v>110.0</v>
      </c>
      <c r="E128" s="32">
        <v>110.0</v>
      </c>
    </row>
    <row r="129">
      <c r="A129" s="22" t="s">
        <v>98</v>
      </c>
      <c r="B129" s="24">
        <v>1.0</v>
      </c>
      <c r="C129" s="23">
        <v>1.0</v>
      </c>
      <c r="D129" s="23">
        <v>1.0</v>
      </c>
      <c r="E129" s="24">
        <v>1.0</v>
      </c>
    </row>
    <row r="130">
      <c r="A130" s="22" t="s">
        <v>112</v>
      </c>
      <c r="B130" s="26">
        <f t="shared" ref="B130:E130" si="23">round(((B125/B124)*100),2)</f>
        <v>85.97</v>
      </c>
      <c r="C130" s="26">
        <f t="shared" si="23"/>
        <v>86.79</v>
      </c>
      <c r="D130" s="26">
        <f t="shared" si="23"/>
        <v>86.55</v>
      </c>
      <c r="E130" s="26">
        <f t="shared" si="23"/>
        <v>87.58</v>
      </c>
    </row>
    <row r="131">
      <c r="A131" s="22" t="s">
        <v>100</v>
      </c>
      <c r="B131" s="24">
        <v>590.0</v>
      </c>
      <c r="C131" s="24">
        <v>584.0</v>
      </c>
      <c r="D131" s="24">
        <v>583.0</v>
      </c>
      <c r="E131" s="24">
        <v>597.0</v>
      </c>
    </row>
    <row r="132">
      <c r="A132" s="23" t="s">
        <v>471</v>
      </c>
      <c r="B132" s="32" t="s">
        <v>132</v>
      </c>
      <c r="C132" s="32"/>
      <c r="D132" s="32" t="s">
        <v>858</v>
      </c>
      <c r="E132" s="32"/>
    </row>
    <row r="133">
      <c r="A133" s="22" t="s">
        <v>178</v>
      </c>
      <c r="B133" s="24"/>
      <c r="C133" s="24"/>
      <c r="D133" s="18"/>
      <c r="E133" s="32"/>
    </row>
    <row r="134">
      <c r="A134" s="22" t="s">
        <v>103</v>
      </c>
      <c r="B134" s="24" t="s">
        <v>894</v>
      </c>
      <c r="D134" s="24" t="s">
        <v>895</v>
      </c>
    </row>
    <row r="137">
      <c r="A137" s="19" t="s">
        <v>50</v>
      </c>
      <c r="B137" s="29">
        <v>46266.0</v>
      </c>
    </row>
    <row r="138">
      <c r="B138" s="21" t="s">
        <v>4</v>
      </c>
      <c r="C138" s="21" t="s">
        <v>5</v>
      </c>
      <c r="D138" s="21" t="s">
        <v>6</v>
      </c>
      <c r="E138" s="21" t="s">
        <v>7</v>
      </c>
    </row>
    <row r="139">
      <c r="A139" s="22" t="s">
        <v>91</v>
      </c>
      <c r="B139" s="24">
        <v>76.1</v>
      </c>
      <c r="C139" s="24">
        <v>74.7</v>
      </c>
      <c r="D139" s="24">
        <v>80.7</v>
      </c>
      <c r="E139" s="24">
        <v>78.5</v>
      </c>
    </row>
    <row r="140">
      <c r="A140" s="22" t="s">
        <v>92</v>
      </c>
      <c r="B140" s="24">
        <v>4.0</v>
      </c>
      <c r="C140" s="24">
        <v>3.0</v>
      </c>
      <c r="D140" s="24">
        <v>3.0</v>
      </c>
      <c r="E140" s="24">
        <v>5.0</v>
      </c>
    </row>
    <row r="141">
      <c r="A141" s="22" t="s">
        <v>93</v>
      </c>
      <c r="B141" s="23">
        <f t="shared" ref="B141:E141" si="24">B124-B140</f>
        <v>20584</v>
      </c>
      <c r="C141" s="23">
        <f t="shared" si="24"/>
        <v>20183</v>
      </c>
      <c r="D141" s="23">
        <f t="shared" si="24"/>
        <v>20205</v>
      </c>
      <c r="E141" s="23">
        <f t="shared" si="24"/>
        <v>20446</v>
      </c>
    </row>
    <row r="142">
      <c r="A142" s="22" t="s">
        <v>94</v>
      </c>
      <c r="B142" s="23">
        <f t="shared" ref="B142:E142" si="25">B148*30</f>
        <v>17700</v>
      </c>
      <c r="C142" s="23">
        <f t="shared" si="25"/>
        <v>17790</v>
      </c>
      <c r="D142" s="23">
        <f t="shared" si="25"/>
        <v>17130</v>
      </c>
      <c r="E142" s="23">
        <f t="shared" si="25"/>
        <v>17250</v>
      </c>
    </row>
    <row r="143">
      <c r="A143" s="22" t="s">
        <v>95</v>
      </c>
      <c r="B143" s="24">
        <v>17.0</v>
      </c>
      <c r="C143" s="24">
        <v>10.0</v>
      </c>
      <c r="D143" s="24">
        <v>28.0</v>
      </c>
      <c r="E143" s="24">
        <v>8.0</v>
      </c>
    </row>
    <row r="144">
      <c r="A144" s="22" t="s">
        <v>96</v>
      </c>
      <c r="B144" s="24">
        <v>13.0</v>
      </c>
      <c r="C144" s="24">
        <v>13.0</v>
      </c>
      <c r="D144" s="24">
        <v>18.0</v>
      </c>
      <c r="E144" s="24">
        <v>20.0</v>
      </c>
    </row>
    <row r="145">
      <c r="A145" s="22" t="s">
        <v>111</v>
      </c>
      <c r="B145" s="32"/>
      <c r="C145" s="32"/>
      <c r="D145" s="32"/>
      <c r="E145" s="32"/>
    </row>
    <row r="146">
      <c r="A146" s="22" t="s">
        <v>98</v>
      </c>
      <c r="B146" s="24">
        <v>1.0</v>
      </c>
      <c r="C146" s="23">
        <v>1.0</v>
      </c>
      <c r="D146" s="23">
        <v>1.0</v>
      </c>
      <c r="E146" s="24">
        <v>1.0</v>
      </c>
    </row>
    <row r="147">
      <c r="A147" s="22" t="s">
        <v>112</v>
      </c>
      <c r="B147" s="26">
        <f t="shared" ref="B147:E147" si="26">round(((B142/B141)*100),2)</f>
        <v>85.99</v>
      </c>
      <c r="C147" s="26">
        <f t="shared" si="26"/>
        <v>88.14</v>
      </c>
      <c r="D147" s="26">
        <f t="shared" si="26"/>
        <v>84.78</v>
      </c>
      <c r="E147" s="26">
        <f t="shared" si="26"/>
        <v>84.37</v>
      </c>
    </row>
    <row r="148">
      <c r="A148" s="22" t="s">
        <v>100</v>
      </c>
      <c r="B148" s="24">
        <v>590.0</v>
      </c>
      <c r="C148" s="24">
        <v>593.0</v>
      </c>
      <c r="D148" s="24">
        <v>571.0</v>
      </c>
      <c r="E148" s="24">
        <v>575.0</v>
      </c>
    </row>
    <row r="149">
      <c r="A149" s="23" t="s">
        <v>471</v>
      </c>
      <c r="B149" s="32" t="s">
        <v>132</v>
      </c>
      <c r="C149" s="32"/>
      <c r="D149" s="32" t="s">
        <v>858</v>
      </c>
      <c r="E149" s="32"/>
    </row>
    <row r="150">
      <c r="A150" s="22" t="s">
        <v>178</v>
      </c>
      <c r="B150" s="24" t="s">
        <v>896</v>
      </c>
      <c r="C150" s="24" t="s">
        <v>897</v>
      </c>
      <c r="D150" s="18"/>
      <c r="E150" s="32"/>
    </row>
    <row r="151">
      <c r="A151" s="22" t="s">
        <v>103</v>
      </c>
      <c r="B151" s="24" t="s">
        <v>898</v>
      </c>
      <c r="D151" s="24" t="s">
        <v>899</v>
      </c>
    </row>
    <row r="154">
      <c r="A154" s="19" t="s">
        <v>50</v>
      </c>
      <c r="B154" s="29">
        <v>46296.0</v>
      </c>
    </row>
    <row r="155">
      <c r="B155" s="21" t="s">
        <v>4</v>
      </c>
      <c r="C155" s="21" t="s">
        <v>5</v>
      </c>
      <c r="D155" s="21" t="s">
        <v>6</v>
      </c>
      <c r="E155" s="21" t="s">
        <v>7</v>
      </c>
    </row>
    <row r="156">
      <c r="A156" s="22" t="s">
        <v>91</v>
      </c>
      <c r="B156" s="24">
        <v>76.2</v>
      </c>
      <c r="C156" s="24">
        <v>75.1</v>
      </c>
      <c r="D156" s="24">
        <v>81.1</v>
      </c>
      <c r="E156" s="24">
        <v>78.6</v>
      </c>
    </row>
    <row r="157">
      <c r="A157" s="22" t="s">
        <v>92</v>
      </c>
      <c r="B157" s="24">
        <v>3.0</v>
      </c>
      <c r="C157" s="24">
        <v>7.0</v>
      </c>
      <c r="D157" s="24">
        <v>5.0</v>
      </c>
      <c r="E157" s="24">
        <v>4.0</v>
      </c>
    </row>
    <row r="158">
      <c r="A158" s="22" t="s">
        <v>93</v>
      </c>
      <c r="B158" s="23">
        <f t="shared" ref="B158:E158" si="27">B141-B157</f>
        <v>20581</v>
      </c>
      <c r="C158" s="23">
        <f t="shared" si="27"/>
        <v>20176</v>
      </c>
      <c r="D158" s="23">
        <f t="shared" si="27"/>
        <v>20200</v>
      </c>
      <c r="E158" s="23">
        <f t="shared" si="27"/>
        <v>20442</v>
      </c>
    </row>
    <row r="159">
      <c r="A159" s="22" t="s">
        <v>94</v>
      </c>
      <c r="B159" s="23">
        <f t="shared" ref="B159:E159" si="28">B165*30</f>
        <v>17640</v>
      </c>
      <c r="C159" s="23">
        <f t="shared" si="28"/>
        <v>17460</v>
      </c>
      <c r="D159" s="23">
        <f t="shared" si="28"/>
        <v>17340</v>
      </c>
      <c r="E159" s="23">
        <f t="shared" si="28"/>
        <v>17880</v>
      </c>
    </row>
    <row r="160">
      <c r="A160" s="22" t="s">
        <v>95</v>
      </c>
      <c r="B160" s="24">
        <v>16.0</v>
      </c>
      <c r="C160" s="24">
        <v>25.0</v>
      </c>
      <c r="D160" s="24">
        <v>30.0</v>
      </c>
      <c r="E160" s="24">
        <v>5.0</v>
      </c>
    </row>
    <row r="161">
      <c r="A161" s="22" t="s">
        <v>96</v>
      </c>
      <c r="B161" s="24">
        <v>14.0</v>
      </c>
      <c r="C161" s="24">
        <v>12.0</v>
      </c>
      <c r="D161" s="24">
        <v>17.0</v>
      </c>
      <c r="E161" s="24">
        <v>16.0</v>
      </c>
    </row>
    <row r="162">
      <c r="A162" s="22" t="s">
        <v>111</v>
      </c>
      <c r="B162" s="32">
        <v>55.0</v>
      </c>
      <c r="C162" s="32">
        <v>55.0</v>
      </c>
      <c r="D162" s="32">
        <v>55.0</v>
      </c>
      <c r="E162" s="32">
        <v>55.0</v>
      </c>
    </row>
    <row r="163">
      <c r="A163" s="22" t="s">
        <v>98</v>
      </c>
      <c r="B163" s="24">
        <v>1.0</v>
      </c>
      <c r="C163" s="23">
        <v>1.0</v>
      </c>
      <c r="D163" s="23">
        <v>1.0</v>
      </c>
      <c r="E163" s="24">
        <v>1.0</v>
      </c>
    </row>
    <row r="164">
      <c r="A164" s="22" t="s">
        <v>112</v>
      </c>
      <c r="B164" s="26">
        <f t="shared" ref="B164:E164" si="29">round(((B159/B158)*100),2)</f>
        <v>85.71</v>
      </c>
      <c r="C164" s="26">
        <f t="shared" si="29"/>
        <v>86.54</v>
      </c>
      <c r="D164" s="26">
        <f t="shared" si="29"/>
        <v>85.84</v>
      </c>
      <c r="E164" s="26">
        <f t="shared" si="29"/>
        <v>87.47</v>
      </c>
    </row>
    <row r="165">
      <c r="A165" s="22" t="s">
        <v>100</v>
      </c>
      <c r="B165" s="24">
        <v>588.0</v>
      </c>
      <c r="C165" s="24">
        <v>582.0</v>
      </c>
      <c r="D165" s="24">
        <v>578.0</v>
      </c>
      <c r="E165" s="24">
        <v>596.0</v>
      </c>
    </row>
    <row r="166">
      <c r="A166" s="23" t="s">
        <v>471</v>
      </c>
      <c r="B166" s="32" t="s">
        <v>132</v>
      </c>
      <c r="C166" s="32"/>
      <c r="D166" s="32" t="s">
        <v>858</v>
      </c>
      <c r="E166" s="32"/>
    </row>
    <row r="167">
      <c r="A167" s="22" t="s">
        <v>178</v>
      </c>
      <c r="B167" s="24" t="s">
        <v>900</v>
      </c>
      <c r="C167" s="24" t="s">
        <v>901</v>
      </c>
      <c r="D167" s="18"/>
      <c r="E167" s="32"/>
    </row>
    <row r="168">
      <c r="A168" s="22" t="s">
        <v>103</v>
      </c>
      <c r="B168" s="24" t="s">
        <v>902</v>
      </c>
      <c r="D168" s="24" t="s">
        <v>903</v>
      </c>
    </row>
    <row r="171">
      <c r="A171" s="19" t="s">
        <v>50</v>
      </c>
      <c r="B171" s="29">
        <v>46327.0</v>
      </c>
    </row>
    <row r="172">
      <c r="B172" s="21" t="s">
        <v>4</v>
      </c>
      <c r="C172" s="21" t="s">
        <v>5</v>
      </c>
      <c r="D172" s="21" t="s">
        <v>6</v>
      </c>
      <c r="E172" s="21" t="s">
        <v>7</v>
      </c>
    </row>
    <row r="173">
      <c r="A173" s="22" t="s">
        <v>91</v>
      </c>
      <c r="B173" s="24">
        <v>76.3</v>
      </c>
      <c r="C173" s="24">
        <v>75.2</v>
      </c>
      <c r="D173" s="24">
        <v>81.2</v>
      </c>
      <c r="E173" s="24">
        <v>78.7</v>
      </c>
    </row>
    <row r="174">
      <c r="A174" s="22" t="s">
        <v>92</v>
      </c>
      <c r="B174" s="24">
        <v>5.0</v>
      </c>
      <c r="C174" s="24">
        <v>2.0</v>
      </c>
      <c r="D174" s="24">
        <v>3.0</v>
      </c>
      <c r="E174" s="24">
        <v>5.0</v>
      </c>
    </row>
    <row r="175">
      <c r="A175" s="22" t="s">
        <v>93</v>
      </c>
      <c r="B175" s="23">
        <f t="shared" ref="B175:E175" si="30">B158-B174</f>
        <v>20576</v>
      </c>
      <c r="C175" s="23">
        <f t="shared" si="30"/>
        <v>20174</v>
      </c>
      <c r="D175" s="23">
        <f t="shared" si="30"/>
        <v>20197</v>
      </c>
      <c r="E175" s="23">
        <f t="shared" si="30"/>
        <v>20437</v>
      </c>
    </row>
    <row r="176">
      <c r="A176" s="22" t="s">
        <v>94</v>
      </c>
      <c r="B176" s="23">
        <f t="shared" ref="B176:E176" si="31">B182*30</f>
        <v>17640</v>
      </c>
      <c r="C176" s="23">
        <f t="shared" si="31"/>
        <v>17580</v>
      </c>
      <c r="D176" s="23">
        <f t="shared" si="31"/>
        <v>17340</v>
      </c>
      <c r="E176" s="23">
        <f t="shared" si="31"/>
        <v>17880</v>
      </c>
    </row>
    <row r="177">
      <c r="A177" s="22" t="s">
        <v>95</v>
      </c>
      <c r="B177" s="24">
        <v>16.0</v>
      </c>
      <c r="C177" s="24">
        <v>12.0</v>
      </c>
      <c r="D177" s="24">
        <v>25.0</v>
      </c>
      <c r="E177" s="24">
        <v>12.0</v>
      </c>
    </row>
    <row r="178">
      <c r="A178" s="22" t="s">
        <v>96</v>
      </c>
      <c r="B178" s="24">
        <v>13.0</v>
      </c>
      <c r="C178" s="24">
        <v>13.0</v>
      </c>
      <c r="D178" s="24">
        <v>18.0</v>
      </c>
      <c r="E178" s="24">
        <v>24.0</v>
      </c>
    </row>
    <row r="179">
      <c r="A179" s="22" t="s">
        <v>111</v>
      </c>
      <c r="B179" s="32"/>
      <c r="C179" s="32"/>
      <c r="D179" s="32"/>
      <c r="E179" s="32"/>
    </row>
    <row r="180">
      <c r="A180" s="22" t="s">
        <v>98</v>
      </c>
      <c r="B180" s="24">
        <v>1.0</v>
      </c>
      <c r="C180" s="23">
        <v>1.0</v>
      </c>
      <c r="D180" s="23">
        <v>1.0</v>
      </c>
      <c r="E180" s="24">
        <v>1.0</v>
      </c>
    </row>
    <row r="181">
      <c r="A181" s="22" t="s">
        <v>112</v>
      </c>
      <c r="B181" s="26">
        <f t="shared" ref="B181:E181" si="32">round(((B176/B175)*100),2)</f>
        <v>85.73</v>
      </c>
      <c r="C181" s="26">
        <f t="shared" si="32"/>
        <v>87.14</v>
      </c>
      <c r="D181" s="26">
        <f t="shared" si="32"/>
        <v>85.85</v>
      </c>
      <c r="E181" s="26">
        <f t="shared" si="32"/>
        <v>87.49</v>
      </c>
    </row>
    <row r="182">
      <c r="A182" s="22" t="s">
        <v>100</v>
      </c>
      <c r="B182" s="24">
        <v>588.0</v>
      </c>
      <c r="C182" s="24">
        <v>586.0</v>
      </c>
      <c r="D182" s="24">
        <v>578.0</v>
      </c>
      <c r="E182" s="24">
        <v>596.0</v>
      </c>
    </row>
    <row r="183">
      <c r="A183" s="23" t="s">
        <v>471</v>
      </c>
      <c r="B183" s="32" t="s">
        <v>132</v>
      </c>
      <c r="C183" s="32"/>
      <c r="D183" s="32" t="s">
        <v>858</v>
      </c>
      <c r="E183" s="32"/>
    </row>
    <row r="184">
      <c r="A184" s="22" t="s">
        <v>178</v>
      </c>
      <c r="B184" s="24" t="s">
        <v>904</v>
      </c>
      <c r="C184" s="24" t="s">
        <v>905</v>
      </c>
      <c r="D184" s="18"/>
      <c r="E184" s="32"/>
    </row>
    <row r="185">
      <c r="A185" s="22" t="s">
        <v>103</v>
      </c>
      <c r="B185" s="24" t="s">
        <v>906</v>
      </c>
      <c r="D185" s="24" t="s">
        <v>907</v>
      </c>
    </row>
    <row r="188">
      <c r="A188" s="19" t="s">
        <v>50</v>
      </c>
      <c r="B188" s="29">
        <v>46357.0</v>
      </c>
    </row>
    <row r="189">
      <c r="B189" s="21" t="s">
        <v>4</v>
      </c>
      <c r="C189" s="21" t="s">
        <v>5</v>
      </c>
      <c r="D189" s="21" t="s">
        <v>6</v>
      </c>
      <c r="E189" s="21" t="s">
        <v>7</v>
      </c>
    </row>
    <row r="190">
      <c r="A190" s="22" t="s">
        <v>91</v>
      </c>
      <c r="B190" s="24">
        <v>76.4</v>
      </c>
      <c r="C190" s="24">
        <v>75.3</v>
      </c>
      <c r="D190" s="24">
        <v>81.3</v>
      </c>
      <c r="E190" s="24">
        <v>79.1</v>
      </c>
    </row>
    <row r="191">
      <c r="A191" s="22" t="s">
        <v>92</v>
      </c>
      <c r="B191" s="24">
        <v>7.0</v>
      </c>
      <c r="C191" s="24">
        <v>5.0</v>
      </c>
      <c r="D191" s="24">
        <v>4.0</v>
      </c>
      <c r="E191" s="24">
        <v>3.0</v>
      </c>
    </row>
    <row r="192">
      <c r="A192" s="22" t="s">
        <v>93</v>
      </c>
      <c r="B192" s="23">
        <f t="shared" ref="B192:E192" si="33">B175-B191</f>
        <v>20569</v>
      </c>
      <c r="C192" s="23">
        <f t="shared" si="33"/>
        <v>20169</v>
      </c>
      <c r="D192" s="23">
        <f t="shared" si="33"/>
        <v>20193</v>
      </c>
      <c r="E192" s="23">
        <f t="shared" si="33"/>
        <v>20434</v>
      </c>
    </row>
    <row r="193">
      <c r="A193" s="22" t="s">
        <v>94</v>
      </c>
      <c r="B193" s="23">
        <f t="shared" ref="B193:E193" si="34">B199*30</f>
        <v>17790</v>
      </c>
      <c r="C193" s="23">
        <f t="shared" si="34"/>
        <v>17730</v>
      </c>
      <c r="D193" s="23">
        <f t="shared" si="34"/>
        <v>17280</v>
      </c>
      <c r="E193" s="23">
        <f t="shared" si="34"/>
        <v>17790</v>
      </c>
    </row>
    <row r="194">
      <c r="A194" s="22" t="s">
        <v>95</v>
      </c>
      <c r="B194" s="24">
        <v>16.0</v>
      </c>
      <c r="C194" s="24">
        <v>10.0</v>
      </c>
      <c r="D194" s="24">
        <v>30.0</v>
      </c>
      <c r="E194" s="24">
        <v>3.0</v>
      </c>
    </row>
    <row r="195">
      <c r="A195" s="22" t="s">
        <v>96</v>
      </c>
      <c r="B195" s="24">
        <v>12.0</v>
      </c>
      <c r="C195" s="24">
        <v>9.0</v>
      </c>
      <c r="D195" s="24">
        <v>19.0</v>
      </c>
      <c r="E195" s="24">
        <v>28.0</v>
      </c>
    </row>
    <row r="196">
      <c r="A196" s="22" t="s">
        <v>111</v>
      </c>
      <c r="B196" s="32">
        <v>110.0</v>
      </c>
      <c r="C196" s="32">
        <v>110.0</v>
      </c>
      <c r="D196" s="32">
        <v>110.0</v>
      </c>
      <c r="E196" s="32">
        <v>110.0</v>
      </c>
    </row>
    <row r="197">
      <c r="A197" s="22" t="s">
        <v>98</v>
      </c>
      <c r="B197" s="24">
        <v>1.0</v>
      </c>
      <c r="C197" s="23">
        <v>1.0</v>
      </c>
      <c r="D197" s="23">
        <v>1.0</v>
      </c>
      <c r="E197" s="24">
        <v>1.0</v>
      </c>
    </row>
    <row r="198">
      <c r="A198" s="22" t="s">
        <v>112</v>
      </c>
      <c r="B198" s="26">
        <f t="shared" ref="B198:E198" si="35">round(((B193/B192)*100),2)</f>
        <v>86.49</v>
      </c>
      <c r="C198" s="26">
        <f t="shared" si="35"/>
        <v>87.91</v>
      </c>
      <c r="D198" s="26">
        <f t="shared" si="35"/>
        <v>85.57</v>
      </c>
      <c r="E198" s="26">
        <f t="shared" si="35"/>
        <v>87.06</v>
      </c>
    </row>
    <row r="199">
      <c r="A199" s="22" t="s">
        <v>100</v>
      </c>
      <c r="B199" s="24">
        <v>593.0</v>
      </c>
      <c r="C199" s="24">
        <v>591.0</v>
      </c>
      <c r="D199" s="24">
        <v>576.0</v>
      </c>
      <c r="E199" s="24">
        <v>593.0</v>
      </c>
    </row>
    <row r="200">
      <c r="A200" s="23" t="s">
        <v>471</v>
      </c>
      <c r="B200" s="32" t="s">
        <v>132</v>
      </c>
      <c r="C200" s="32"/>
      <c r="D200" s="32" t="s">
        <v>858</v>
      </c>
      <c r="E200" s="32"/>
    </row>
    <row r="201">
      <c r="A201" s="22" t="s">
        <v>178</v>
      </c>
      <c r="B201" s="24" t="s">
        <v>908</v>
      </c>
      <c r="C201" s="24" t="s">
        <v>909</v>
      </c>
      <c r="D201" s="18"/>
      <c r="E201" s="32"/>
    </row>
    <row r="202">
      <c r="A202" s="22" t="s">
        <v>103</v>
      </c>
      <c r="B202" s="24" t="s">
        <v>910</v>
      </c>
      <c r="D202" s="24" t="s">
        <v>911</v>
      </c>
    </row>
    <row r="205">
      <c r="A205" s="19" t="s">
        <v>50</v>
      </c>
      <c r="B205" s="20" t="s">
        <v>912</v>
      </c>
    </row>
    <row r="206">
      <c r="B206" s="21" t="s">
        <v>4</v>
      </c>
      <c r="C206" s="21" t="s">
        <v>5</v>
      </c>
      <c r="D206" s="21" t="s">
        <v>6</v>
      </c>
      <c r="E206" s="21" t="s">
        <v>7</v>
      </c>
    </row>
    <row r="207">
      <c r="A207" s="22" t="s">
        <v>91</v>
      </c>
      <c r="B207" s="24">
        <v>76.5</v>
      </c>
      <c r="C207" s="24">
        <v>75.4</v>
      </c>
      <c r="D207" s="24">
        <v>81.4</v>
      </c>
      <c r="E207" s="24">
        <v>79.2</v>
      </c>
    </row>
    <row r="208">
      <c r="A208" s="22" t="s">
        <v>92</v>
      </c>
      <c r="B208" s="24">
        <v>6.0</v>
      </c>
      <c r="C208" s="24">
        <v>4.0</v>
      </c>
      <c r="D208" s="24">
        <v>2.0</v>
      </c>
      <c r="E208" s="24">
        <v>7.0</v>
      </c>
    </row>
    <row r="209">
      <c r="A209" s="22" t="s">
        <v>93</v>
      </c>
      <c r="B209" s="23">
        <f t="shared" ref="B209:E209" si="36">B192-B208</f>
        <v>20563</v>
      </c>
      <c r="C209" s="23">
        <f t="shared" si="36"/>
        <v>20165</v>
      </c>
      <c r="D209" s="23">
        <f t="shared" si="36"/>
        <v>20191</v>
      </c>
      <c r="E209" s="23">
        <f t="shared" si="36"/>
        <v>20427</v>
      </c>
    </row>
    <row r="210">
      <c r="A210" s="22" t="s">
        <v>94</v>
      </c>
      <c r="B210" s="23">
        <f t="shared" ref="B210:E210" si="37">B216*30</f>
        <v>17850</v>
      </c>
      <c r="C210" s="23">
        <f t="shared" si="37"/>
        <v>17790</v>
      </c>
      <c r="D210" s="23">
        <f t="shared" si="37"/>
        <v>17130</v>
      </c>
      <c r="E210" s="23">
        <f t="shared" si="37"/>
        <v>17400</v>
      </c>
    </row>
    <row r="211">
      <c r="A211" s="22" t="s">
        <v>95</v>
      </c>
      <c r="B211" s="24">
        <v>14.0</v>
      </c>
      <c r="C211" s="24">
        <v>13.0</v>
      </c>
      <c r="D211" s="24">
        <v>18.0</v>
      </c>
      <c r="E211" s="24">
        <v>25.0</v>
      </c>
    </row>
    <row r="212">
      <c r="A212" s="22" t="s">
        <v>96</v>
      </c>
      <c r="B212" s="24">
        <v>9.0</v>
      </c>
      <c r="C212" s="24">
        <v>12.0</v>
      </c>
      <c r="D212" s="24">
        <v>11.0</v>
      </c>
      <c r="E212" s="24">
        <v>45.0</v>
      </c>
    </row>
    <row r="213">
      <c r="A213" s="22" t="s">
        <v>111</v>
      </c>
      <c r="B213" s="32"/>
      <c r="C213" s="32"/>
      <c r="D213" s="32"/>
      <c r="E213" s="32"/>
    </row>
    <row r="214">
      <c r="A214" s="22" t="s">
        <v>98</v>
      </c>
      <c r="B214" s="24">
        <v>1.0</v>
      </c>
      <c r="C214" s="23">
        <v>1.0</v>
      </c>
      <c r="D214" s="23">
        <v>1.0</v>
      </c>
      <c r="E214" s="24">
        <v>1.0</v>
      </c>
    </row>
    <row r="215">
      <c r="A215" s="22" t="s">
        <v>112</v>
      </c>
      <c r="B215" s="26">
        <f t="shared" ref="B215:E215" si="38">round(((B210/B209)*100),2)</f>
        <v>86.81</v>
      </c>
      <c r="C215" s="26">
        <f t="shared" si="38"/>
        <v>88.22</v>
      </c>
      <c r="D215" s="26">
        <f t="shared" si="38"/>
        <v>84.84</v>
      </c>
      <c r="E215" s="26">
        <f t="shared" si="38"/>
        <v>85.18</v>
      </c>
    </row>
    <row r="216">
      <c r="A216" s="22" t="s">
        <v>100</v>
      </c>
      <c r="B216" s="24">
        <v>595.0</v>
      </c>
      <c r="C216" s="24">
        <v>593.0</v>
      </c>
      <c r="D216" s="24">
        <v>571.0</v>
      </c>
      <c r="E216" s="24">
        <v>580.0</v>
      </c>
    </row>
    <row r="217">
      <c r="A217" s="23" t="s">
        <v>471</v>
      </c>
      <c r="B217" s="32" t="s">
        <v>132</v>
      </c>
      <c r="C217" s="32"/>
      <c r="D217" s="32" t="s">
        <v>858</v>
      </c>
      <c r="E217" s="32"/>
    </row>
    <row r="218">
      <c r="A218" s="22" t="s">
        <v>178</v>
      </c>
      <c r="B218" s="24" t="s">
        <v>440</v>
      </c>
      <c r="C218" s="24" t="s">
        <v>901</v>
      </c>
      <c r="D218" s="18"/>
      <c r="E218" s="32"/>
    </row>
    <row r="219">
      <c r="A219" s="22" t="s">
        <v>103</v>
      </c>
      <c r="B219" s="24" t="s">
        <v>913</v>
      </c>
      <c r="D219" s="24" t="s">
        <v>914</v>
      </c>
    </row>
    <row r="222">
      <c r="A222" s="19" t="s">
        <v>50</v>
      </c>
      <c r="B222" s="20" t="s">
        <v>915</v>
      </c>
    </row>
    <row r="223">
      <c r="B223" s="21" t="s">
        <v>4</v>
      </c>
      <c r="C223" s="21" t="s">
        <v>5</v>
      </c>
      <c r="D223" s="21" t="s">
        <v>6</v>
      </c>
      <c r="E223" s="21" t="s">
        <v>7</v>
      </c>
    </row>
    <row r="224">
      <c r="A224" s="22" t="s">
        <v>91</v>
      </c>
      <c r="B224" s="24">
        <v>76.6</v>
      </c>
      <c r="C224" s="24">
        <v>75.5</v>
      </c>
      <c r="D224" s="24">
        <v>81.5</v>
      </c>
      <c r="E224" s="24">
        <v>79.3</v>
      </c>
    </row>
    <row r="225">
      <c r="A225" s="22" t="s">
        <v>92</v>
      </c>
      <c r="B225" s="24">
        <v>8.0</v>
      </c>
      <c r="C225" s="24">
        <v>7.0</v>
      </c>
      <c r="D225" s="24">
        <v>10.0</v>
      </c>
      <c r="E225" s="24">
        <v>2.0</v>
      </c>
    </row>
    <row r="226">
      <c r="A226" s="22" t="s">
        <v>93</v>
      </c>
      <c r="B226" s="23">
        <f t="shared" ref="B226:E226" si="39">B209-B225</f>
        <v>20555</v>
      </c>
      <c r="C226" s="23">
        <f t="shared" si="39"/>
        <v>20158</v>
      </c>
      <c r="D226" s="23">
        <f t="shared" si="39"/>
        <v>20181</v>
      </c>
      <c r="E226" s="23">
        <f t="shared" si="39"/>
        <v>20425</v>
      </c>
    </row>
    <row r="227">
      <c r="A227" s="22" t="s">
        <v>94</v>
      </c>
      <c r="B227" s="23">
        <f t="shared" ref="B227:E227" si="40">B233*30</f>
        <v>17910</v>
      </c>
      <c r="C227" s="23">
        <f t="shared" si="40"/>
        <v>17790</v>
      </c>
      <c r="D227" s="23">
        <f t="shared" si="40"/>
        <v>17130</v>
      </c>
      <c r="E227" s="23">
        <f t="shared" si="40"/>
        <v>17910</v>
      </c>
    </row>
    <row r="228">
      <c r="A228" s="22" t="s">
        <v>95</v>
      </c>
      <c r="B228" s="24">
        <v>17.0</v>
      </c>
      <c r="C228" s="24">
        <v>14.0</v>
      </c>
      <c r="D228" s="24">
        <v>16.0</v>
      </c>
      <c r="E228" s="24">
        <v>30.0</v>
      </c>
    </row>
    <row r="229">
      <c r="A229" s="22" t="s">
        <v>96</v>
      </c>
      <c r="B229" s="24">
        <v>13.0</v>
      </c>
      <c r="C229" s="24">
        <v>22.0</v>
      </c>
      <c r="D229" s="24">
        <v>14.0</v>
      </c>
      <c r="E229" s="24">
        <v>24.0</v>
      </c>
    </row>
    <row r="230">
      <c r="A230" s="22" t="s">
        <v>111</v>
      </c>
      <c r="B230" s="32"/>
      <c r="C230" s="32"/>
      <c r="D230" s="32"/>
      <c r="E230" s="32"/>
    </row>
    <row r="231">
      <c r="A231" s="22" t="s">
        <v>98</v>
      </c>
      <c r="B231" s="24">
        <v>1.0</v>
      </c>
      <c r="C231" s="23">
        <v>1.0</v>
      </c>
      <c r="D231" s="23">
        <v>1.0</v>
      </c>
      <c r="E231" s="24">
        <v>1.0</v>
      </c>
    </row>
    <row r="232">
      <c r="A232" s="22" t="s">
        <v>112</v>
      </c>
      <c r="B232" s="26">
        <f t="shared" ref="B232:E232" si="41">round(((B227/B226)*100),2)</f>
        <v>87.13</v>
      </c>
      <c r="C232" s="26">
        <f t="shared" si="41"/>
        <v>88.25</v>
      </c>
      <c r="D232" s="26">
        <f t="shared" si="41"/>
        <v>84.88</v>
      </c>
      <c r="E232" s="26">
        <f t="shared" si="41"/>
        <v>87.69</v>
      </c>
    </row>
    <row r="233">
      <c r="A233" s="22" t="s">
        <v>100</v>
      </c>
      <c r="B233" s="24">
        <v>597.0</v>
      </c>
      <c r="C233" s="24">
        <v>593.0</v>
      </c>
      <c r="D233" s="24">
        <v>571.0</v>
      </c>
      <c r="E233" s="24">
        <v>597.0</v>
      </c>
    </row>
    <row r="234">
      <c r="A234" s="23" t="s">
        <v>471</v>
      </c>
      <c r="B234" s="32" t="s">
        <v>132</v>
      </c>
      <c r="C234" s="32"/>
      <c r="D234" s="32" t="s">
        <v>858</v>
      </c>
      <c r="E234" s="32"/>
    </row>
    <row r="235">
      <c r="A235" s="22" t="s">
        <v>178</v>
      </c>
      <c r="B235" s="24" t="s">
        <v>916</v>
      </c>
      <c r="C235" s="24" t="s">
        <v>909</v>
      </c>
      <c r="D235" s="18"/>
      <c r="E235" s="32"/>
    </row>
    <row r="236">
      <c r="A236" s="22" t="s">
        <v>103</v>
      </c>
      <c r="B236" s="24"/>
      <c r="D236" s="24" t="s">
        <v>917</v>
      </c>
    </row>
    <row r="239">
      <c r="A239" s="19" t="s">
        <v>50</v>
      </c>
      <c r="B239" s="20" t="s">
        <v>918</v>
      </c>
    </row>
    <row r="240">
      <c r="B240" s="21" t="s">
        <v>4</v>
      </c>
      <c r="C240" s="21" t="s">
        <v>5</v>
      </c>
      <c r="D240" s="21" t="s">
        <v>6</v>
      </c>
      <c r="E240" s="21" t="s">
        <v>7</v>
      </c>
    </row>
    <row r="241">
      <c r="A241" s="22" t="s">
        <v>91</v>
      </c>
      <c r="B241" s="24">
        <v>76.7</v>
      </c>
      <c r="C241" s="24">
        <v>75.6</v>
      </c>
      <c r="D241" s="24">
        <v>81.6</v>
      </c>
      <c r="E241" s="24">
        <v>79.4</v>
      </c>
    </row>
    <row r="242">
      <c r="A242" s="22" t="s">
        <v>92</v>
      </c>
      <c r="B242" s="24">
        <v>8.0</v>
      </c>
      <c r="C242" s="24">
        <v>6.0</v>
      </c>
      <c r="D242" s="24">
        <v>5.0</v>
      </c>
      <c r="E242" s="24">
        <v>3.0</v>
      </c>
    </row>
    <row r="243">
      <c r="A243" s="22" t="s">
        <v>93</v>
      </c>
      <c r="B243" s="23">
        <f t="shared" ref="B243:E243" si="42">B226-B242</f>
        <v>20547</v>
      </c>
      <c r="C243" s="23">
        <f t="shared" si="42"/>
        <v>20152</v>
      </c>
      <c r="D243" s="23">
        <f t="shared" si="42"/>
        <v>20176</v>
      </c>
      <c r="E243" s="23">
        <f t="shared" si="42"/>
        <v>20422</v>
      </c>
    </row>
    <row r="244">
      <c r="A244" s="22" t="s">
        <v>94</v>
      </c>
      <c r="B244" s="23">
        <f t="shared" ref="B244:E244" si="43">B250*30</f>
        <v>18030</v>
      </c>
      <c r="C244" s="23">
        <f t="shared" si="43"/>
        <v>17970</v>
      </c>
      <c r="D244" s="23">
        <f t="shared" si="43"/>
        <v>17190</v>
      </c>
      <c r="E244" s="23">
        <f t="shared" si="43"/>
        <v>18090</v>
      </c>
    </row>
    <row r="245">
      <c r="A245" s="22" t="s">
        <v>95</v>
      </c>
      <c r="B245" s="24">
        <v>21.0</v>
      </c>
      <c r="C245" s="24">
        <v>14.0</v>
      </c>
      <c r="D245" s="24">
        <v>22.0</v>
      </c>
      <c r="E245" s="24">
        <v>19.0</v>
      </c>
    </row>
    <row r="246">
      <c r="A246" s="22" t="s">
        <v>96</v>
      </c>
      <c r="B246" s="24">
        <v>16.0</v>
      </c>
      <c r="C246" s="24">
        <v>24.0</v>
      </c>
      <c r="D246" s="24">
        <v>17.0</v>
      </c>
      <c r="E246" s="24">
        <v>19.0</v>
      </c>
    </row>
    <row r="247">
      <c r="A247" s="22" t="s">
        <v>111</v>
      </c>
      <c r="B247" s="32">
        <v>110.0</v>
      </c>
      <c r="C247" s="32">
        <v>110.0</v>
      </c>
      <c r="D247" s="32">
        <v>110.0</v>
      </c>
      <c r="E247" s="32">
        <v>110.0</v>
      </c>
    </row>
    <row r="248">
      <c r="A248" s="22" t="s">
        <v>98</v>
      </c>
      <c r="B248" s="24">
        <v>1.0</v>
      </c>
      <c r="C248" s="23">
        <v>1.0</v>
      </c>
      <c r="D248" s="23">
        <v>1.0</v>
      </c>
      <c r="E248" s="24">
        <v>1.0</v>
      </c>
    </row>
    <row r="249">
      <c r="A249" s="22" t="s">
        <v>112</v>
      </c>
      <c r="B249" s="26">
        <f t="shared" ref="B249:E249" si="44">round(((B244/B243)*100),2)</f>
        <v>87.75</v>
      </c>
      <c r="C249" s="26">
        <f t="shared" si="44"/>
        <v>89.17</v>
      </c>
      <c r="D249" s="26">
        <f t="shared" si="44"/>
        <v>85.2</v>
      </c>
      <c r="E249" s="26">
        <f t="shared" si="44"/>
        <v>88.58</v>
      </c>
    </row>
    <row r="250">
      <c r="A250" s="22" t="s">
        <v>100</v>
      </c>
      <c r="B250" s="24">
        <v>601.0</v>
      </c>
      <c r="C250" s="24">
        <v>599.0</v>
      </c>
      <c r="D250" s="24">
        <v>573.0</v>
      </c>
      <c r="E250" s="24">
        <v>603.0</v>
      </c>
    </row>
    <row r="251">
      <c r="A251" s="23" t="s">
        <v>471</v>
      </c>
      <c r="B251" s="32" t="s">
        <v>132</v>
      </c>
      <c r="C251" s="32" t="s">
        <v>919</v>
      </c>
      <c r="D251" s="32" t="s">
        <v>920</v>
      </c>
      <c r="E251" s="32" t="s">
        <v>921</v>
      </c>
    </row>
    <row r="252">
      <c r="A252" s="22" t="s">
        <v>178</v>
      </c>
      <c r="B252" s="24"/>
      <c r="C252" s="24"/>
      <c r="D252" s="18"/>
      <c r="E252" s="32"/>
    </row>
    <row r="253">
      <c r="A253" s="22" t="s">
        <v>103</v>
      </c>
      <c r="B253" s="24" t="s">
        <v>922</v>
      </c>
      <c r="D253" s="24" t="s">
        <v>923</v>
      </c>
    </row>
    <row r="256">
      <c r="A256" s="19" t="s">
        <v>50</v>
      </c>
      <c r="B256" s="20" t="s">
        <v>924</v>
      </c>
    </row>
    <row r="257">
      <c r="B257" s="21" t="s">
        <v>4</v>
      </c>
      <c r="C257" s="21" t="s">
        <v>5</v>
      </c>
      <c r="D257" s="21" t="s">
        <v>6</v>
      </c>
      <c r="E257" s="21" t="s">
        <v>7</v>
      </c>
    </row>
    <row r="258">
      <c r="A258" s="22" t="s">
        <v>91</v>
      </c>
      <c r="B258" s="24">
        <v>77.1</v>
      </c>
      <c r="C258" s="24">
        <v>75.7</v>
      </c>
      <c r="D258" s="24">
        <v>81.7</v>
      </c>
      <c r="E258" s="24">
        <v>79.5</v>
      </c>
    </row>
    <row r="259">
      <c r="A259" s="22" t="s">
        <v>92</v>
      </c>
      <c r="B259" s="24">
        <v>2.0</v>
      </c>
      <c r="C259" s="24">
        <v>3.0</v>
      </c>
      <c r="D259" s="24">
        <v>3.0</v>
      </c>
      <c r="E259" s="24">
        <v>3.0</v>
      </c>
    </row>
    <row r="260">
      <c r="A260" s="22" t="s">
        <v>93</v>
      </c>
      <c r="B260" s="23">
        <f>B243-B259</f>
        <v>20545</v>
      </c>
      <c r="C260" s="23">
        <f>C243-C259-19</f>
        <v>20130</v>
      </c>
      <c r="D260" s="23">
        <f>D243-D259-7</f>
        <v>20166</v>
      </c>
      <c r="E260" s="23">
        <f>E243-E259-17</f>
        <v>20402</v>
      </c>
    </row>
    <row r="261">
      <c r="A261" s="22" t="s">
        <v>94</v>
      </c>
      <c r="B261" s="23">
        <f t="shared" ref="B261:E261" si="45">B267*30</f>
        <v>17820</v>
      </c>
      <c r="C261" s="23">
        <f t="shared" si="45"/>
        <v>17790</v>
      </c>
      <c r="D261" s="23">
        <f t="shared" si="45"/>
        <v>17220</v>
      </c>
      <c r="E261" s="23">
        <f t="shared" si="45"/>
        <v>17730</v>
      </c>
    </row>
    <row r="262">
      <c r="A262" s="22" t="s">
        <v>95</v>
      </c>
      <c r="B262" s="24">
        <v>24.0</v>
      </c>
      <c r="C262" s="24">
        <v>10.0</v>
      </c>
      <c r="D262" s="24">
        <v>29.0</v>
      </c>
      <c r="E262" s="24">
        <v>30.0</v>
      </c>
    </row>
    <row r="263">
      <c r="A263" s="22" t="s">
        <v>96</v>
      </c>
      <c r="B263" s="24">
        <v>18.0</v>
      </c>
      <c r="C263" s="24">
        <v>25.0</v>
      </c>
      <c r="D263" s="24">
        <v>18.0</v>
      </c>
      <c r="E263" s="24">
        <v>31.0</v>
      </c>
    </row>
    <row r="264">
      <c r="A264" s="22" t="s">
        <v>111</v>
      </c>
      <c r="B264" s="32"/>
      <c r="C264" s="32"/>
      <c r="D264" s="32"/>
      <c r="E264" s="32"/>
    </row>
    <row r="265">
      <c r="A265" s="22" t="s">
        <v>98</v>
      </c>
      <c r="B265" s="24">
        <v>1.0</v>
      </c>
      <c r="C265" s="23">
        <v>1.0</v>
      </c>
      <c r="D265" s="23">
        <v>1.0</v>
      </c>
      <c r="E265" s="24">
        <v>1.0</v>
      </c>
    </row>
    <row r="266">
      <c r="A266" s="22" t="s">
        <v>112</v>
      </c>
      <c r="B266" s="26">
        <f t="shared" ref="B266:E266" si="46">round(((B261/B260)*100),2)</f>
        <v>86.74</v>
      </c>
      <c r="C266" s="26">
        <f t="shared" si="46"/>
        <v>88.38</v>
      </c>
      <c r="D266" s="26">
        <f t="shared" si="46"/>
        <v>85.39</v>
      </c>
      <c r="E266" s="26">
        <f t="shared" si="46"/>
        <v>86.9</v>
      </c>
    </row>
    <row r="267">
      <c r="A267" s="22" t="s">
        <v>100</v>
      </c>
      <c r="B267" s="24">
        <v>594.0</v>
      </c>
      <c r="C267" s="24">
        <v>593.0</v>
      </c>
      <c r="D267" s="24">
        <v>574.0</v>
      </c>
      <c r="E267" s="24">
        <v>591.0</v>
      </c>
    </row>
    <row r="268">
      <c r="A268" s="23" t="s">
        <v>471</v>
      </c>
      <c r="B268" s="32" t="s">
        <v>132</v>
      </c>
      <c r="C268" s="32"/>
      <c r="D268" s="32"/>
      <c r="E268" s="32"/>
    </row>
    <row r="269">
      <c r="A269" s="22" t="s">
        <v>178</v>
      </c>
      <c r="B269" s="24"/>
      <c r="C269" s="24"/>
      <c r="D269" s="18"/>
      <c r="E269" s="32"/>
    </row>
    <row r="270">
      <c r="A270" s="22" t="s">
        <v>103</v>
      </c>
      <c r="B270" s="24"/>
      <c r="D270" s="24" t="s">
        <v>925</v>
      </c>
    </row>
    <row r="273">
      <c r="A273" s="19" t="s">
        <v>50</v>
      </c>
      <c r="B273" s="20" t="s">
        <v>924</v>
      </c>
    </row>
    <row r="274">
      <c r="B274" s="21" t="s">
        <v>4</v>
      </c>
      <c r="C274" s="21" t="s">
        <v>5</v>
      </c>
      <c r="D274" s="21" t="s">
        <v>6</v>
      </c>
      <c r="E274" s="21" t="s">
        <v>7</v>
      </c>
    </row>
    <row r="275">
      <c r="A275" s="22" t="s">
        <v>91</v>
      </c>
      <c r="B275" s="24">
        <v>77.1</v>
      </c>
      <c r="C275" s="24">
        <v>75.7</v>
      </c>
      <c r="D275" s="24">
        <v>81.7</v>
      </c>
      <c r="E275" s="24">
        <v>79.5</v>
      </c>
    </row>
    <row r="276">
      <c r="A276" s="22" t="s">
        <v>92</v>
      </c>
      <c r="B276" s="24">
        <v>2.0</v>
      </c>
      <c r="C276" s="24">
        <v>3.0</v>
      </c>
      <c r="D276" s="24">
        <v>3.0</v>
      </c>
      <c r="E276" s="24">
        <v>3.0</v>
      </c>
    </row>
    <row r="277">
      <c r="A277" s="22" t="s">
        <v>93</v>
      </c>
      <c r="B277" s="23">
        <f>B260-B276</f>
        <v>20543</v>
      </c>
      <c r="C277" s="23">
        <f>C260-C276-19</f>
        <v>20108</v>
      </c>
      <c r="D277" s="23">
        <f>D260-D276-7</f>
        <v>20156</v>
      </c>
      <c r="E277" s="23">
        <f>E260-E276-17</f>
        <v>20382</v>
      </c>
    </row>
    <row r="278">
      <c r="A278" s="22" t="s">
        <v>94</v>
      </c>
      <c r="B278" s="23">
        <f t="shared" ref="B278:E278" si="47">B284*30</f>
        <v>17820</v>
      </c>
      <c r="C278" s="23">
        <f t="shared" si="47"/>
        <v>17790</v>
      </c>
      <c r="D278" s="23">
        <f t="shared" si="47"/>
        <v>17220</v>
      </c>
      <c r="E278" s="23">
        <f t="shared" si="47"/>
        <v>17730</v>
      </c>
    </row>
    <row r="279">
      <c r="A279" s="22" t="s">
        <v>95</v>
      </c>
      <c r="B279" s="24">
        <v>24.0</v>
      </c>
      <c r="C279" s="24">
        <v>10.0</v>
      </c>
      <c r="D279" s="24">
        <v>29.0</v>
      </c>
      <c r="E279" s="24">
        <v>30.0</v>
      </c>
    </row>
    <row r="280">
      <c r="A280" s="22" t="s">
        <v>96</v>
      </c>
      <c r="B280" s="24">
        <v>18.0</v>
      </c>
      <c r="C280" s="24">
        <v>25.0</v>
      </c>
      <c r="D280" s="24">
        <v>18.0</v>
      </c>
      <c r="E280" s="24">
        <v>31.0</v>
      </c>
    </row>
    <row r="281">
      <c r="A281" s="22" t="s">
        <v>111</v>
      </c>
      <c r="B281" s="32"/>
      <c r="C281" s="32"/>
      <c r="D281" s="32"/>
      <c r="E281" s="32"/>
    </row>
    <row r="282">
      <c r="A282" s="22" t="s">
        <v>98</v>
      </c>
      <c r="B282" s="24">
        <v>1.0</v>
      </c>
      <c r="C282" s="23">
        <v>1.0</v>
      </c>
      <c r="D282" s="23">
        <v>1.0</v>
      </c>
      <c r="E282" s="24">
        <v>1.0</v>
      </c>
    </row>
    <row r="283">
      <c r="A283" s="22" t="s">
        <v>112</v>
      </c>
      <c r="B283" s="26">
        <f t="shared" ref="B283:E283" si="48">round(((B278/B277)*100),2)</f>
        <v>86.74</v>
      </c>
      <c r="C283" s="26">
        <f t="shared" si="48"/>
        <v>88.47</v>
      </c>
      <c r="D283" s="26">
        <f t="shared" si="48"/>
        <v>85.43</v>
      </c>
      <c r="E283" s="26">
        <f t="shared" si="48"/>
        <v>86.99</v>
      </c>
    </row>
    <row r="284">
      <c r="A284" s="22" t="s">
        <v>100</v>
      </c>
      <c r="B284" s="24">
        <v>594.0</v>
      </c>
      <c r="C284" s="24">
        <v>593.0</v>
      </c>
      <c r="D284" s="24">
        <v>574.0</v>
      </c>
      <c r="E284" s="24">
        <v>591.0</v>
      </c>
    </row>
    <row r="285">
      <c r="A285" s="23" t="s">
        <v>471</v>
      </c>
      <c r="B285" s="32" t="s">
        <v>132</v>
      </c>
      <c r="C285" s="32"/>
      <c r="D285" s="32"/>
      <c r="E285" s="32"/>
    </row>
    <row r="286">
      <c r="A286" s="22" t="s">
        <v>178</v>
      </c>
      <c r="B286" s="24"/>
      <c r="C286" s="24"/>
      <c r="D286" s="18"/>
      <c r="E286" s="32"/>
    </row>
    <row r="287">
      <c r="A287" s="22" t="s">
        <v>103</v>
      </c>
      <c r="B287" s="24"/>
      <c r="D287" s="24" t="s">
        <v>925</v>
      </c>
    </row>
    <row r="290">
      <c r="A290" s="19" t="s">
        <v>50</v>
      </c>
      <c r="B290" s="20" t="s">
        <v>926</v>
      </c>
    </row>
    <row r="291">
      <c r="B291" s="21" t="s">
        <v>4</v>
      </c>
      <c r="C291" s="21" t="s">
        <v>5</v>
      </c>
      <c r="D291" s="21" t="s">
        <v>6</v>
      </c>
      <c r="E291" s="21" t="s">
        <v>7</v>
      </c>
    </row>
    <row r="292">
      <c r="A292" s="22" t="s">
        <v>91</v>
      </c>
      <c r="B292" s="24">
        <v>77.2</v>
      </c>
      <c r="C292" s="24">
        <v>76.1</v>
      </c>
      <c r="D292" s="24">
        <v>82.1</v>
      </c>
      <c r="E292" s="24">
        <v>79.6</v>
      </c>
    </row>
    <row r="293">
      <c r="A293" s="22" t="s">
        <v>92</v>
      </c>
      <c r="B293" s="24">
        <v>8.0</v>
      </c>
      <c r="C293" s="24">
        <v>3.0</v>
      </c>
      <c r="D293" s="24">
        <v>3.0</v>
      </c>
      <c r="E293" s="24">
        <v>2.0</v>
      </c>
    </row>
    <row r="294">
      <c r="A294" s="22" t="s">
        <v>93</v>
      </c>
      <c r="B294" s="23">
        <f t="shared" ref="B294:E294" si="49">B277-B293</f>
        <v>20535</v>
      </c>
      <c r="C294" s="23">
        <f t="shared" si="49"/>
        <v>20105</v>
      </c>
      <c r="D294" s="23">
        <f t="shared" si="49"/>
        <v>20153</v>
      </c>
      <c r="E294" s="23">
        <f t="shared" si="49"/>
        <v>20380</v>
      </c>
    </row>
    <row r="295">
      <c r="A295" s="22" t="s">
        <v>94</v>
      </c>
      <c r="B295" s="23">
        <f t="shared" ref="B295:E295" si="50">B301*30</f>
        <v>17850</v>
      </c>
      <c r="C295" s="23">
        <f t="shared" si="50"/>
        <v>17850</v>
      </c>
      <c r="D295" s="23">
        <f t="shared" si="50"/>
        <v>17190</v>
      </c>
      <c r="E295" s="23">
        <f t="shared" si="50"/>
        <v>17550</v>
      </c>
    </row>
    <row r="296">
      <c r="A296" s="22" t="s">
        <v>95</v>
      </c>
      <c r="B296" s="24">
        <v>18.0</v>
      </c>
      <c r="C296" s="24">
        <v>20.0</v>
      </c>
      <c r="D296" s="24">
        <v>28.0</v>
      </c>
      <c r="E296" s="24">
        <v>6.0</v>
      </c>
    </row>
    <row r="297">
      <c r="A297" s="22" t="s">
        <v>96</v>
      </c>
      <c r="B297" s="24">
        <v>14.0</v>
      </c>
      <c r="C297" s="24">
        <v>22.0</v>
      </c>
      <c r="D297" s="24">
        <v>14.0</v>
      </c>
      <c r="E297" s="24">
        <v>30.0</v>
      </c>
    </row>
    <row r="298">
      <c r="A298" s="22" t="s">
        <v>111</v>
      </c>
      <c r="B298" s="32">
        <v>55.0</v>
      </c>
      <c r="C298" s="32">
        <v>55.0</v>
      </c>
      <c r="D298" s="32">
        <v>55.0</v>
      </c>
      <c r="E298" s="32">
        <v>55.0</v>
      </c>
    </row>
    <row r="299">
      <c r="A299" s="22" t="s">
        <v>98</v>
      </c>
      <c r="B299" s="24">
        <v>1.0</v>
      </c>
      <c r="C299" s="23">
        <v>1.0</v>
      </c>
      <c r="D299" s="23">
        <v>1.0</v>
      </c>
      <c r="E299" s="24">
        <v>1.0</v>
      </c>
    </row>
    <row r="300">
      <c r="A300" s="22" t="s">
        <v>112</v>
      </c>
      <c r="B300" s="26">
        <f t="shared" ref="B300:E300" si="51">round(((B295/B294)*100),2)</f>
        <v>86.92</v>
      </c>
      <c r="C300" s="26">
        <f t="shared" si="51"/>
        <v>88.78</v>
      </c>
      <c r="D300" s="26">
        <f t="shared" si="51"/>
        <v>85.3</v>
      </c>
      <c r="E300" s="26">
        <f t="shared" si="51"/>
        <v>86.11</v>
      </c>
    </row>
    <row r="301">
      <c r="A301" s="22" t="s">
        <v>100</v>
      </c>
      <c r="B301" s="24">
        <v>595.0</v>
      </c>
      <c r="C301" s="24">
        <v>595.0</v>
      </c>
      <c r="D301" s="24">
        <v>573.0</v>
      </c>
      <c r="E301" s="24">
        <v>585.0</v>
      </c>
    </row>
    <row r="302">
      <c r="A302" s="23" t="s">
        <v>471</v>
      </c>
      <c r="B302" s="32" t="s">
        <v>132</v>
      </c>
      <c r="C302" s="32"/>
      <c r="D302" s="32"/>
      <c r="E302" s="32"/>
    </row>
    <row r="303">
      <c r="A303" s="22" t="s">
        <v>178</v>
      </c>
      <c r="B303" s="24" t="s">
        <v>927</v>
      </c>
      <c r="C303" s="24" t="s">
        <v>928</v>
      </c>
      <c r="D303" s="18"/>
      <c r="E303" s="32"/>
    </row>
    <row r="304">
      <c r="A304" s="22" t="s">
        <v>103</v>
      </c>
      <c r="B304" s="24" t="s">
        <v>929</v>
      </c>
      <c r="D304" s="24" t="s">
        <v>930</v>
      </c>
    </row>
    <row r="307">
      <c r="A307" s="19" t="s">
        <v>50</v>
      </c>
      <c r="B307" s="20" t="s">
        <v>931</v>
      </c>
    </row>
    <row r="308">
      <c r="B308" s="21" t="s">
        <v>4</v>
      </c>
      <c r="C308" s="21" t="s">
        <v>5</v>
      </c>
      <c r="D308" s="21" t="s">
        <v>6</v>
      </c>
      <c r="E308" s="21" t="s">
        <v>7</v>
      </c>
    </row>
    <row r="309">
      <c r="A309" s="22" t="s">
        <v>91</v>
      </c>
      <c r="B309" s="24">
        <v>77.3</v>
      </c>
      <c r="C309" s="24">
        <v>76.2</v>
      </c>
      <c r="D309" s="24">
        <v>82.2</v>
      </c>
      <c r="E309" s="24">
        <v>79.7</v>
      </c>
    </row>
    <row r="310">
      <c r="A310" s="22" t="s">
        <v>92</v>
      </c>
      <c r="B310" s="24">
        <v>6.0</v>
      </c>
      <c r="C310" s="24">
        <v>4.0</v>
      </c>
      <c r="D310" s="24">
        <v>6.0</v>
      </c>
      <c r="E310" s="24">
        <v>4.0</v>
      </c>
    </row>
    <row r="311">
      <c r="A311" s="22" t="s">
        <v>93</v>
      </c>
      <c r="B311" s="23">
        <f t="shared" ref="B311:E311" si="52">B294-B310</f>
        <v>20529</v>
      </c>
      <c r="C311" s="23">
        <f t="shared" si="52"/>
        <v>20101</v>
      </c>
      <c r="D311" s="23">
        <f t="shared" si="52"/>
        <v>20147</v>
      </c>
      <c r="E311" s="23">
        <f t="shared" si="52"/>
        <v>20376</v>
      </c>
    </row>
    <row r="312">
      <c r="A312" s="22" t="s">
        <v>94</v>
      </c>
      <c r="B312" s="23">
        <f t="shared" ref="B312:E312" si="53">B318*30</f>
        <v>17850</v>
      </c>
      <c r="C312" s="23">
        <f t="shared" si="53"/>
        <v>17640</v>
      </c>
      <c r="D312" s="23">
        <f t="shared" si="53"/>
        <v>17400</v>
      </c>
      <c r="E312" s="23">
        <f t="shared" si="53"/>
        <v>18090</v>
      </c>
    </row>
    <row r="313">
      <c r="A313" s="22" t="s">
        <v>95</v>
      </c>
      <c r="B313" s="24">
        <v>29.0</v>
      </c>
      <c r="C313" s="24">
        <v>22.0</v>
      </c>
      <c r="D313" s="24">
        <v>22.0</v>
      </c>
      <c r="E313" s="24">
        <v>19.0</v>
      </c>
    </row>
    <row r="314">
      <c r="A314" s="22" t="s">
        <v>96</v>
      </c>
      <c r="B314" s="24">
        <v>21.0</v>
      </c>
      <c r="C314" s="24">
        <v>20.0</v>
      </c>
      <c r="D314" s="24">
        <v>14.0</v>
      </c>
      <c r="E314" s="24">
        <v>29.0</v>
      </c>
    </row>
    <row r="315">
      <c r="A315" s="22" t="s">
        <v>111</v>
      </c>
      <c r="B315" s="32"/>
      <c r="C315" s="32"/>
      <c r="D315" s="32"/>
      <c r="E315" s="32"/>
    </row>
    <row r="316">
      <c r="A316" s="22" t="s">
        <v>98</v>
      </c>
      <c r="B316" s="24">
        <v>1.0</v>
      </c>
      <c r="C316" s="23">
        <v>1.0</v>
      </c>
      <c r="D316" s="23">
        <v>1.0</v>
      </c>
      <c r="E316" s="24">
        <v>1.0</v>
      </c>
    </row>
    <row r="317">
      <c r="A317" s="22" t="s">
        <v>112</v>
      </c>
      <c r="B317" s="26">
        <f t="shared" ref="B317:E317" si="54">round(((B312/B311)*100),2)</f>
        <v>86.95</v>
      </c>
      <c r="C317" s="26">
        <f t="shared" si="54"/>
        <v>87.76</v>
      </c>
      <c r="D317" s="26">
        <f t="shared" si="54"/>
        <v>86.37</v>
      </c>
      <c r="E317" s="26">
        <f t="shared" si="54"/>
        <v>88.78</v>
      </c>
    </row>
    <row r="318">
      <c r="A318" s="22" t="s">
        <v>100</v>
      </c>
      <c r="B318" s="24">
        <v>595.0</v>
      </c>
      <c r="C318" s="24">
        <v>588.0</v>
      </c>
      <c r="D318" s="24">
        <v>580.0</v>
      </c>
      <c r="E318" s="24">
        <v>603.0</v>
      </c>
    </row>
    <row r="319">
      <c r="A319" s="23" t="s">
        <v>471</v>
      </c>
      <c r="B319" s="32" t="s">
        <v>132</v>
      </c>
      <c r="C319" s="32"/>
      <c r="D319" s="32"/>
      <c r="E319" s="32"/>
    </row>
    <row r="320">
      <c r="A320" s="22" t="s">
        <v>178</v>
      </c>
      <c r="B320" s="24" t="s">
        <v>932</v>
      </c>
      <c r="C320" s="24" t="s">
        <v>933</v>
      </c>
      <c r="D320" s="18"/>
      <c r="E320" s="32"/>
    </row>
    <row r="321">
      <c r="A321" s="22" t="s">
        <v>103</v>
      </c>
      <c r="B321" s="24" t="s">
        <v>934</v>
      </c>
      <c r="D321" s="24" t="s">
        <v>935</v>
      </c>
    </row>
    <row r="324">
      <c r="A324" s="19" t="s">
        <v>50</v>
      </c>
      <c r="B324" s="20" t="s">
        <v>936</v>
      </c>
    </row>
    <row r="325">
      <c r="B325" s="21" t="s">
        <v>4</v>
      </c>
      <c r="C325" s="21" t="s">
        <v>5</v>
      </c>
      <c r="D325" s="21" t="s">
        <v>6</v>
      </c>
      <c r="E325" s="21" t="s">
        <v>7</v>
      </c>
    </row>
    <row r="326">
      <c r="A326" s="22" t="s">
        <v>91</v>
      </c>
      <c r="B326" s="24">
        <v>77.4</v>
      </c>
      <c r="C326" s="24">
        <v>76.3</v>
      </c>
      <c r="D326" s="24">
        <v>82.3</v>
      </c>
      <c r="E326" s="24">
        <v>80.1</v>
      </c>
    </row>
    <row r="327">
      <c r="A327" s="22" t="s">
        <v>92</v>
      </c>
      <c r="B327" s="24">
        <v>4.0</v>
      </c>
      <c r="C327" s="24">
        <v>9.0</v>
      </c>
      <c r="D327" s="24">
        <v>4.0</v>
      </c>
      <c r="E327" s="24">
        <v>6.0</v>
      </c>
    </row>
    <row r="328">
      <c r="A328" s="22" t="s">
        <v>93</v>
      </c>
      <c r="B328" s="23">
        <f t="shared" ref="B328:E328" si="55">B311-B327</f>
        <v>20525</v>
      </c>
      <c r="C328" s="23">
        <f t="shared" si="55"/>
        <v>20092</v>
      </c>
      <c r="D328" s="23">
        <f t="shared" si="55"/>
        <v>20143</v>
      </c>
      <c r="E328" s="23">
        <f t="shared" si="55"/>
        <v>20370</v>
      </c>
    </row>
    <row r="329">
      <c r="A329" s="22" t="s">
        <v>94</v>
      </c>
      <c r="B329" s="23">
        <f t="shared" ref="B329:E329" si="56">B335*30</f>
        <v>17730</v>
      </c>
      <c r="C329" s="23">
        <f t="shared" si="56"/>
        <v>17820</v>
      </c>
      <c r="D329" s="23">
        <f t="shared" si="56"/>
        <v>17250</v>
      </c>
      <c r="E329" s="23">
        <f t="shared" si="56"/>
        <v>18090</v>
      </c>
    </row>
    <row r="330">
      <c r="A330" s="22" t="s">
        <v>95</v>
      </c>
      <c r="B330" s="24">
        <v>21.0</v>
      </c>
      <c r="C330" s="24">
        <v>12.0</v>
      </c>
      <c r="D330" s="24">
        <v>23.0</v>
      </c>
      <c r="E330" s="24">
        <v>18.0</v>
      </c>
    </row>
    <row r="331">
      <c r="A331" s="22" t="s">
        <v>96</v>
      </c>
      <c r="B331" s="24">
        <v>10.0</v>
      </c>
      <c r="C331" s="24">
        <v>9.0</v>
      </c>
      <c r="D331" s="24">
        <v>17.0</v>
      </c>
      <c r="E331" s="24">
        <v>10.0</v>
      </c>
    </row>
    <row r="332">
      <c r="A332" s="22" t="s">
        <v>111</v>
      </c>
      <c r="B332" s="32">
        <v>110.0</v>
      </c>
      <c r="C332" s="32">
        <v>110.0</v>
      </c>
      <c r="D332" s="32">
        <v>110.0</v>
      </c>
      <c r="E332" s="32">
        <v>110.0</v>
      </c>
    </row>
    <row r="333">
      <c r="A333" s="22" t="s">
        <v>98</v>
      </c>
      <c r="B333" s="24">
        <v>1.0</v>
      </c>
      <c r="C333" s="23">
        <v>1.0</v>
      </c>
      <c r="D333" s="23">
        <v>1.0</v>
      </c>
      <c r="E333" s="24">
        <v>1.0</v>
      </c>
    </row>
    <row r="334">
      <c r="A334" s="22" t="s">
        <v>112</v>
      </c>
      <c r="B334" s="26">
        <f t="shared" ref="B334:E334" si="57">round(((B329/B328)*100),2)</f>
        <v>86.38</v>
      </c>
      <c r="C334" s="26">
        <f t="shared" si="57"/>
        <v>88.69</v>
      </c>
      <c r="D334" s="26">
        <f t="shared" si="57"/>
        <v>85.64</v>
      </c>
      <c r="E334" s="26">
        <f t="shared" si="57"/>
        <v>88.81</v>
      </c>
    </row>
    <row r="335">
      <c r="A335" s="22" t="s">
        <v>100</v>
      </c>
      <c r="B335" s="24">
        <v>591.0</v>
      </c>
      <c r="C335" s="24">
        <v>594.0</v>
      </c>
      <c r="D335" s="24">
        <v>575.0</v>
      </c>
      <c r="E335" s="24">
        <v>603.0</v>
      </c>
    </row>
    <row r="336">
      <c r="A336" s="23" t="s">
        <v>471</v>
      </c>
      <c r="B336" s="32" t="s">
        <v>132</v>
      </c>
      <c r="C336" s="32"/>
      <c r="D336" s="32"/>
      <c r="E336" s="32"/>
    </row>
    <row r="337">
      <c r="A337" s="22" t="s">
        <v>178</v>
      </c>
      <c r="B337" s="24" t="s">
        <v>937</v>
      </c>
      <c r="C337" s="24" t="s">
        <v>938</v>
      </c>
      <c r="D337" s="18"/>
      <c r="E337" s="32"/>
    </row>
    <row r="338">
      <c r="A338" s="22" t="s">
        <v>103</v>
      </c>
      <c r="B338" s="24" t="s">
        <v>939</v>
      </c>
      <c r="D338" s="24" t="s">
        <v>940</v>
      </c>
    </row>
    <row r="341">
      <c r="A341" s="19" t="s">
        <v>50</v>
      </c>
      <c r="B341" s="20" t="s">
        <v>941</v>
      </c>
    </row>
    <row r="342">
      <c r="B342" s="21" t="s">
        <v>4</v>
      </c>
      <c r="C342" s="21" t="s">
        <v>5</v>
      </c>
      <c r="D342" s="21" t="s">
        <v>6</v>
      </c>
      <c r="E342" s="21" t="s">
        <v>7</v>
      </c>
    </row>
    <row r="343">
      <c r="A343" s="22" t="s">
        <v>91</v>
      </c>
      <c r="B343" s="24">
        <v>77.5</v>
      </c>
      <c r="C343" s="24">
        <v>76.4</v>
      </c>
      <c r="D343" s="24">
        <v>82.4</v>
      </c>
      <c r="E343" s="24">
        <v>80.2</v>
      </c>
    </row>
    <row r="344">
      <c r="A344" s="22" t="s">
        <v>92</v>
      </c>
      <c r="B344" s="24">
        <v>4.0</v>
      </c>
      <c r="C344" s="24">
        <v>5.0</v>
      </c>
      <c r="D344" s="24">
        <v>4.0</v>
      </c>
      <c r="E344" s="24">
        <v>6.0</v>
      </c>
    </row>
    <row r="345">
      <c r="A345" s="22" t="s">
        <v>93</v>
      </c>
      <c r="B345" s="23">
        <f t="shared" ref="B345:E345" si="58">B328-B344</f>
        <v>20521</v>
      </c>
      <c r="C345" s="23">
        <f t="shared" si="58"/>
        <v>20087</v>
      </c>
      <c r="D345" s="23">
        <f t="shared" si="58"/>
        <v>20139</v>
      </c>
      <c r="E345" s="23">
        <f t="shared" si="58"/>
        <v>20364</v>
      </c>
    </row>
    <row r="346">
      <c r="A346" s="22" t="s">
        <v>94</v>
      </c>
      <c r="B346" s="23">
        <f t="shared" ref="B346:E346" si="59">B352*30</f>
        <v>17760</v>
      </c>
      <c r="C346" s="23">
        <f t="shared" si="59"/>
        <v>17700</v>
      </c>
      <c r="D346" s="23">
        <f t="shared" si="59"/>
        <v>17130</v>
      </c>
      <c r="E346" s="23">
        <f t="shared" si="59"/>
        <v>17850</v>
      </c>
    </row>
    <row r="347">
      <c r="A347" s="22" t="s">
        <v>95</v>
      </c>
      <c r="B347" s="24">
        <v>21.0</v>
      </c>
      <c r="C347" s="24">
        <v>20.0</v>
      </c>
      <c r="D347" s="24">
        <v>16.0</v>
      </c>
      <c r="E347" s="24">
        <v>11.0</v>
      </c>
    </row>
    <row r="348">
      <c r="A348" s="22" t="s">
        <v>96</v>
      </c>
      <c r="B348" s="24">
        <v>14.0</v>
      </c>
      <c r="C348" s="24">
        <v>15.0</v>
      </c>
      <c r="D348" s="24">
        <v>14.0</v>
      </c>
      <c r="E348" s="24">
        <v>17.0</v>
      </c>
    </row>
    <row r="349">
      <c r="A349" s="22" t="s">
        <v>111</v>
      </c>
      <c r="B349" s="32"/>
      <c r="C349" s="32"/>
      <c r="D349" s="32"/>
      <c r="E349" s="32"/>
    </row>
    <row r="350">
      <c r="A350" s="22" t="s">
        <v>98</v>
      </c>
      <c r="B350" s="24">
        <v>1.0</v>
      </c>
      <c r="C350" s="23">
        <v>1.0</v>
      </c>
      <c r="D350" s="23">
        <v>1.0</v>
      </c>
      <c r="E350" s="24">
        <v>1.0</v>
      </c>
    </row>
    <row r="351">
      <c r="A351" s="22" t="s">
        <v>112</v>
      </c>
      <c r="B351" s="26">
        <f t="shared" ref="B351:E351" si="60">round(((B346/B345)*100),2)</f>
        <v>86.55</v>
      </c>
      <c r="C351" s="26">
        <f t="shared" si="60"/>
        <v>88.12</v>
      </c>
      <c r="D351" s="26">
        <f t="shared" si="60"/>
        <v>85.06</v>
      </c>
      <c r="E351" s="26">
        <f t="shared" si="60"/>
        <v>87.65</v>
      </c>
    </row>
    <row r="352">
      <c r="A352" s="22" t="s">
        <v>100</v>
      </c>
      <c r="B352" s="24">
        <v>592.0</v>
      </c>
      <c r="C352" s="24">
        <v>590.0</v>
      </c>
      <c r="D352" s="24">
        <v>571.0</v>
      </c>
      <c r="E352" s="24">
        <v>595.0</v>
      </c>
    </row>
    <row r="353">
      <c r="A353" s="23" t="s">
        <v>471</v>
      </c>
      <c r="B353" s="32" t="s">
        <v>132</v>
      </c>
      <c r="C353" s="32"/>
      <c r="D353" s="32"/>
      <c r="E353" s="32"/>
    </row>
    <row r="354">
      <c r="A354" s="22" t="s">
        <v>178</v>
      </c>
      <c r="B354" s="24" t="s">
        <v>942</v>
      </c>
      <c r="C354" s="24" t="s">
        <v>943</v>
      </c>
      <c r="D354" s="18"/>
      <c r="E354" s="32"/>
    </row>
    <row r="355">
      <c r="A355" s="22" t="s">
        <v>103</v>
      </c>
      <c r="B355" s="24" t="s">
        <v>944</v>
      </c>
      <c r="D355" s="24" t="s">
        <v>945</v>
      </c>
    </row>
    <row r="358">
      <c r="A358" s="19" t="s">
        <v>50</v>
      </c>
      <c r="B358" s="20" t="s">
        <v>946</v>
      </c>
    </row>
    <row r="359">
      <c r="B359" s="21" t="s">
        <v>4</v>
      </c>
      <c r="C359" s="21" t="s">
        <v>5</v>
      </c>
      <c r="D359" s="21" t="s">
        <v>6</v>
      </c>
      <c r="E359" s="21" t="s">
        <v>7</v>
      </c>
    </row>
    <row r="360">
      <c r="A360" s="22" t="s">
        <v>91</v>
      </c>
      <c r="B360" s="24">
        <v>77.6</v>
      </c>
      <c r="C360" s="24">
        <v>76.5</v>
      </c>
      <c r="D360" s="24">
        <v>82.5</v>
      </c>
      <c r="E360" s="24">
        <v>80.3</v>
      </c>
    </row>
    <row r="361">
      <c r="A361" s="22" t="s">
        <v>92</v>
      </c>
      <c r="B361" s="24">
        <v>5.0</v>
      </c>
      <c r="C361" s="24">
        <v>1.0</v>
      </c>
      <c r="D361" s="24">
        <v>5.0</v>
      </c>
      <c r="E361" s="24">
        <v>3.0</v>
      </c>
    </row>
    <row r="362">
      <c r="A362" s="22" t="s">
        <v>93</v>
      </c>
      <c r="B362" s="23">
        <f t="shared" ref="B362:E362" si="61">B345-B361</f>
        <v>20516</v>
      </c>
      <c r="C362" s="23">
        <f t="shared" si="61"/>
        <v>20086</v>
      </c>
      <c r="D362" s="23">
        <f t="shared" si="61"/>
        <v>20134</v>
      </c>
      <c r="E362" s="23">
        <f t="shared" si="61"/>
        <v>20361</v>
      </c>
    </row>
    <row r="363">
      <c r="A363" s="22" t="s">
        <v>94</v>
      </c>
      <c r="B363" s="23">
        <f t="shared" ref="B363:E363" si="62">B369*30</f>
        <v>17430</v>
      </c>
      <c r="C363" s="23">
        <f t="shared" si="62"/>
        <v>17580</v>
      </c>
      <c r="D363" s="23">
        <f t="shared" si="62"/>
        <v>17100</v>
      </c>
      <c r="E363" s="23">
        <f t="shared" si="62"/>
        <v>17670</v>
      </c>
    </row>
    <row r="364">
      <c r="A364" s="22" t="s">
        <v>95</v>
      </c>
      <c r="B364" s="24">
        <v>21.0</v>
      </c>
      <c r="C364" s="24">
        <v>24.0</v>
      </c>
      <c r="D364" s="24">
        <v>19.0</v>
      </c>
      <c r="E364" s="24">
        <v>14.0</v>
      </c>
    </row>
    <row r="365">
      <c r="A365" s="22" t="s">
        <v>96</v>
      </c>
      <c r="B365" s="24">
        <v>9.0</v>
      </c>
      <c r="C365" s="24">
        <v>17.0</v>
      </c>
      <c r="D365" s="24">
        <v>13.0</v>
      </c>
      <c r="E365" s="24">
        <v>18.0</v>
      </c>
    </row>
    <row r="366">
      <c r="A366" s="22" t="s">
        <v>111</v>
      </c>
      <c r="B366" s="32"/>
      <c r="C366" s="32"/>
      <c r="D366" s="32"/>
      <c r="E366" s="32"/>
    </row>
    <row r="367">
      <c r="A367" s="22" t="s">
        <v>98</v>
      </c>
      <c r="B367" s="24">
        <v>1.0</v>
      </c>
      <c r="C367" s="23">
        <v>1.0</v>
      </c>
      <c r="D367" s="23">
        <v>1.0</v>
      </c>
      <c r="E367" s="24">
        <v>1.0</v>
      </c>
    </row>
    <row r="368">
      <c r="A368" s="22" t="s">
        <v>112</v>
      </c>
      <c r="B368" s="26">
        <f t="shared" ref="B368:E368" si="63">round(((B363/B362)*100),2)</f>
        <v>84.96</v>
      </c>
      <c r="C368" s="26">
        <f t="shared" si="63"/>
        <v>87.52</v>
      </c>
      <c r="D368" s="26">
        <f t="shared" si="63"/>
        <v>84.93</v>
      </c>
      <c r="E368" s="26">
        <f t="shared" si="63"/>
        <v>86.78</v>
      </c>
    </row>
    <row r="369">
      <c r="A369" s="22" t="s">
        <v>100</v>
      </c>
      <c r="B369" s="24">
        <v>581.0</v>
      </c>
      <c r="C369" s="24">
        <v>586.0</v>
      </c>
      <c r="D369" s="24">
        <v>570.0</v>
      </c>
      <c r="E369" s="24">
        <v>589.0</v>
      </c>
    </row>
    <row r="370">
      <c r="A370" s="23" t="s">
        <v>471</v>
      </c>
      <c r="B370" s="32" t="s">
        <v>132</v>
      </c>
      <c r="C370" s="32"/>
      <c r="D370" s="32"/>
      <c r="E370" s="32"/>
    </row>
    <row r="371">
      <c r="A371" s="22" t="s">
        <v>178</v>
      </c>
      <c r="B371" s="24" t="s">
        <v>927</v>
      </c>
      <c r="C371" s="24" t="s">
        <v>947</v>
      </c>
      <c r="D371" s="18"/>
      <c r="E371" s="32"/>
    </row>
    <row r="372">
      <c r="A372" s="22" t="s">
        <v>103</v>
      </c>
      <c r="B372" s="24" t="s">
        <v>765</v>
      </c>
      <c r="D372" s="24" t="s">
        <v>948</v>
      </c>
    </row>
    <row r="375">
      <c r="A375" s="19" t="s">
        <v>50</v>
      </c>
      <c r="B375" s="20" t="s">
        <v>949</v>
      </c>
    </row>
    <row r="376">
      <c r="B376" s="21" t="s">
        <v>4</v>
      </c>
      <c r="C376" s="21" t="s">
        <v>5</v>
      </c>
      <c r="D376" s="21" t="s">
        <v>6</v>
      </c>
      <c r="E376" s="21" t="s">
        <v>7</v>
      </c>
    </row>
    <row r="377">
      <c r="A377" s="22" t="s">
        <v>91</v>
      </c>
      <c r="B377" s="24">
        <v>77.7</v>
      </c>
      <c r="C377" s="24">
        <v>76.6</v>
      </c>
      <c r="D377" s="24">
        <v>82.6</v>
      </c>
      <c r="E377" s="24">
        <v>80.4</v>
      </c>
    </row>
    <row r="378">
      <c r="A378" s="22" t="s">
        <v>92</v>
      </c>
      <c r="B378" s="24">
        <v>15.0</v>
      </c>
      <c r="C378" s="24">
        <v>3.0</v>
      </c>
      <c r="D378" s="24">
        <v>3.0</v>
      </c>
      <c r="E378" s="24">
        <v>8.0</v>
      </c>
    </row>
    <row r="379">
      <c r="A379" s="22" t="s">
        <v>93</v>
      </c>
      <c r="B379" s="23">
        <f t="shared" ref="B379:E379" si="64">B362-B378</f>
        <v>20501</v>
      </c>
      <c r="C379" s="23">
        <f t="shared" si="64"/>
        <v>20083</v>
      </c>
      <c r="D379" s="23">
        <f t="shared" si="64"/>
        <v>20131</v>
      </c>
      <c r="E379" s="23">
        <f t="shared" si="64"/>
        <v>20353</v>
      </c>
    </row>
    <row r="380">
      <c r="A380" s="22" t="s">
        <v>94</v>
      </c>
      <c r="B380" s="23">
        <f t="shared" ref="B380:E380" si="65">B386*30</f>
        <v>17340</v>
      </c>
      <c r="C380" s="23">
        <f t="shared" si="65"/>
        <v>17640</v>
      </c>
      <c r="D380" s="23">
        <f t="shared" si="65"/>
        <v>16950</v>
      </c>
      <c r="E380" s="23">
        <f t="shared" si="65"/>
        <v>17490</v>
      </c>
    </row>
    <row r="381">
      <c r="A381" s="22" t="s">
        <v>95</v>
      </c>
      <c r="B381" s="24">
        <v>21.0</v>
      </c>
      <c r="C381" s="24">
        <v>14.0</v>
      </c>
      <c r="D381" s="24">
        <v>22.0</v>
      </c>
      <c r="E381" s="24">
        <v>11.0</v>
      </c>
    </row>
    <row r="382">
      <c r="A382" s="22" t="s">
        <v>96</v>
      </c>
      <c r="B382" s="24">
        <v>40.0</v>
      </c>
      <c r="C382" s="24">
        <v>16.0</v>
      </c>
      <c r="D382" s="24">
        <v>18.0</v>
      </c>
      <c r="E382" s="24">
        <v>24.0</v>
      </c>
    </row>
    <row r="383">
      <c r="A383" s="22" t="s">
        <v>111</v>
      </c>
      <c r="B383" s="32">
        <v>110.0</v>
      </c>
      <c r="C383" s="32">
        <v>110.0</v>
      </c>
      <c r="D383" s="32">
        <v>110.0</v>
      </c>
      <c r="E383" s="32">
        <v>110.0</v>
      </c>
    </row>
    <row r="384">
      <c r="A384" s="22" t="s">
        <v>98</v>
      </c>
      <c r="B384" s="24">
        <v>1.0</v>
      </c>
      <c r="C384" s="23">
        <v>1.0</v>
      </c>
      <c r="D384" s="23">
        <v>1.0</v>
      </c>
      <c r="E384" s="24">
        <v>1.0</v>
      </c>
    </row>
    <row r="385">
      <c r="A385" s="22" t="s">
        <v>112</v>
      </c>
      <c r="B385" s="26">
        <f t="shared" ref="B385:E385" si="66">round(((B380/B379)*100),2)</f>
        <v>84.58</v>
      </c>
      <c r="C385" s="26">
        <f t="shared" si="66"/>
        <v>87.84</v>
      </c>
      <c r="D385" s="26">
        <f t="shared" si="66"/>
        <v>84.2</v>
      </c>
      <c r="E385" s="26">
        <f t="shared" si="66"/>
        <v>85.93</v>
      </c>
    </row>
    <row r="386">
      <c r="A386" s="22" t="s">
        <v>100</v>
      </c>
      <c r="B386" s="24">
        <v>578.0</v>
      </c>
      <c r="C386" s="24">
        <v>588.0</v>
      </c>
      <c r="D386" s="24">
        <v>565.0</v>
      </c>
      <c r="E386" s="24">
        <v>583.0</v>
      </c>
    </row>
    <row r="387">
      <c r="A387" s="23" t="s">
        <v>471</v>
      </c>
      <c r="B387" s="32" t="s">
        <v>132</v>
      </c>
      <c r="C387" s="32"/>
      <c r="D387" s="32"/>
      <c r="E387" s="32"/>
    </row>
    <row r="388">
      <c r="A388" s="22" t="s">
        <v>178</v>
      </c>
      <c r="B388" s="24" t="s">
        <v>950</v>
      </c>
      <c r="C388" s="24" t="s">
        <v>947</v>
      </c>
      <c r="D388" s="18"/>
      <c r="E388" s="32"/>
    </row>
    <row r="389">
      <c r="A389" s="22" t="s">
        <v>103</v>
      </c>
      <c r="B389" s="24" t="s">
        <v>951</v>
      </c>
      <c r="D389" s="24" t="s">
        <v>923</v>
      </c>
    </row>
    <row r="392">
      <c r="A392" s="19" t="s">
        <v>50</v>
      </c>
      <c r="B392" s="20" t="s">
        <v>952</v>
      </c>
    </row>
    <row r="393">
      <c r="B393" s="21" t="s">
        <v>4</v>
      </c>
      <c r="C393" s="21" t="s">
        <v>5</v>
      </c>
      <c r="D393" s="21" t="s">
        <v>6</v>
      </c>
      <c r="E393" s="21" t="s">
        <v>7</v>
      </c>
    </row>
    <row r="394">
      <c r="A394" s="22" t="s">
        <v>91</v>
      </c>
      <c r="B394" s="24">
        <v>78.1</v>
      </c>
      <c r="C394" s="24">
        <v>76.7</v>
      </c>
      <c r="D394" s="24">
        <v>82.7</v>
      </c>
      <c r="E394" s="24">
        <v>80.5</v>
      </c>
    </row>
    <row r="395">
      <c r="A395" s="22" t="s">
        <v>92</v>
      </c>
      <c r="B395" s="24">
        <v>4.0</v>
      </c>
      <c r="C395" s="24">
        <v>5.0</v>
      </c>
      <c r="D395" s="24">
        <v>2.0</v>
      </c>
      <c r="E395" s="24">
        <v>6.0</v>
      </c>
    </row>
    <row r="396">
      <c r="A396" s="22" t="s">
        <v>93</v>
      </c>
      <c r="B396" s="23">
        <f t="shared" ref="B396:E396" si="67">B379-B395</f>
        <v>20497</v>
      </c>
      <c r="C396" s="23">
        <f t="shared" si="67"/>
        <v>20078</v>
      </c>
      <c r="D396" s="23">
        <f t="shared" si="67"/>
        <v>20129</v>
      </c>
      <c r="E396" s="23">
        <f t="shared" si="67"/>
        <v>20347</v>
      </c>
    </row>
    <row r="397">
      <c r="A397" s="22" t="s">
        <v>94</v>
      </c>
      <c r="B397" s="23">
        <f t="shared" ref="B397:E397" si="68">B403*30</f>
        <v>17400</v>
      </c>
      <c r="C397" s="23">
        <f t="shared" si="68"/>
        <v>17730</v>
      </c>
      <c r="D397" s="23">
        <f t="shared" si="68"/>
        <v>17160</v>
      </c>
      <c r="E397" s="23">
        <f t="shared" si="68"/>
        <v>18030</v>
      </c>
    </row>
    <row r="398">
      <c r="A398" s="22" t="s">
        <v>95</v>
      </c>
      <c r="B398" s="24">
        <v>23.0</v>
      </c>
      <c r="C398" s="24">
        <v>17.0</v>
      </c>
      <c r="D398" s="24">
        <v>24.0</v>
      </c>
      <c r="E398" s="24">
        <v>27.0</v>
      </c>
    </row>
    <row r="399">
      <c r="A399" s="22" t="s">
        <v>96</v>
      </c>
      <c r="B399" s="24">
        <v>34.0</v>
      </c>
      <c r="C399" s="24">
        <v>23.0</v>
      </c>
      <c r="D399" s="24">
        <v>18.0</v>
      </c>
      <c r="E399" s="24">
        <v>35.0</v>
      </c>
    </row>
    <row r="400">
      <c r="A400" s="22" t="s">
        <v>111</v>
      </c>
      <c r="B400" s="32"/>
      <c r="C400" s="32"/>
      <c r="D400" s="32"/>
      <c r="E400" s="32"/>
    </row>
    <row r="401">
      <c r="A401" s="22" t="s">
        <v>98</v>
      </c>
      <c r="B401" s="24">
        <v>1.0</v>
      </c>
      <c r="C401" s="23">
        <v>1.0</v>
      </c>
      <c r="D401" s="23">
        <v>1.0</v>
      </c>
      <c r="E401" s="24">
        <v>1.0</v>
      </c>
    </row>
    <row r="402">
      <c r="A402" s="22" t="s">
        <v>112</v>
      </c>
      <c r="B402" s="26">
        <f t="shared" ref="B402:E402" si="69">round(((B397/B396)*100),2)</f>
        <v>84.89</v>
      </c>
      <c r="C402" s="26">
        <f t="shared" si="69"/>
        <v>88.31</v>
      </c>
      <c r="D402" s="26">
        <f t="shared" si="69"/>
        <v>85.25</v>
      </c>
      <c r="E402" s="26">
        <f t="shared" si="69"/>
        <v>88.61</v>
      </c>
    </row>
    <row r="403">
      <c r="A403" s="22" t="s">
        <v>100</v>
      </c>
      <c r="B403" s="24">
        <v>580.0</v>
      </c>
      <c r="C403" s="24">
        <v>591.0</v>
      </c>
      <c r="D403" s="24">
        <v>572.0</v>
      </c>
      <c r="E403" s="24">
        <v>601.0</v>
      </c>
    </row>
    <row r="404">
      <c r="A404" s="23" t="s">
        <v>471</v>
      </c>
      <c r="B404" s="32" t="s">
        <v>953</v>
      </c>
      <c r="C404" s="32" t="s">
        <v>954</v>
      </c>
      <c r="D404" s="32" t="s">
        <v>955</v>
      </c>
      <c r="E404" s="32"/>
    </row>
    <row r="405">
      <c r="A405" s="22" t="s">
        <v>178</v>
      </c>
      <c r="B405" s="24" t="s">
        <v>956</v>
      </c>
      <c r="C405" s="24" t="s">
        <v>957</v>
      </c>
      <c r="D405" s="18"/>
      <c r="E405" s="32"/>
    </row>
    <row r="406">
      <c r="A406" s="22" t="s">
        <v>103</v>
      </c>
      <c r="B406" s="24"/>
      <c r="D406" s="24" t="s">
        <v>958</v>
      </c>
    </row>
    <row r="409">
      <c r="A409" s="19" t="s">
        <v>50</v>
      </c>
      <c r="B409" s="20" t="s">
        <v>959</v>
      </c>
    </row>
    <row r="410">
      <c r="B410" s="21" t="s">
        <v>4</v>
      </c>
      <c r="C410" s="21" t="s">
        <v>5</v>
      </c>
      <c r="D410" s="21" t="s">
        <v>6</v>
      </c>
      <c r="E410" s="21" t="s">
        <v>7</v>
      </c>
    </row>
    <row r="411">
      <c r="A411" s="22" t="s">
        <v>91</v>
      </c>
      <c r="B411" s="24">
        <v>78.2</v>
      </c>
      <c r="C411" s="24">
        <v>77.1</v>
      </c>
      <c r="D411" s="24">
        <v>83.1</v>
      </c>
      <c r="E411" s="24">
        <v>80.6</v>
      </c>
    </row>
    <row r="412">
      <c r="A412" s="22" t="s">
        <v>92</v>
      </c>
      <c r="B412" s="24">
        <v>4.0</v>
      </c>
      <c r="C412" s="24">
        <v>2.0</v>
      </c>
      <c r="D412" s="24">
        <v>4.0</v>
      </c>
      <c r="E412" s="24">
        <v>4.0</v>
      </c>
    </row>
    <row r="413">
      <c r="A413" s="22" t="s">
        <v>93</v>
      </c>
      <c r="B413" s="23">
        <f>B396-B412-4</f>
        <v>20489</v>
      </c>
      <c r="C413" s="23">
        <f>C396-C412-23</f>
        <v>20053</v>
      </c>
      <c r="D413" s="23">
        <f>D396-D412-5</f>
        <v>20120</v>
      </c>
      <c r="E413" s="23">
        <f>E396-E412</f>
        <v>20343</v>
      </c>
    </row>
    <row r="414">
      <c r="A414" s="22" t="s">
        <v>94</v>
      </c>
      <c r="B414" s="23">
        <f t="shared" ref="B414:E414" si="70">B420*30</f>
        <v>16830</v>
      </c>
      <c r="C414" s="23">
        <f t="shared" si="70"/>
        <v>17160</v>
      </c>
      <c r="D414" s="23">
        <f t="shared" si="70"/>
        <v>16590</v>
      </c>
      <c r="E414" s="23">
        <f t="shared" si="70"/>
        <v>17460</v>
      </c>
    </row>
    <row r="415">
      <c r="A415" s="22" t="s">
        <v>95</v>
      </c>
      <c r="B415" s="24">
        <v>16.0</v>
      </c>
      <c r="C415" s="24">
        <v>12.0</v>
      </c>
      <c r="D415" s="24">
        <v>19.0</v>
      </c>
      <c r="E415" s="24">
        <v>18.0</v>
      </c>
    </row>
    <row r="416">
      <c r="A416" s="22" t="s">
        <v>96</v>
      </c>
      <c r="B416" s="24">
        <v>46.0</v>
      </c>
      <c r="C416" s="24">
        <v>32.0</v>
      </c>
      <c r="D416" s="24">
        <v>40.0</v>
      </c>
      <c r="E416" s="24">
        <v>38.0</v>
      </c>
    </row>
    <row r="417">
      <c r="A417" s="22" t="s">
        <v>111</v>
      </c>
      <c r="B417" s="32">
        <v>55.0</v>
      </c>
      <c r="C417" s="32">
        <v>55.0</v>
      </c>
      <c r="D417" s="32">
        <v>55.0</v>
      </c>
      <c r="E417" s="32">
        <v>55.0</v>
      </c>
    </row>
    <row r="418">
      <c r="A418" s="22" t="s">
        <v>98</v>
      </c>
      <c r="B418" s="24">
        <v>1.0</v>
      </c>
      <c r="C418" s="23">
        <v>1.0</v>
      </c>
      <c r="D418" s="23">
        <v>1.0</v>
      </c>
      <c r="E418" s="24">
        <v>1.0</v>
      </c>
    </row>
    <row r="419">
      <c r="A419" s="22" t="s">
        <v>112</v>
      </c>
      <c r="B419" s="26">
        <f t="shared" ref="B419:E419" si="71">round(((B414/B413)*100),2)</f>
        <v>82.14</v>
      </c>
      <c r="C419" s="26">
        <f t="shared" si="71"/>
        <v>85.57</v>
      </c>
      <c r="D419" s="26">
        <f t="shared" si="71"/>
        <v>82.46</v>
      </c>
      <c r="E419" s="26">
        <f t="shared" si="71"/>
        <v>85.83</v>
      </c>
    </row>
    <row r="420">
      <c r="A420" s="22" t="s">
        <v>100</v>
      </c>
      <c r="B420" s="24">
        <v>561.0</v>
      </c>
      <c r="C420" s="24">
        <v>572.0</v>
      </c>
      <c r="D420" s="24">
        <v>553.0</v>
      </c>
      <c r="E420" s="24">
        <v>582.0</v>
      </c>
    </row>
    <row r="421">
      <c r="A421" s="23" t="s">
        <v>471</v>
      </c>
      <c r="B421" s="32" t="s">
        <v>960</v>
      </c>
      <c r="C421" s="32" t="s">
        <v>961</v>
      </c>
      <c r="D421" s="32" t="s">
        <v>131</v>
      </c>
      <c r="E421" s="32"/>
    </row>
    <row r="422">
      <c r="A422" s="22" t="s">
        <v>178</v>
      </c>
      <c r="B422" s="24" t="s">
        <v>950</v>
      </c>
      <c r="C422" s="24" t="s">
        <v>947</v>
      </c>
      <c r="D422" s="18"/>
      <c r="E422" s="32"/>
    </row>
    <row r="423">
      <c r="A423" s="22" t="s">
        <v>103</v>
      </c>
      <c r="B423" s="24" t="s">
        <v>962</v>
      </c>
      <c r="D423" s="24" t="s">
        <v>963</v>
      </c>
    </row>
    <row r="426">
      <c r="A426" s="19" t="s">
        <v>50</v>
      </c>
      <c r="B426" s="20" t="s">
        <v>964</v>
      </c>
    </row>
    <row r="427">
      <c r="B427" s="51" t="s">
        <v>4</v>
      </c>
      <c r="C427" s="21" t="s">
        <v>5</v>
      </c>
      <c r="D427" s="21" t="s">
        <v>6</v>
      </c>
      <c r="E427" s="21" t="s">
        <v>7</v>
      </c>
    </row>
    <row r="428">
      <c r="A428" s="22" t="s">
        <v>91</v>
      </c>
      <c r="B428" s="24">
        <v>78.3</v>
      </c>
      <c r="C428" s="24">
        <v>77.2</v>
      </c>
      <c r="D428" s="24">
        <v>83.2</v>
      </c>
      <c r="E428" s="24">
        <v>80.7</v>
      </c>
    </row>
    <row r="429">
      <c r="A429" s="22" t="s">
        <v>92</v>
      </c>
      <c r="B429" s="24">
        <v>3.0</v>
      </c>
      <c r="C429" s="24">
        <v>2.0</v>
      </c>
      <c r="D429" s="24">
        <v>5.0</v>
      </c>
      <c r="E429" s="24">
        <v>4.0</v>
      </c>
    </row>
    <row r="430">
      <c r="A430" s="22" t="s">
        <v>93</v>
      </c>
      <c r="B430" s="23">
        <f t="shared" ref="B430:E430" si="72">B413-B429</f>
        <v>20486</v>
      </c>
      <c r="C430" s="23">
        <f t="shared" si="72"/>
        <v>20051</v>
      </c>
      <c r="D430" s="23">
        <f t="shared" si="72"/>
        <v>20115</v>
      </c>
      <c r="E430" s="23">
        <f t="shared" si="72"/>
        <v>20339</v>
      </c>
    </row>
    <row r="431">
      <c r="A431" s="22" t="s">
        <v>94</v>
      </c>
      <c r="B431" s="23">
        <f t="shared" ref="B431:E431" si="73">B437*30</f>
        <v>14790</v>
      </c>
      <c r="C431" s="23">
        <f t="shared" si="73"/>
        <v>16380</v>
      </c>
      <c r="D431" s="23">
        <f t="shared" si="73"/>
        <v>15270</v>
      </c>
      <c r="E431" s="23">
        <f t="shared" si="73"/>
        <v>15390</v>
      </c>
    </row>
    <row r="432">
      <c r="A432" s="22" t="s">
        <v>95</v>
      </c>
      <c r="B432" s="24">
        <v>20.0</v>
      </c>
      <c r="C432" s="24">
        <v>14.0</v>
      </c>
      <c r="D432" s="24">
        <v>26.0</v>
      </c>
      <c r="E432" s="24">
        <v>17.0</v>
      </c>
    </row>
    <row r="433">
      <c r="A433" s="22" t="s">
        <v>96</v>
      </c>
      <c r="B433" s="24">
        <v>24.0</v>
      </c>
      <c r="C433" s="24">
        <v>26.0</v>
      </c>
      <c r="D433" s="24">
        <v>35.0</v>
      </c>
      <c r="E433" s="24">
        <v>25.0</v>
      </c>
    </row>
    <row r="434">
      <c r="A434" s="22" t="s">
        <v>111</v>
      </c>
      <c r="B434" s="32"/>
      <c r="C434" s="32"/>
      <c r="D434" s="32"/>
      <c r="E434" s="32"/>
    </row>
    <row r="435">
      <c r="A435" s="22" t="s">
        <v>98</v>
      </c>
      <c r="B435" s="24">
        <v>1.0</v>
      </c>
      <c r="C435" s="23">
        <v>1.0</v>
      </c>
      <c r="D435" s="23">
        <v>1.0</v>
      </c>
      <c r="E435" s="24">
        <v>1.0</v>
      </c>
    </row>
    <row r="436">
      <c r="A436" s="22" t="s">
        <v>112</v>
      </c>
      <c r="B436" s="26">
        <f t="shared" ref="B436:E436" si="74">round(((B431/B430)*100),2)</f>
        <v>72.2</v>
      </c>
      <c r="C436" s="26">
        <f t="shared" si="74"/>
        <v>81.69</v>
      </c>
      <c r="D436" s="26">
        <f t="shared" si="74"/>
        <v>75.91</v>
      </c>
      <c r="E436" s="26">
        <f t="shared" si="74"/>
        <v>75.67</v>
      </c>
    </row>
    <row r="437">
      <c r="A437" s="22" t="s">
        <v>100</v>
      </c>
      <c r="B437" s="24">
        <v>493.0</v>
      </c>
      <c r="C437" s="24">
        <v>546.0</v>
      </c>
      <c r="D437" s="24">
        <v>509.0</v>
      </c>
      <c r="E437" s="24">
        <v>513.0</v>
      </c>
    </row>
    <row r="438">
      <c r="A438" s="23" t="s">
        <v>471</v>
      </c>
      <c r="B438" s="32" t="s">
        <v>960</v>
      </c>
      <c r="C438" s="32" t="s">
        <v>792</v>
      </c>
      <c r="D438" s="32" t="s">
        <v>131</v>
      </c>
      <c r="E438" s="32"/>
    </row>
    <row r="439">
      <c r="A439" s="22" t="s">
        <v>178</v>
      </c>
      <c r="B439" s="24" t="s">
        <v>927</v>
      </c>
      <c r="C439" s="24" t="s">
        <v>965</v>
      </c>
      <c r="D439" s="18"/>
      <c r="E439" s="32"/>
    </row>
    <row r="440">
      <c r="A440" s="22" t="s">
        <v>103</v>
      </c>
      <c r="B440" s="24" t="s">
        <v>966</v>
      </c>
      <c r="D440" s="24" t="s">
        <v>967</v>
      </c>
    </row>
    <row r="443">
      <c r="A443" s="19" t="s">
        <v>50</v>
      </c>
      <c r="B443" s="20" t="s">
        <v>968</v>
      </c>
    </row>
    <row r="444">
      <c r="B444" s="51" t="s">
        <v>4</v>
      </c>
      <c r="C444" s="21" t="s">
        <v>5</v>
      </c>
      <c r="D444" s="21" t="s">
        <v>6</v>
      </c>
      <c r="E444" s="21" t="s">
        <v>7</v>
      </c>
    </row>
    <row r="445">
      <c r="A445" s="22" t="s">
        <v>91</v>
      </c>
      <c r="B445" s="24">
        <v>78.4</v>
      </c>
      <c r="C445" s="24">
        <v>77.3</v>
      </c>
      <c r="D445" s="24">
        <v>83.3</v>
      </c>
      <c r="E445" s="24">
        <v>81.1</v>
      </c>
    </row>
    <row r="446">
      <c r="A446" s="22" t="s">
        <v>92</v>
      </c>
      <c r="B446" s="24">
        <v>7.0</v>
      </c>
      <c r="C446" s="24">
        <v>10.0</v>
      </c>
      <c r="D446" s="24">
        <v>2.0</v>
      </c>
      <c r="E446" s="24">
        <v>4.0</v>
      </c>
    </row>
    <row r="447">
      <c r="A447" s="22" t="s">
        <v>93</v>
      </c>
      <c r="B447" s="23">
        <f t="shared" ref="B447:E447" si="75">B430-B446</f>
        <v>20479</v>
      </c>
      <c r="C447" s="23">
        <f t="shared" si="75"/>
        <v>20041</v>
      </c>
      <c r="D447" s="23">
        <f t="shared" si="75"/>
        <v>20113</v>
      </c>
      <c r="E447" s="23">
        <f t="shared" si="75"/>
        <v>20335</v>
      </c>
    </row>
    <row r="448">
      <c r="A448" s="22" t="s">
        <v>94</v>
      </c>
      <c r="B448" s="23">
        <f t="shared" ref="B448:E448" si="76">B454*30</f>
        <v>14820</v>
      </c>
      <c r="C448" s="23">
        <f t="shared" si="76"/>
        <v>16680</v>
      </c>
      <c r="D448" s="23">
        <f t="shared" si="76"/>
        <v>15990</v>
      </c>
      <c r="E448" s="23">
        <f t="shared" si="76"/>
        <v>16410</v>
      </c>
    </row>
    <row r="449">
      <c r="A449" s="22" t="s">
        <v>95</v>
      </c>
      <c r="B449" s="24">
        <v>18.0</v>
      </c>
      <c r="C449" s="24">
        <v>14.0</v>
      </c>
      <c r="D449" s="24">
        <v>24.0</v>
      </c>
      <c r="E449" s="24">
        <v>28.0</v>
      </c>
    </row>
    <row r="450">
      <c r="A450" s="22" t="s">
        <v>96</v>
      </c>
      <c r="B450" s="24">
        <v>24.0</v>
      </c>
      <c r="C450" s="24">
        <v>29.0</v>
      </c>
      <c r="D450" s="24">
        <v>27.0</v>
      </c>
      <c r="E450" s="24">
        <v>30.0</v>
      </c>
    </row>
    <row r="451">
      <c r="A451" s="22" t="s">
        <v>111</v>
      </c>
      <c r="B451" s="32">
        <v>110.0</v>
      </c>
      <c r="C451" s="32">
        <v>110.0</v>
      </c>
      <c r="D451" s="32">
        <v>110.0</v>
      </c>
      <c r="E451" s="32">
        <v>110.0</v>
      </c>
    </row>
    <row r="452">
      <c r="A452" s="22" t="s">
        <v>98</v>
      </c>
      <c r="B452" s="24">
        <v>1.0</v>
      </c>
      <c r="C452" s="23">
        <v>1.0</v>
      </c>
      <c r="D452" s="23">
        <v>1.0</v>
      </c>
      <c r="E452" s="24">
        <v>1.0</v>
      </c>
    </row>
    <row r="453">
      <c r="A453" s="22" t="s">
        <v>112</v>
      </c>
      <c r="B453" s="26">
        <f t="shared" ref="B453:E453" si="77">round(((B448/B447)*100),2)</f>
        <v>72.37</v>
      </c>
      <c r="C453" s="26">
        <f t="shared" si="77"/>
        <v>83.23</v>
      </c>
      <c r="D453" s="26">
        <f t="shared" si="77"/>
        <v>79.5</v>
      </c>
      <c r="E453" s="26">
        <f t="shared" si="77"/>
        <v>80.7</v>
      </c>
    </row>
    <row r="454">
      <c r="A454" s="22" t="s">
        <v>100</v>
      </c>
      <c r="B454" s="24">
        <v>494.0</v>
      </c>
      <c r="C454" s="24">
        <v>556.0</v>
      </c>
      <c r="D454" s="24">
        <v>533.0</v>
      </c>
      <c r="E454" s="24">
        <v>547.0</v>
      </c>
    </row>
    <row r="455">
      <c r="A455" s="23" t="s">
        <v>471</v>
      </c>
      <c r="B455" s="32" t="s">
        <v>960</v>
      </c>
      <c r="C455" s="32" t="s">
        <v>792</v>
      </c>
      <c r="D455" s="32" t="s">
        <v>131</v>
      </c>
      <c r="E455" s="32"/>
    </row>
    <row r="456">
      <c r="A456" s="22" t="s">
        <v>178</v>
      </c>
      <c r="B456" s="24" t="s">
        <v>969</v>
      </c>
      <c r="C456" s="24" t="s">
        <v>970</v>
      </c>
      <c r="D456" s="18"/>
      <c r="E456" s="32"/>
    </row>
    <row r="457">
      <c r="A457" s="22" t="s">
        <v>103</v>
      </c>
      <c r="B457" s="24" t="s">
        <v>971</v>
      </c>
      <c r="D457" s="24" t="s">
        <v>972</v>
      </c>
    </row>
    <row r="460">
      <c r="A460" s="19" t="s">
        <v>50</v>
      </c>
      <c r="B460" s="20" t="s">
        <v>973</v>
      </c>
    </row>
    <row r="461">
      <c r="B461" s="21" t="s">
        <v>4</v>
      </c>
      <c r="C461" s="21" t="s">
        <v>5</v>
      </c>
      <c r="D461" s="21" t="s">
        <v>6</v>
      </c>
      <c r="E461" s="21" t="s">
        <v>7</v>
      </c>
    </row>
    <row r="462">
      <c r="A462" s="22" t="s">
        <v>91</v>
      </c>
      <c r="B462" s="24">
        <v>78.5</v>
      </c>
      <c r="C462" s="24">
        <v>77.4</v>
      </c>
      <c r="D462" s="24">
        <v>83.4</v>
      </c>
      <c r="E462" s="24">
        <v>81.2</v>
      </c>
    </row>
    <row r="463">
      <c r="A463" s="22" t="s">
        <v>92</v>
      </c>
      <c r="B463" s="24">
        <v>139.0</v>
      </c>
      <c r="C463" s="24">
        <v>45.0</v>
      </c>
      <c r="D463" s="24">
        <v>59.0</v>
      </c>
      <c r="E463" s="24">
        <v>44.0</v>
      </c>
    </row>
    <row r="464">
      <c r="A464" s="22" t="s">
        <v>93</v>
      </c>
      <c r="B464" s="23">
        <f t="shared" ref="B464:E464" si="78">B447-B463</f>
        <v>20340</v>
      </c>
      <c r="C464" s="23">
        <f t="shared" si="78"/>
        <v>19996</v>
      </c>
      <c r="D464" s="23">
        <f t="shared" si="78"/>
        <v>20054</v>
      </c>
      <c r="E464" s="23">
        <f t="shared" si="78"/>
        <v>20291</v>
      </c>
    </row>
    <row r="465">
      <c r="A465" s="22" t="s">
        <v>94</v>
      </c>
      <c r="B465" s="23">
        <f t="shared" ref="B465:E465" si="79">B471*30</f>
        <v>15210</v>
      </c>
      <c r="C465" s="23">
        <f t="shared" si="79"/>
        <v>16920</v>
      </c>
      <c r="D465" s="23">
        <f t="shared" si="79"/>
        <v>15990</v>
      </c>
      <c r="E465" s="23">
        <f t="shared" si="79"/>
        <v>16860</v>
      </c>
    </row>
    <row r="466">
      <c r="A466" s="22" t="s">
        <v>95</v>
      </c>
      <c r="B466" s="24">
        <v>10.0</v>
      </c>
      <c r="C466" s="24">
        <v>25.0</v>
      </c>
      <c r="D466" s="24">
        <v>22.0</v>
      </c>
      <c r="E466" s="24">
        <v>34.0</v>
      </c>
    </row>
    <row r="467">
      <c r="A467" s="22" t="s">
        <v>96</v>
      </c>
      <c r="B467" s="24">
        <v>25.0</v>
      </c>
      <c r="C467" s="24">
        <v>60.0</v>
      </c>
      <c r="D467" s="24">
        <v>30.0</v>
      </c>
      <c r="E467" s="23">
        <v>30.0</v>
      </c>
    </row>
    <row r="468">
      <c r="A468" s="22" t="s">
        <v>111</v>
      </c>
      <c r="B468" s="23"/>
      <c r="C468" s="23"/>
      <c r="D468" s="23"/>
      <c r="E468" s="23"/>
    </row>
    <row r="469">
      <c r="A469" s="22" t="s">
        <v>98</v>
      </c>
      <c r="B469" s="23">
        <v>1.0</v>
      </c>
      <c r="C469" s="23">
        <v>1.0</v>
      </c>
      <c r="D469" s="23">
        <v>1.0</v>
      </c>
      <c r="E469" s="23">
        <v>1.0</v>
      </c>
    </row>
    <row r="470">
      <c r="A470" s="22" t="s">
        <v>112</v>
      </c>
      <c r="B470" s="26">
        <f t="shared" ref="B470:E470" si="80">round(((B465/B464)*100),2)</f>
        <v>74.78</v>
      </c>
      <c r="C470" s="26">
        <f t="shared" si="80"/>
        <v>84.62</v>
      </c>
      <c r="D470" s="26">
        <f t="shared" si="80"/>
        <v>79.73</v>
      </c>
      <c r="E470" s="26">
        <f t="shared" si="80"/>
        <v>83.09</v>
      </c>
    </row>
    <row r="471">
      <c r="A471" s="22" t="s">
        <v>100</v>
      </c>
      <c r="B471" s="24">
        <v>507.0</v>
      </c>
      <c r="C471" s="24">
        <v>564.0</v>
      </c>
      <c r="D471" s="23">
        <v>533.0</v>
      </c>
      <c r="E471" s="24">
        <v>562.0</v>
      </c>
    </row>
    <row r="472">
      <c r="A472" s="23" t="s">
        <v>471</v>
      </c>
      <c r="B472" s="32" t="s">
        <v>974</v>
      </c>
      <c r="C472" s="32" t="s">
        <v>975</v>
      </c>
      <c r="D472" s="32" t="s">
        <v>976</v>
      </c>
      <c r="E472" s="32" t="s">
        <v>977</v>
      </c>
    </row>
    <row r="473">
      <c r="A473" s="22" t="s">
        <v>178</v>
      </c>
      <c r="B473" s="24" t="s">
        <v>978</v>
      </c>
      <c r="C473" s="24" t="s">
        <v>979</v>
      </c>
      <c r="D473" s="18"/>
      <c r="E473" s="18"/>
    </row>
    <row r="474">
      <c r="A474" s="22" t="s">
        <v>103</v>
      </c>
      <c r="B474" s="24" t="s">
        <v>980</v>
      </c>
      <c r="D474" s="24" t="s">
        <v>981</v>
      </c>
    </row>
    <row r="477">
      <c r="A477" s="19" t="s">
        <v>50</v>
      </c>
      <c r="B477" s="20" t="s">
        <v>982</v>
      </c>
    </row>
    <row r="478">
      <c r="B478" s="21" t="s">
        <v>4</v>
      </c>
      <c r="C478" s="21" t="s">
        <v>5</v>
      </c>
      <c r="D478" s="21" t="s">
        <v>6</v>
      </c>
      <c r="E478" s="21" t="s">
        <v>7</v>
      </c>
    </row>
    <row r="479">
      <c r="A479" s="22" t="s">
        <v>91</v>
      </c>
      <c r="B479" s="24">
        <v>78.6</v>
      </c>
      <c r="C479" s="24">
        <v>77.5</v>
      </c>
      <c r="D479" s="24">
        <v>83.5</v>
      </c>
      <c r="E479" s="24">
        <v>81.3</v>
      </c>
    </row>
    <row r="480">
      <c r="A480" s="22" t="s">
        <v>92</v>
      </c>
      <c r="B480" s="24">
        <v>364.0</v>
      </c>
      <c r="C480" s="24">
        <v>88.0</v>
      </c>
      <c r="D480" s="24">
        <v>152.0</v>
      </c>
      <c r="E480" s="24">
        <v>74.0</v>
      </c>
    </row>
    <row r="481">
      <c r="A481" s="22" t="s">
        <v>93</v>
      </c>
      <c r="B481" s="23">
        <f>B464-B480-30</f>
        <v>19946</v>
      </c>
      <c r="C481" s="23">
        <f>C464-C480-28</f>
        <v>19880</v>
      </c>
      <c r="D481" s="23">
        <f>D464-D480-73</f>
        <v>19829</v>
      </c>
      <c r="E481" s="23">
        <f>E464-E480-17</f>
        <v>20200</v>
      </c>
    </row>
    <row r="482">
      <c r="A482" s="22" t="s">
        <v>94</v>
      </c>
      <c r="B482" s="23">
        <f t="shared" ref="B482:E482" si="81">B488*30</f>
        <v>14790</v>
      </c>
      <c r="C482" s="23">
        <f t="shared" si="81"/>
        <v>16860</v>
      </c>
      <c r="D482" s="23">
        <f t="shared" si="81"/>
        <v>15900</v>
      </c>
      <c r="E482" s="23">
        <f t="shared" si="81"/>
        <v>16770</v>
      </c>
    </row>
    <row r="483">
      <c r="A483" s="22" t="s">
        <v>95</v>
      </c>
      <c r="B483" s="24">
        <v>20.0</v>
      </c>
      <c r="C483" s="24">
        <v>7.0</v>
      </c>
      <c r="D483" s="24">
        <v>28.0</v>
      </c>
      <c r="E483" s="24">
        <v>17.0</v>
      </c>
    </row>
    <row r="484">
      <c r="A484" s="22" t="s">
        <v>96</v>
      </c>
      <c r="B484" s="24">
        <v>16.0</v>
      </c>
      <c r="C484" s="24">
        <v>27.0</v>
      </c>
      <c r="D484" s="24">
        <v>25.0</v>
      </c>
      <c r="E484" s="24">
        <v>16.0</v>
      </c>
    </row>
    <row r="485">
      <c r="A485" s="22" t="s">
        <v>111</v>
      </c>
      <c r="B485" s="23"/>
      <c r="C485" s="23"/>
      <c r="D485" s="23"/>
      <c r="E485" s="23"/>
    </row>
    <row r="486">
      <c r="A486" s="22" t="s">
        <v>98</v>
      </c>
      <c r="B486" s="23">
        <v>1.0</v>
      </c>
      <c r="C486" s="23">
        <v>1.0</v>
      </c>
      <c r="D486" s="23">
        <v>1.0</v>
      </c>
      <c r="E486" s="23">
        <v>1.0</v>
      </c>
    </row>
    <row r="487">
      <c r="A487" s="22" t="s">
        <v>112</v>
      </c>
      <c r="B487" s="26">
        <f t="shared" ref="B487:E487" si="82">round(((B482/B481)*100),2)</f>
        <v>74.15</v>
      </c>
      <c r="C487" s="26">
        <f t="shared" si="82"/>
        <v>84.81</v>
      </c>
      <c r="D487" s="26">
        <f t="shared" si="82"/>
        <v>80.19</v>
      </c>
      <c r="E487" s="26">
        <f t="shared" si="82"/>
        <v>83.02</v>
      </c>
    </row>
    <row r="488">
      <c r="A488" s="22" t="s">
        <v>100</v>
      </c>
      <c r="B488" s="24">
        <v>493.0</v>
      </c>
      <c r="C488" s="24">
        <v>562.0</v>
      </c>
      <c r="D488" s="24">
        <v>530.0</v>
      </c>
      <c r="E488" s="24">
        <v>559.0</v>
      </c>
    </row>
    <row r="489">
      <c r="A489" s="23" t="s">
        <v>471</v>
      </c>
      <c r="B489" s="32" t="s">
        <v>960</v>
      </c>
      <c r="C489" s="32" t="s">
        <v>792</v>
      </c>
      <c r="D489" s="32" t="s">
        <v>983</v>
      </c>
      <c r="E489" s="32" t="s">
        <v>984</v>
      </c>
    </row>
    <row r="490">
      <c r="A490" s="22" t="s">
        <v>178</v>
      </c>
      <c r="B490" s="24" t="s">
        <v>985</v>
      </c>
      <c r="C490" s="24" t="s">
        <v>986</v>
      </c>
      <c r="D490" s="18"/>
      <c r="E490" s="18"/>
    </row>
    <row r="491">
      <c r="A491" s="22" t="s">
        <v>103</v>
      </c>
      <c r="B491" s="24" t="s">
        <v>987</v>
      </c>
      <c r="D491" s="24" t="s">
        <v>988</v>
      </c>
    </row>
    <row r="494">
      <c r="A494" s="19" t="s">
        <v>50</v>
      </c>
      <c r="B494" s="20" t="s">
        <v>989</v>
      </c>
    </row>
    <row r="495">
      <c r="B495" s="21" t="s">
        <v>4</v>
      </c>
      <c r="C495" s="21" t="s">
        <v>5</v>
      </c>
      <c r="D495" s="21" t="s">
        <v>6</v>
      </c>
      <c r="E495" s="21" t="s">
        <v>7</v>
      </c>
    </row>
    <row r="496">
      <c r="A496" s="22" t="s">
        <v>91</v>
      </c>
      <c r="B496" s="24">
        <v>78.7</v>
      </c>
      <c r="C496" s="24">
        <v>77.6</v>
      </c>
      <c r="D496" s="24">
        <v>83.6</v>
      </c>
      <c r="E496" s="24">
        <v>81.4</v>
      </c>
    </row>
    <row r="497">
      <c r="A497" s="22" t="s">
        <v>92</v>
      </c>
      <c r="B497" s="24">
        <v>280.0</v>
      </c>
      <c r="C497" s="24">
        <v>59.0</v>
      </c>
      <c r="D497" s="24">
        <v>135.0</v>
      </c>
      <c r="E497" s="24">
        <v>54.0</v>
      </c>
    </row>
    <row r="498">
      <c r="A498" s="22" t="s">
        <v>93</v>
      </c>
      <c r="B498" s="23">
        <f t="shared" ref="B498:E498" si="83">B481-B497</f>
        <v>19666</v>
      </c>
      <c r="C498" s="23">
        <f t="shared" si="83"/>
        <v>19821</v>
      </c>
      <c r="D498" s="23">
        <f t="shared" si="83"/>
        <v>19694</v>
      </c>
      <c r="E498" s="23">
        <f t="shared" si="83"/>
        <v>20146</v>
      </c>
    </row>
    <row r="499">
      <c r="A499" s="22" t="s">
        <v>94</v>
      </c>
      <c r="B499" s="23">
        <f t="shared" ref="B499:E499" si="84">B505*30</f>
        <v>15360</v>
      </c>
      <c r="C499" s="23">
        <f t="shared" si="84"/>
        <v>16860</v>
      </c>
      <c r="D499" s="23">
        <f t="shared" si="84"/>
        <v>15900</v>
      </c>
      <c r="E499" s="23">
        <f t="shared" si="84"/>
        <v>16920</v>
      </c>
    </row>
    <row r="500">
      <c r="A500" s="22" t="s">
        <v>95</v>
      </c>
      <c r="B500" s="24">
        <v>18.0</v>
      </c>
      <c r="C500" s="24">
        <v>15.0</v>
      </c>
      <c r="D500" s="24">
        <v>30.0</v>
      </c>
      <c r="E500" s="24">
        <v>9.0</v>
      </c>
    </row>
    <row r="501">
      <c r="A501" s="22" t="s">
        <v>96</v>
      </c>
      <c r="B501" s="24">
        <v>35.0</v>
      </c>
      <c r="C501" s="24">
        <v>25.0</v>
      </c>
      <c r="D501" s="24">
        <v>20.0</v>
      </c>
      <c r="E501" s="24">
        <v>10.0</v>
      </c>
    </row>
    <row r="502">
      <c r="A502" s="22" t="s">
        <v>111</v>
      </c>
      <c r="B502" s="24">
        <v>110.0</v>
      </c>
      <c r="C502" s="24">
        <v>110.0</v>
      </c>
      <c r="D502" s="24">
        <v>110.0</v>
      </c>
      <c r="E502" s="24">
        <v>110.0</v>
      </c>
    </row>
    <row r="503">
      <c r="A503" s="22" t="s">
        <v>98</v>
      </c>
      <c r="B503" s="23">
        <v>1.0</v>
      </c>
      <c r="C503" s="23">
        <v>1.0</v>
      </c>
      <c r="D503" s="23">
        <v>1.0</v>
      </c>
      <c r="E503" s="23">
        <v>1.0</v>
      </c>
    </row>
    <row r="504">
      <c r="A504" s="22" t="s">
        <v>112</v>
      </c>
      <c r="B504" s="26">
        <f t="shared" ref="B504:E504" si="85">round(((B499/B498)*100),2)</f>
        <v>78.1</v>
      </c>
      <c r="C504" s="26">
        <f t="shared" si="85"/>
        <v>85.06</v>
      </c>
      <c r="D504" s="26">
        <f t="shared" si="85"/>
        <v>80.74</v>
      </c>
      <c r="E504" s="26">
        <f t="shared" si="85"/>
        <v>83.99</v>
      </c>
    </row>
    <row r="505">
      <c r="A505" s="22" t="s">
        <v>100</v>
      </c>
      <c r="B505" s="24">
        <v>512.0</v>
      </c>
      <c r="C505" s="24">
        <v>562.0</v>
      </c>
      <c r="D505" s="24">
        <v>530.0</v>
      </c>
      <c r="E505" s="24">
        <v>564.0</v>
      </c>
    </row>
    <row r="506">
      <c r="A506" s="23" t="s">
        <v>471</v>
      </c>
      <c r="B506" s="32" t="s">
        <v>990</v>
      </c>
      <c r="C506" s="32" t="s">
        <v>792</v>
      </c>
      <c r="D506" s="32" t="s">
        <v>983</v>
      </c>
      <c r="E506" s="32" t="s">
        <v>984</v>
      </c>
    </row>
    <row r="507">
      <c r="A507" s="22" t="s">
        <v>178</v>
      </c>
      <c r="B507" s="24" t="s">
        <v>991</v>
      </c>
      <c r="C507" s="24" t="s">
        <v>992</v>
      </c>
      <c r="D507" s="18"/>
      <c r="E507" s="18"/>
    </row>
    <row r="508">
      <c r="A508" s="22" t="s">
        <v>103</v>
      </c>
      <c r="B508" s="24"/>
      <c r="D508" s="24" t="s">
        <v>993</v>
      </c>
    </row>
    <row r="511">
      <c r="A511" s="19" t="s">
        <v>50</v>
      </c>
      <c r="B511" s="20" t="s">
        <v>994</v>
      </c>
    </row>
    <row r="512">
      <c r="B512" s="21" t="s">
        <v>4</v>
      </c>
      <c r="C512" s="21" t="s">
        <v>5</v>
      </c>
      <c r="D512" s="21" t="s">
        <v>6</v>
      </c>
      <c r="E512" s="21" t="s">
        <v>7</v>
      </c>
    </row>
    <row r="513">
      <c r="A513" s="22" t="s">
        <v>91</v>
      </c>
      <c r="B513" s="24">
        <v>79.1</v>
      </c>
      <c r="C513" s="24">
        <v>77.7</v>
      </c>
      <c r="D513" s="24">
        <v>83.7</v>
      </c>
      <c r="E513" s="24">
        <v>81.5</v>
      </c>
    </row>
    <row r="514">
      <c r="A514" s="22" t="s">
        <v>92</v>
      </c>
      <c r="B514" s="24">
        <v>91.0</v>
      </c>
      <c r="C514" s="24">
        <v>43.0</v>
      </c>
      <c r="D514" s="24">
        <v>105.0</v>
      </c>
      <c r="E514" s="24">
        <v>63.0</v>
      </c>
    </row>
    <row r="515">
      <c r="A515" s="22" t="s">
        <v>93</v>
      </c>
      <c r="B515" s="23">
        <f>B498-B514-144</f>
        <v>19431</v>
      </c>
      <c r="C515" s="23">
        <f t="shared" ref="C515:E515" si="86">C498-C514</f>
        <v>19778</v>
      </c>
      <c r="D515" s="23">
        <f t="shared" si="86"/>
        <v>19589</v>
      </c>
      <c r="E515" s="23">
        <f t="shared" si="86"/>
        <v>20083</v>
      </c>
    </row>
    <row r="516">
      <c r="A516" s="22" t="s">
        <v>94</v>
      </c>
      <c r="B516" s="23">
        <f t="shared" ref="B516:E516" si="87">B522*30</f>
        <v>14610</v>
      </c>
      <c r="C516" s="23">
        <f t="shared" si="87"/>
        <v>16290</v>
      </c>
      <c r="D516" s="23">
        <f t="shared" si="87"/>
        <v>15630</v>
      </c>
      <c r="E516" s="23">
        <f t="shared" si="87"/>
        <v>16800</v>
      </c>
    </row>
    <row r="517">
      <c r="A517" s="22" t="s">
        <v>95</v>
      </c>
      <c r="B517" s="24">
        <v>15.0</v>
      </c>
      <c r="C517" s="24">
        <v>10.0</v>
      </c>
      <c r="D517" s="24">
        <v>30.0</v>
      </c>
      <c r="E517" s="24">
        <v>29.0</v>
      </c>
    </row>
    <row r="518">
      <c r="A518" s="22" t="s">
        <v>96</v>
      </c>
      <c r="B518" s="24">
        <v>32.0</v>
      </c>
      <c r="C518" s="24">
        <v>32.0</v>
      </c>
      <c r="D518" s="24">
        <v>25.0</v>
      </c>
      <c r="E518" s="24">
        <v>18.0</v>
      </c>
    </row>
    <row r="519">
      <c r="A519" s="22" t="s">
        <v>111</v>
      </c>
      <c r="B519" s="24"/>
      <c r="C519" s="24"/>
      <c r="D519" s="24"/>
      <c r="E519" s="24"/>
    </row>
    <row r="520">
      <c r="A520" s="22" t="s">
        <v>98</v>
      </c>
      <c r="B520" s="23">
        <v>1.0</v>
      </c>
      <c r="C520" s="23">
        <v>1.0</v>
      </c>
      <c r="D520" s="23">
        <v>1.0</v>
      </c>
      <c r="E520" s="23">
        <v>1.0</v>
      </c>
    </row>
    <row r="521">
      <c r="A521" s="22" t="s">
        <v>112</v>
      </c>
      <c r="B521" s="26">
        <f t="shared" ref="B521:E521" si="88">round(((B516/B515)*100),2)</f>
        <v>75.19</v>
      </c>
      <c r="C521" s="26">
        <f t="shared" si="88"/>
        <v>82.36</v>
      </c>
      <c r="D521" s="26">
        <f t="shared" si="88"/>
        <v>79.79</v>
      </c>
      <c r="E521" s="26">
        <f t="shared" si="88"/>
        <v>83.65</v>
      </c>
    </row>
    <row r="522">
      <c r="A522" s="22" t="s">
        <v>100</v>
      </c>
      <c r="B522" s="24">
        <v>487.0</v>
      </c>
      <c r="C522" s="24">
        <v>543.0</v>
      </c>
      <c r="D522" s="24">
        <v>521.0</v>
      </c>
      <c r="E522" s="24">
        <v>560.0</v>
      </c>
    </row>
    <row r="523">
      <c r="A523" s="23" t="s">
        <v>471</v>
      </c>
      <c r="B523" s="32" t="s">
        <v>995</v>
      </c>
      <c r="C523" s="32" t="s">
        <v>996</v>
      </c>
      <c r="D523" s="32" t="s">
        <v>997</v>
      </c>
      <c r="E523" s="32" t="s">
        <v>998</v>
      </c>
    </row>
    <row r="524">
      <c r="A524" s="22" t="s">
        <v>178</v>
      </c>
      <c r="B524" s="24" t="s">
        <v>999</v>
      </c>
      <c r="C524" s="24" t="s">
        <v>1000</v>
      </c>
      <c r="D524" s="18"/>
      <c r="E524" s="18"/>
    </row>
    <row r="525">
      <c r="A525" s="22" t="s">
        <v>103</v>
      </c>
      <c r="B525" s="24" t="s">
        <v>1001</v>
      </c>
      <c r="D525" s="24" t="s">
        <v>1002</v>
      </c>
    </row>
    <row r="528">
      <c r="A528" s="19" t="s">
        <v>50</v>
      </c>
      <c r="B528" s="20" t="s">
        <v>1003</v>
      </c>
    </row>
    <row r="529">
      <c r="B529" s="21" t="s">
        <v>4</v>
      </c>
      <c r="C529" s="21" t="s">
        <v>5</v>
      </c>
      <c r="D529" s="21" t="s">
        <v>6</v>
      </c>
      <c r="E529" s="21" t="s">
        <v>7</v>
      </c>
    </row>
    <row r="530">
      <c r="A530" s="22" t="s">
        <v>91</v>
      </c>
      <c r="B530" s="24">
        <v>79.2</v>
      </c>
      <c r="C530" s="24">
        <v>78.1</v>
      </c>
      <c r="D530" s="24">
        <v>84.1</v>
      </c>
      <c r="E530" s="24">
        <v>81.6</v>
      </c>
    </row>
    <row r="531">
      <c r="A531" s="22" t="s">
        <v>92</v>
      </c>
      <c r="B531" s="24">
        <v>41.0</v>
      </c>
      <c r="C531" s="24">
        <v>10.0</v>
      </c>
      <c r="D531" s="24">
        <v>20.0</v>
      </c>
      <c r="E531" s="24">
        <v>7.0</v>
      </c>
    </row>
    <row r="532">
      <c r="A532" s="22" t="s">
        <v>93</v>
      </c>
      <c r="B532" s="23">
        <f>B515-B531-70</f>
        <v>19320</v>
      </c>
      <c r="C532" s="23">
        <f>C515-C531-60</f>
        <v>19708</v>
      </c>
      <c r="D532" s="23">
        <f>D515-D531-214</f>
        <v>19355</v>
      </c>
      <c r="E532" s="23">
        <f>E515-E531-148</f>
        <v>19928</v>
      </c>
    </row>
    <row r="533">
      <c r="A533" s="22" t="s">
        <v>94</v>
      </c>
      <c r="B533" s="23">
        <f t="shared" ref="B533:E533" si="89">B539*30</f>
        <v>14520</v>
      </c>
      <c r="C533" s="23">
        <f t="shared" si="89"/>
        <v>16470</v>
      </c>
      <c r="D533" s="23">
        <f t="shared" si="89"/>
        <v>14940</v>
      </c>
      <c r="E533" s="23">
        <f t="shared" si="89"/>
        <v>16110</v>
      </c>
    </row>
    <row r="534">
      <c r="A534" s="22" t="s">
        <v>95</v>
      </c>
      <c r="B534" s="24">
        <v>21.0</v>
      </c>
      <c r="C534" s="24">
        <v>10.0</v>
      </c>
      <c r="D534" s="24">
        <v>23.0</v>
      </c>
      <c r="E534" s="24">
        <v>29.0</v>
      </c>
    </row>
    <row r="535">
      <c r="A535" s="22" t="s">
        <v>96</v>
      </c>
      <c r="B535" s="24">
        <v>30.0</v>
      </c>
      <c r="C535" s="24">
        <v>38.0</v>
      </c>
      <c r="D535" s="24">
        <v>25.0</v>
      </c>
      <c r="E535" s="24">
        <v>13.0</v>
      </c>
    </row>
    <row r="536">
      <c r="A536" s="22" t="s">
        <v>111</v>
      </c>
      <c r="B536" s="24">
        <v>55.0</v>
      </c>
      <c r="C536" s="24">
        <v>55.0</v>
      </c>
      <c r="D536" s="24">
        <v>55.0</v>
      </c>
      <c r="E536" s="24">
        <v>55.0</v>
      </c>
    </row>
    <row r="537">
      <c r="A537" s="22" t="s">
        <v>98</v>
      </c>
      <c r="B537" s="23">
        <v>1.0</v>
      </c>
      <c r="C537" s="23">
        <v>1.0</v>
      </c>
      <c r="D537" s="23">
        <v>1.0</v>
      </c>
      <c r="E537" s="23">
        <v>1.0</v>
      </c>
    </row>
    <row r="538">
      <c r="A538" s="22" t="s">
        <v>112</v>
      </c>
      <c r="B538" s="26">
        <f t="shared" ref="B538:E538" si="90">round(((B533/B532)*100),2)</f>
        <v>75.16</v>
      </c>
      <c r="C538" s="26">
        <f t="shared" si="90"/>
        <v>83.57</v>
      </c>
      <c r="D538" s="26">
        <f t="shared" si="90"/>
        <v>77.19</v>
      </c>
      <c r="E538" s="26">
        <f t="shared" si="90"/>
        <v>80.84</v>
      </c>
    </row>
    <row r="539">
      <c r="A539" s="22" t="s">
        <v>100</v>
      </c>
      <c r="B539" s="24">
        <v>484.0</v>
      </c>
      <c r="C539" s="24">
        <v>549.0</v>
      </c>
      <c r="D539" s="24">
        <v>498.0</v>
      </c>
      <c r="E539" s="24">
        <v>537.0</v>
      </c>
    </row>
    <row r="540">
      <c r="A540" s="23" t="s">
        <v>471</v>
      </c>
      <c r="B540" s="32" t="s">
        <v>1004</v>
      </c>
      <c r="C540" s="32" t="s">
        <v>1005</v>
      </c>
      <c r="D540" s="32" t="s">
        <v>1006</v>
      </c>
      <c r="E540" s="32" t="s">
        <v>984</v>
      </c>
    </row>
    <row r="541">
      <c r="A541" s="22" t="s">
        <v>178</v>
      </c>
      <c r="B541" s="24" t="s">
        <v>1007</v>
      </c>
      <c r="C541" s="24" t="s">
        <v>1008</v>
      </c>
      <c r="D541" s="18"/>
      <c r="E541" s="18"/>
    </row>
    <row r="542">
      <c r="A542" s="22" t="s">
        <v>103</v>
      </c>
      <c r="B542" s="24" t="s">
        <v>1009</v>
      </c>
      <c r="D542" s="24" t="s">
        <v>1010</v>
      </c>
    </row>
    <row r="545">
      <c r="A545" s="19" t="s">
        <v>50</v>
      </c>
      <c r="B545" s="29">
        <v>46024.0</v>
      </c>
    </row>
    <row r="546">
      <c r="B546" s="21" t="s">
        <v>4</v>
      </c>
      <c r="C546" s="21" t="s">
        <v>5</v>
      </c>
      <c r="D546" s="21" t="s">
        <v>6</v>
      </c>
      <c r="E546" s="21" t="s">
        <v>7</v>
      </c>
    </row>
    <row r="547">
      <c r="A547" s="22" t="s">
        <v>91</v>
      </c>
      <c r="B547" s="24">
        <v>79.3</v>
      </c>
      <c r="C547" s="24">
        <v>78.2</v>
      </c>
      <c r="D547" s="24">
        <v>84.2</v>
      </c>
      <c r="E547" s="24">
        <v>81.7</v>
      </c>
    </row>
    <row r="548">
      <c r="A548" s="22" t="s">
        <v>92</v>
      </c>
      <c r="B548" s="24">
        <v>10.0</v>
      </c>
      <c r="C548" s="24">
        <v>13.0</v>
      </c>
      <c r="D548" s="24">
        <v>15.0</v>
      </c>
      <c r="E548" s="24">
        <v>8.0</v>
      </c>
    </row>
    <row r="549">
      <c r="A549" s="22" t="s">
        <v>93</v>
      </c>
      <c r="B549" s="23">
        <f>B532-B548-82</f>
        <v>19228</v>
      </c>
      <c r="C549" s="23">
        <f>C532-C548-6</f>
        <v>19689</v>
      </c>
      <c r="D549" s="23">
        <f>D532-D548+37</f>
        <v>19377</v>
      </c>
      <c r="E549" s="23">
        <f>E532-E548</f>
        <v>19920</v>
      </c>
    </row>
    <row r="550">
      <c r="A550" s="22" t="s">
        <v>94</v>
      </c>
      <c r="B550" s="23">
        <f t="shared" ref="B550:E550" si="91">B556*30</f>
        <v>14880</v>
      </c>
      <c r="C550" s="23">
        <f t="shared" si="91"/>
        <v>16680</v>
      </c>
      <c r="D550" s="23">
        <f t="shared" si="91"/>
        <v>15480</v>
      </c>
      <c r="E550" s="23">
        <f t="shared" si="91"/>
        <v>16380</v>
      </c>
    </row>
    <row r="551">
      <c r="A551" s="22" t="s">
        <v>95</v>
      </c>
      <c r="B551" s="24">
        <v>25.0</v>
      </c>
      <c r="C551" s="24">
        <v>18.0</v>
      </c>
      <c r="D551" s="24">
        <v>19.0</v>
      </c>
      <c r="E551" s="24">
        <v>29.0</v>
      </c>
    </row>
    <row r="552">
      <c r="A552" s="22" t="s">
        <v>96</v>
      </c>
      <c r="B552" s="24">
        <v>28.0</v>
      </c>
      <c r="C552" s="24">
        <v>48.0</v>
      </c>
      <c r="D552" s="24">
        <v>18.0</v>
      </c>
      <c r="E552" s="24">
        <v>26.0</v>
      </c>
    </row>
    <row r="553">
      <c r="A553" s="22" t="s">
        <v>111</v>
      </c>
      <c r="B553" s="24"/>
      <c r="C553" s="24"/>
      <c r="D553" s="24"/>
      <c r="E553" s="24"/>
    </row>
    <row r="554">
      <c r="A554" s="22" t="s">
        <v>98</v>
      </c>
      <c r="B554" s="23">
        <v>1.0</v>
      </c>
      <c r="C554" s="23">
        <v>1.0</v>
      </c>
      <c r="D554" s="23">
        <v>1.0</v>
      </c>
      <c r="E554" s="23">
        <v>1.0</v>
      </c>
    </row>
    <row r="555">
      <c r="A555" s="22" t="s">
        <v>112</v>
      </c>
      <c r="B555" s="26">
        <f t="shared" ref="B555:E555" si="92">round(((B550/B549)*100),2)</f>
        <v>77.39</v>
      </c>
      <c r="C555" s="26">
        <f t="shared" si="92"/>
        <v>84.72</v>
      </c>
      <c r="D555" s="26">
        <f t="shared" si="92"/>
        <v>79.89</v>
      </c>
      <c r="E555" s="26">
        <f t="shared" si="92"/>
        <v>82.23</v>
      </c>
    </row>
    <row r="556">
      <c r="A556" s="22" t="s">
        <v>100</v>
      </c>
      <c r="B556" s="24">
        <v>496.0</v>
      </c>
      <c r="C556" s="24">
        <v>556.0</v>
      </c>
      <c r="D556" s="24">
        <v>516.0</v>
      </c>
      <c r="E556" s="24">
        <v>546.0</v>
      </c>
    </row>
    <row r="557">
      <c r="A557" s="23" t="s">
        <v>471</v>
      </c>
      <c r="B557" s="32" t="s">
        <v>1011</v>
      </c>
      <c r="C557" s="32" t="s">
        <v>1012</v>
      </c>
      <c r="D557" s="32" t="s">
        <v>1013</v>
      </c>
      <c r="E557" s="32" t="s">
        <v>984</v>
      </c>
    </row>
    <row r="558">
      <c r="A558" s="22" t="s">
        <v>178</v>
      </c>
      <c r="B558" s="24" t="s">
        <v>1014</v>
      </c>
      <c r="C558" s="24" t="s">
        <v>1015</v>
      </c>
      <c r="D558" s="18"/>
      <c r="E558" s="18"/>
    </row>
    <row r="559">
      <c r="A559" s="22" t="s">
        <v>103</v>
      </c>
      <c r="B559" s="24" t="s">
        <v>1016</v>
      </c>
      <c r="D559" s="24" t="s">
        <v>1017</v>
      </c>
    </row>
  </sheetData>
  <mergeCells count="132">
    <mergeCell ref="B185:C185"/>
    <mergeCell ref="D185:E185"/>
    <mergeCell ref="A188:A189"/>
    <mergeCell ref="B188:E188"/>
    <mergeCell ref="D202:E202"/>
    <mergeCell ref="A205:A206"/>
    <mergeCell ref="B205:E205"/>
    <mergeCell ref="B202:C202"/>
    <mergeCell ref="B219:C219"/>
    <mergeCell ref="D219:E219"/>
    <mergeCell ref="A222:A223"/>
    <mergeCell ref="B222:E222"/>
    <mergeCell ref="B236:C236"/>
    <mergeCell ref="D236:E236"/>
    <mergeCell ref="A239:A240"/>
    <mergeCell ref="B239:E239"/>
    <mergeCell ref="B253:C253"/>
    <mergeCell ref="D253:E253"/>
    <mergeCell ref="A256:A257"/>
    <mergeCell ref="B256:E256"/>
    <mergeCell ref="D270:E270"/>
    <mergeCell ref="B270:C270"/>
    <mergeCell ref="A273:A274"/>
    <mergeCell ref="B273:E273"/>
    <mergeCell ref="B287:C287"/>
    <mergeCell ref="D287:E287"/>
    <mergeCell ref="A290:A291"/>
    <mergeCell ref="B290:E290"/>
    <mergeCell ref="B304:C304"/>
    <mergeCell ref="D304:E304"/>
    <mergeCell ref="A307:A308"/>
    <mergeCell ref="B307:E307"/>
    <mergeCell ref="D321:E321"/>
    <mergeCell ref="A324:A325"/>
    <mergeCell ref="B324:E324"/>
    <mergeCell ref="B321:C321"/>
    <mergeCell ref="B338:C338"/>
    <mergeCell ref="D338:E338"/>
    <mergeCell ref="A341:A342"/>
    <mergeCell ref="B341:E341"/>
    <mergeCell ref="B355:C355"/>
    <mergeCell ref="D355:E355"/>
    <mergeCell ref="A358:A359"/>
    <mergeCell ref="B358:E358"/>
    <mergeCell ref="B372:C372"/>
    <mergeCell ref="D372:E372"/>
    <mergeCell ref="A375:A376"/>
    <mergeCell ref="B375:E375"/>
    <mergeCell ref="D389:E389"/>
    <mergeCell ref="B389:C389"/>
    <mergeCell ref="A392:A393"/>
    <mergeCell ref="B392:E392"/>
    <mergeCell ref="B406:C406"/>
    <mergeCell ref="D406:E406"/>
    <mergeCell ref="A409:A410"/>
    <mergeCell ref="B409:E409"/>
    <mergeCell ref="B423:C423"/>
    <mergeCell ref="D423:E423"/>
    <mergeCell ref="A426:A427"/>
    <mergeCell ref="B426:E426"/>
    <mergeCell ref="D440:E440"/>
    <mergeCell ref="A443:A444"/>
    <mergeCell ref="B443:E443"/>
    <mergeCell ref="B440:C440"/>
    <mergeCell ref="B457:C457"/>
    <mergeCell ref="D457:E457"/>
    <mergeCell ref="A460:A461"/>
    <mergeCell ref="B460:E460"/>
    <mergeCell ref="B474:C474"/>
    <mergeCell ref="D474:E474"/>
    <mergeCell ref="A477:A478"/>
    <mergeCell ref="B477:E477"/>
    <mergeCell ref="B491:C491"/>
    <mergeCell ref="D491:E491"/>
    <mergeCell ref="A494:A495"/>
    <mergeCell ref="B494:E494"/>
    <mergeCell ref="D508:E508"/>
    <mergeCell ref="B508:C508"/>
    <mergeCell ref="A511:A512"/>
    <mergeCell ref="B511:E511"/>
    <mergeCell ref="B525:C525"/>
    <mergeCell ref="D525:E525"/>
    <mergeCell ref="A528:A529"/>
    <mergeCell ref="B528:E528"/>
    <mergeCell ref="A1:A2"/>
    <mergeCell ref="B1:E1"/>
    <mergeCell ref="B15:C15"/>
    <mergeCell ref="D15:E15"/>
    <mergeCell ref="A18:A19"/>
    <mergeCell ref="B18:E18"/>
    <mergeCell ref="D32:E32"/>
    <mergeCell ref="B32:C32"/>
    <mergeCell ref="A35:A36"/>
    <mergeCell ref="B35:E35"/>
    <mergeCell ref="B49:C49"/>
    <mergeCell ref="D49:E49"/>
    <mergeCell ref="A52:A53"/>
    <mergeCell ref="B52:E52"/>
    <mergeCell ref="B66:C66"/>
    <mergeCell ref="D66:E66"/>
    <mergeCell ref="A69:A70"/>
    <mergeCell ref="B69:E69"/>
    <mergeCell ref="D83:E83"/>
    <mergeCell ref="A86:A87"/>
    <mergeCell ref="B86:E86"/>
    <mergeCell ref="B83:C83"/>
    <mergeCell ref="B100:C100"/>
    <mergeCell ref="D100:E100"/>
    <mergeCell ref="A103:A104"/>
    <mergeCell ref="B103:E103"/>
    <mergeCell ref="B117:C117"/>
    <mergeCell ref="D117:E117"/>
    <mergeCell ref="A120:A121"/>
    <mergeCell ref="B120:E120"/>
    <mergeCell ref="B134:C134"/>
    <mergeCell ref="D134:E134"/>
    <mergeCell ref="A137:A138"/>
    <mergeCell ref="B137:E137"/>
    <mergeCell ref="D151:E151"/>
    <mergeCell ref="B151:C151"/>
    <mergeCell ref="A154:A155"/>
    <mergeCell ref="B154:E154"/>
    <mergeCell ref="B168:C168"/>
    <mergeCell ref="D168:E168"/>
    <mergeCell ref="A171:A172"/>
    <mergeCell ref="B171:E171"/>
    <mergeCell ref="B542:C542"/>
    <mergeCell ref="D542:E542"/>
    <mergeCell ref="A545:A546"/>
    <mergeCell ref="B545:E545"/>
    <mergeCell ref="B559:C559"/>
    <mergeCell ref="D559:E55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6.88"/>
    <col customWidth="1" min="3" max="3" width="17.13"/>
    <col customWidth="1" min="4" max="4" width="18.0"/>
    <col customWidth="1" min="5" max="5" width="16.88"/>
  </cols>
  <sheetData>
    <row r="1">
      <c r="A1" s="19" t="s">
        <v>50</v>
      </c>
      <c r="B1" s="29">
        <v>46024.0</v>
      </c>
    </row>
    <row r="2">
      <c r="B2" s="21" t="s">
        <v>4</v>
      </c>
      <c r="C2" s="21" t="s">
        <v>5</v>
      </c>
      <c r="D2" s="21" t="s">
        <v>6</v>
      </c>
      <c r="E2" s="21" t="s">
        <v>7</v>
      </c>
    </row>
    <row r="3">
      <c r="A3" s="22" t="s">
        <v>91</v>
      </c>
      <c r="B3" s="24">
        <v>79.3</v>
      </c>
      <c r="C3" s="24">
        <v>78.2</v>
      </c>
      <c r="D3" s="24">
        <v>84.2</v>
      </c>
      <c r="E3" s="24">
        <v>81.7</v>
      </c>
    </row>
    <row r="4">
      <c r="A4" s="22" t="s">
        <v>92</v>
      </c>
      <c r="B4" s="24">
        <v>10.0</v>
      </c>
      <c r="C4" s="24">
        <v>13.0</v>
      </c>
      <c r="D4" s="24">
        <v>15.0</v>
      </c>
      <c r="E4" s="24">
        <v>8.0</v>
      </c>
    </row>
    <row r="5">
      <c r="A5" s="22" t="s">
        <v>93</v>
      </c>
      <c r="B5" s="24">
        <v>19228.0</v>
      </c>
      <c r="C5" s="24">
        <v>19689.0</v>
      </c>
      <c r="D5" s="24">
        <v>19377.0</v>
      </c>
      <c r="E5" s="24">
        <v>19920.0</v>
      </c>
    </row>
    <row r="6">
      <c r="A6" s="22" t="s">
        <v>94</v>
      </c>
      <c r="B6" s="23">
        <f t="shared" ref="B6:E6" si="1">B12*30</f>
        <v>14880</v>
      </c>
      <c r="C6" s="23">
        <f t="shared" si="1"/>
        <v>16680</v>
      </c>
      <c r="D6" s="23">
        <f t="shared" si="1"/>
        <v>15480</v>
      </c>
      <c r="E6" s="23">
        <f t="shared" si="1"/>
        <v>16380</v>
      </c>
    </row>
    <row r="7">
      <c r="A7" s="22" t="s">
        <v>95</v>
      </c>
      <c r="B7" s="24">
        <v>25.0</v>
      </c>
      <c r="C7" s="24">
        <v>18.0</v>
      </c>
      <c r="D7" s="24">
        <v>19.0</v>
      </c>
      <c r="E7" s="24">
        <v>29.0</v>
      </c>
    </row>
    <row r="8">
      <c r="A8" s="22" t="s">
        <v>96</v>
      </c>
      <c r="B8" s="24">
        <v>28.0</v>
      </c>
      <c r="C8" s="24">
        <v>48.0</v>
      </c>
      <c r="D8" s="24">
        <v>18.0</v>
      </c>
      <c r="E8" s="24">
        <v>26.0</v>
      </c>
    </row>
    <row r="9">
      <c r="A9" s="22" t="s">
        <v>111</v>
      </c>
      <c r="B9" s="24"/>
      <c r="C9" s="24"/>
      <c r="D9" s="24"/>
      <c r="E9" s="24"/>
    </row>
    <row r="10">
      <c r="A10" s="22" t="s">
        <v>98</v>
      </c>
      <c r="B10" s="23">
        <v>1.0</v>
      </c>
      <c r="C10" s="23">
        <v>1.0</v>
      </c>
      <c r="D10" s="23">
        <v>1.0</v>
      </c>
      <c r="E10" s="23">
        <v>1.0</v>
      </c>
    </row>
    <row r="11">
      <c r="A11" s="22" t="s">
        <v>112</v>
      </c>
      <c r="B11" s="26">
        <f t="shared" ref="B11:E11" si="2">round(((B6/B5)*100),2)</f>
        <v>77.39</v>
      </c>
      <c r="C11" s="26">
        <f t="shared" si="2"/>
        <v>84.72</v>
      </c>
      <c r="D11" s="26">
        <f t="shared" si="2"/>
        <v>79.89</v>
      </c>
      <c r="E11" s="26">
        <f t="shared" si="2"/>
        <v>82.23</v>
      </c>
    </row>
    <row r="12">
      <c r="A12" s="22" t="s">
        <v>100</v>
      </c>
      <c r="B12" s="24">
        <v>496.0</v>
      </c>
      <c r="C12" s="24">
        <v>556.0</v>
      </c>
      <c r="D12" s="24">
        <v>516.0</v>
      </c>
      <c r="E12" s="24">
        <v>546.0</v>
      </c>
    </row>
    <row r="13">
      <c r="A13" s="23" t="s">
        <v>471</v>
      </c>
      <c r="B13" s="32" t="s">
        <v>1018</v>
      </c>
      <c r="C13" s="32" t="s">
        <v>1012</v>
      </c>
      <c r="D13" s="32" t="s">
        <v>1013</v>
      </c>
      <c r="E13" s="32" t="s">
        <v>984</v>
      </c>
    </row>
    <row r="14">
      <c r="A14" s="22" t="s">
        <v>178</v>
      </c>
      <c r="B14" s="24" t="s">
        <v>1014</v>
      </c>
      <c r="C14" s="24" t="s">
        <v>1015</v>
      </c>
      <c r="D14" s="18"/>
      <c r="E14" s="18"/>
    </row>
    <row r="15">
      <c r="A15" s="22" t="s">
        <v>103</v>
      </c>
      <c r="B15" s="24" t="s">
        <v>1016</v>
      </c>
      <c r="D15" s="24" t="s">
        <v>1017</v>
      </c>
    </row>
    <row r="18">
      <c r="A18" s="19" t="s">
        <v>50</v>
      </c>
      <c r="B18" s="29">
        <v>46055.0</v>
      </c>
    </row>
    <row r="19">
      <c r="B19" s="21" t="s">
        <v>4</v>
      </c>
      <c r="C19" s="21" t="s">
        <v>5</v>
      </c>
      <c r="D19" s="21" t="s">
        <v>6</v>
      </c>
      <c r="E19" s="21" t="s">
        <v>7</v>
      </c>
    </row>
    <row r="20">
      <c r="A20" s="22" t="s">
        <v>91</v>
      </c>
      <c r="B20" s="24">
        <v>79.4</v>
      </c>
      <c r="C20" s="24">
        <v>78.3</v>
      </c>
      <c r="D20" s="24">
        <v>84.3</v>
      </c>
      <c r="E20" s="24">
        <v>82.1</v>
      </c>
    </row>
    <row r="21">
      <c r="A21" s="22" t="s">
        <v>92</v>
      </c>
      <c r="B21" s="24">
        <v>7.0</v>
      </c>
      <c r="C21" s="24">
        <v>11.0</v>
      </c>
      <c r="D21" s="24">
        <v>9.0</v>
      </c>
      <c r="E21" s="24">
        <v>13.0</v>
      </c>
    </row>
    <row r="22">
      <c r="A22" s="22" t="s">
        <v>93</v>
      </c>
      <c r="B22" s="24">
        <f>B5-B21-32</f>
        <v>19189</v>
      </c>
      <c r="C22" s="24">
        <f>C5-C21-12</f>
        <v>19666</v>
      </c>
      <c r="D22" s="24">
        <f>D5-D21+7</f>
        <v>19375</v>
      </c>
      <c r="E22" s="24">
        <f>E5-E21</f>
        <v>19907</v>
      </c>
    </row>
    <row r="23">
      <c r="A23" s="22" t="s">
        <v>94</v>
      </c>
      <c r="B23" s="23">
        <f t="shared" ref="B23:E23" si="3">B29*30</f>
        <v>14940</v>
      </c>
      <c r="C23" s="23">
        <f t="shared" si="3"/>
        <v>16530</v>
      </c>
      <c r="D23" s="23">
        <f t="shared" si="3"/>
        <v>15420</v>
      </c>
      <c r="E23" s="23">
        <f t="shared" si="3"/>
        <v>16740</v>
      </c>
    </row>
    <row r="24">
      <c r="A24" s="22" t="s">
        <v>95</v>
      </c>
      <c r="B24" s="24">
        <v>20.0</v>
      </c>
      <c r="C24" s="24">
        <v>25.0</v>
      </c>
      <c r="D24" s="24">
        <v>29.0</v>
      </c>
      <c r="E24" s="24">
        <v>22.0</v>
      </c>
    </row>
    <row r="25">
      <c r="A25" s="22" t="s">
        <v>96</v>
      </c>
      <c r="B25" s="24">
        <v>20.0</v>
      </c>
      <c r="C25" s="24">
        <v>24.0</v>
      </c>
      <c r="D25" s="24">
        <v>19.0</v>
      </c>
      <c r="E25" s="24">
        <v>17.0</v>
      </c>
    </row>
    <row r="26">
      <c r="A26" s="22" t="s">
        <v>111</v>
      </c>
      <c r="B26" s="24">
        <v>110.0</v>
      </c>
      <c r="C26" s="24">
        <v>110.0</v>
      </c>
      <c r="D26" s="24">
        <v>110.0</v>
      </c>
      <c r="E26" s="24">
        <v>110.0</v>
      </c>
    </row>
    <row r="27">
      <c r="A27" s="22" t="s">
        <v>98</v>
      </c>
      <c r="B27" s="23">
        <v>1.0</v>
      </c>
      <c r="C27" s="23">
        <v>1.0</v>
      </c>
      <c r="D27" s="23">
        <v>1.0</v>
      </c>
      <c r="E27" s="23">
        <v>1.0</v>
      </c>
    </row>
    <row r="28">
      <c r="A28" s="22" t="s">
        <v>112</v>
      </c>
      <c r="B28" s="26">
        <f t="shared" ref="B28:E28" si="4">round(((B23/B22)*100),2)</f>
        <v>77.86</v>
      </c>
      <c r="C28" s="26">
        <f t="shared" si="4"/>
        <v>84.05</v>
      </c>
      <c r="D28" s="26">
        <f t="shared" si="4"/>
        <v>79.59</v>
      </c>
      <c r="E28" s="26">
        <f t="shared" si="4"/>
        <v>84.09</v>
      </c>
    </row>
    <row r="29">
      <c r="A29" s="22" t="s">
        <v>100</v>
      </c>
      <c r="B29" s="24">
        <v>498.0</v>
      </c>
      <c r="C29" s="24">
        <v>551.0</v>
      </c>
      <c r="D29" s="24">
        <v>514.0</v>
      </c>
      <c r="E29" s="24">
        <v>558.0</v>
      </c>
    </row>
    <row r="30">
      <c r="A30" s="23" t="s">
        <v>471</v>
      </c>
      <c r="B30" s="32" t="s">
        <v>1019</v>
      </c>
      <c r="C30" s="32" t="s">
        <v>1020</v>
      </c>
      <c r="D30" s="32" t="s">
        <v>858</v>
      </c>
      <c r="E30" s="32" t="s">
        <v>984</v>
      </c>
    </row>
    <row r="31">
      <c r="A31" s="22" t="s">
        <v>178</v>
      </c>
      <c r="B31" s="24" t="s">
        <v>1021</v>
      </c>
      <c r="C31" s="24" t="s">
        <v>1022</v>
      </c>
      <c r="D31" s="18"/>
      <c r="E31" s="18"/>
    </row>
    <row r="32">
      <c r="A32" s="22" t="s">
        <v>103</v>
      </c>
      <c r="B32" s="24"/>
      <c r="D32" s="24" t="s">
        <v>1023</v>
      </c>
    </row>
    <row r="35">
      <c r="A35" s="19" t="s">
        <v>50</v>
      </c>
      <c r="B35" s="29">
        <v>46083.0</v>
      </c>
    </row>
    <row r="36">
      <c r="B36" s="21" t="s">
        <v>4</v>
      </c>
      <c r="C36" s="21" t="s">
        <v>5</v>
      </c>
      <c r="D36" s="21" t="s">
        <v>6</v>
      </c>
      <c r="E36" s="21" t="s">
        <v>7</v>
      </c>
    </row>
    <row r="37">
      <c r="A37" s="22" t="s">
        <v>91</v>
      </c>
      <c r="B37" s="24">
        <v>79.5</v>
      </c>
      <c r="C37" s="24">
        <v>78.4</v>
      </c>
      <c r="D37" s="24">
        <v>84.4</v>
      </c>
      <c r="E37" s="24">
        <v>82.2</v>
      </c>
    </row>
    <row r="38">
      <c r="A38" s="22" t="s">
        <v>92</v>
      </c>
      <c r="B38" s="24">
        <v>25.0</v>
      </c>
      <c r="C38" s="24">
        <v>7.0</v>
      </c>
      <c r="D38" s="24">
        <v>14.0</v>
      </c>
      <c r="E38" s="24">
        <v>7.0</v>
      </c>
    </row>
    <row r="39">
      <c r="A39" s="22" t="s">
        <v>93</v>
      </c>
      <c r="B39" s="24">
        <f t="shared" ref="B39:E39" si="5">B22-B38</f>
        <v>19164</v>
      </c>
      <c r="C39" s="24">
        <f t="shared" si="5"/>
        <v>19659</v>
      </c>
      <c r="D39" s="24">
        <f t="shared" si="5"/>
        <v>19361</v>
      </c>
      <c r="E39" s="24">
        <f t="shared" si="5"/>
        <v>19900</v>
      </c>
    </row>
    <row r="40">
      <c r="A40" s="22" t="s">
        <v>94</v>
      </c>
      <c r="B40" s="23">
        <f t="shared" ref="B40:E40" si="6">B46*30</f>
        <v>15210</v>
      </c>
      <c r="C40" s="23">
        <f t="shared" si="6"/>
        <v>16710</v>
      </c>
      <c r="D40" s="23">
        <f t="shared" si="6"/>
        <v>15450</v>
      </c>
      <c r="E40" s="23">
        <f t="shared" si="6"/>
        <v>16740</v>
      </c>
    </row>
    <row r="41">
      <c r="A41" s="22" t="s">
        <v>95</v>
      </c>
      <c r="B41" s="24">
        <v>8.0</v>
      </c>
      <c r="C41" s="24">
        <v>10.0</v>
      </c>
      <c r="D41" s="24">
        <v>11.0</v>
      </c>
      <c r="E41" s="24">
        <v>32.0</v>
      </c>
    </row>
    <row r="42">
      <c r="A42" s="22" t="s">
        <v>96</v>
      </c>
      <c r="B42" s="24">
        <v>26.0</v>
      </c>
      <c r="C42" s="24">
        <v>26.0</v>
      </c>
      <c r="D42" s="24">
        <v>18.0</v>
      </c>
      <c r="E42" s="24">
        <v>17.0</v>
      </c>
    </row>
    <row r="43">
      <c r="A43" s="22" t="s">
        <v>111</v>
      </c>
      <c r="B43" s="24"/>
      <c r="C43" s="24"/>
      <c r="D43" s="24"/>
      <c r="E43" s="24"/>
    </row>
    <row r="44">
      <c r="A44" s="22" t="s">
        <v>98</v>
      </c>
      <c r="B44" s="23">
        <v>1.0</v>
      </c>
      <c r="C44" s="23">
        <v>1.0</v>
      </c>
      <c r="D44" s="23">
        <v>1.0</v>
      </c>
      <c r="E44" s="23">
        <v>1.0</v>
      </c>
    </row>
    <row r="45">
      <c r="A45" s="22" t="s">
        <v>112</v>
      </c>
      <c r="B45" s="26">
        <f t="shared" ref="B45:E45" si="7">round(((B40/B39)*100),2)</f>
        <v>79.37</v>
      </c>
      <c r="C45" s="26">
        <f t="shared" si="7"/>
        <v>85</v>
      </c>
      <c r="D45" s="26">
        <f t="shared" si="7"/>
        <v>79.8</v>
      </c>
      <c r="E45" s="26">
        <f t="shared" si="7"/>
        <v>84.12</v>
      </c>
    </row>
    <row r="46">
      <c r="A46" s="22" t="s">
        <v>100</v>
      </c>
      <c r="B46" s="24">
        <v>507.0</v>
      </c>
      <c r="C46" s="24">
        <v>557.0</v>
      </c>
      <c r="D46" s="24">
        <v>515.0</v>
      </c>
      <c r="E46" s="24">
        <v>558.0</v>
      </c>
    </row>
    <row r="47">
      <c r="A47" s="23" t="s">
        <v>471</v>
      </c>
      <c r="B47" s="32" t="s">
        <v>1019</v>
      </c>
      <c r="C47" s="32" t="s">
        <v>1020</v>
      </c>
      <c r="D47" s="32" t="s">
        <v>858</v>
      </c>
      <c r="E47" s="32" t="s">
        <v>984</v>
      </c>
    </row>
    <row r="48">
      <c r="A48" s="22" t="s">
        <v>178</v>
      </c>
      <c r="B48" s="24" t="s">
        <v>1024</v>
      </c>
      <c r="C48" s="24" t="s">
        <v>1025</v>
      </c>
      <c r="D48" s="18"/>
      <c r="E48" s="18"/>
    </row>
    <row r="49">
      <c r="A49" s="22" t="s">
        <v>103</v>
      </c>
      <c r="B49" s="24" t="s">
        <v>1026</v>
      </c>
      <c r="D49" s="24" t="s">
        <v>1027</v>
      </c>
    </row>
    <row r="52">
      <c r="A52" s="19" t="s">
        <v>50</v>
      </c>
      <c r="B52" s="29">
        <v>46114.0</v>
      </c>
    </row>
    <row r="53">
      <c r="B53" s="21" t="s">
        <v>4</v>
      </c>
      <c r="C53" s="21" t="s">
        <v>5</v>
      </c>
      <c r="D53" s="21" t="s">
        <v>6</v>
      </c>
      <c r="E53" s="21" t="s">
        <v>7</v>
      </c>
    </row>
    <row r="54">
      <c r="A54" s="22" t="s">
        <v>91</v>
      </c>
      <c r="B54" s="24">
        <v>79.6</v>
      </c>
      <c r="C54" s="24">
        <v>78.5</v>
      </c>
      <c r="D54" s="24">
        <v>84.5</v>
      </c>
      <c r="E54" s="24">
        <v>82.3</v>
      </c>
    </row>
    <row r="55">
      <c r="A55" s="22" t="s">
        <v>92</v>
      </c>
      <c r="B55" s="24">
        <v>17.0</v>
      </c>
      <c r="C55" s="24">
        <v>2.0</v>
      </c>
      <c r="D55" s="24">
        <v>8.0</v>
      </c>
      <c r="E55" s="24">
        <v>7.0</v>
      </c>
    </row>
    <row r="56">
      <c r="A56" s="22" t="s">
        <v>93</v>
      </c>
      <c r="B56" s="24">
        <f t="shared" ref="B56:E56" si="8">B39-B55</f>
        <v>19147</v>
      </c>
      <c r="C56" s="24">
        <f t="shared" si="8"/>
        <v>19657</v>
      </c>
      <c r="D56" s="24">
        <f t="shared" si="8"/>
        <v>19353</v>
      </c>
      <c r="E56" s="24">
        <f t="shared" si="8"/>
        <v>19893</v>
      </c>
    </row>
    <row r="57">
      <c r="A57" s="22" t="s">
        <v>94</v>
      </c>
      <c r="B57" s="23">
        <f t="shared" ref="B57:E57" si="9">B63*30</f>
        <v>15120</v>
      </c>
      <c r="C57" s="23">
        <f t="shared" si="9"/>
        <v>16800</v>
      </c>
      <c r="D57" s="23">
        <f t="shared" si="9"/>
        <v>15450</v>
      </c>
      <c r="E57" s="23">
        <f t="shared" si="9"/>
        <v>16620</v>
      </c>
    </row>
    <row r="58">
      <c r="A58" s="22" t="s">
        <v>95</v>
      </c>
      <c r="B58" s="24">
        <v>14.0</v>
      </c>
      <c r="C58" s="24">
        <v>21.0</v>
      </c>
      <c r="D58" s="24">
        <v>30.0</v>
      </c>
      <c r="E58" s="24">
        <v>30.0</v>
      </c>
    </row>
    <row r="59">
      <c r="A59" s="22" t="s">
        <v>96</v>
      </c>
      <c r="B59" s="24">
        <v>31.0</v>
      </c>
      <c r="C59" s="24">
        <v>46.0</v>
      </c>
      <c r="D59" s="24">
        <v>18.0</v>
      </c>
      <c r="E59" s="24">
        <v>14.0</v>
      </c>
    </row>
    <row r="60">
      <c r="A60" s="22" t="s">
        <v>111</v>
      </c>
      <c r="B60" s="24"/>
      <c r="C60" s="24"/>
      <c r="D60" s="24"/>
      <c r="E60" s="24"/>
    </row>
    <row r="61">
      <c r="A61" s="22" t="s">
        <v>98</v>
      </c>
      <c r="B61" s="23">
        <v>1.0</v>
      </c>
      <c r="C61" s="23">
        <v>1.0</v>
      </c>
      <c r="D61" s="23">
        <v>1.0</v>
      </c>
      <c r="E61" s="23">
        <v>1.0</v>
      </c>
    </row>
    <row r="62">
      <c r="A62" s="22" t="s">
        <v>112</v>
      </c>
      <c r="B62" s="26">
        <f t="shared" ref="B62:E62" si="10">round(((B57/B56)*100),2)</f>
        <v>78.97</v>
      </c>
      <c r="C62" s="26">
        <f t="shared" si="10"/>
        <v>85.47</v>
      </c>
      <c r="D62" s="26">
        <f t="shared" si="10"/>
        <v>79.83</v>
      </c>
      <c r="E62" s="26">
        <f t="shared" si="10"/>
        <v>83.55</v>
      </c>
    </row>
    <row r="63">
      <c r="A63" s="22" t="s">
        <v>100</v>
      </c>
      <c r="B63" s="24">
        <v>504.0</v>
      </c>
      <c r="C63" s="24">
        <v>560.0</v>
      </c>
      <c r="D63" s="24">
        <v>515.0</v>
      </c>
      <c r="E63" s="24">
        <v>554.0</v>
      </c>
    </row>
    <row r="64">
      <c r="A64" s="23" t="s">
        <v>471</v>
      </c>
      <c r="B64" s="32" t="s">
        <v>1019</v>
      </c>
      <c r="C64" s="32" t="s">
        <v>1020</v>
      </c>
      <c r="D64" s="32" t="s">
        <v>858</v>
      </c>
      <c r="E64" s="32" t="s">
        <v>984</v>
      </c>
    </row>
    <row r="65">
      <c r="A65" s="22" t="s">
        <v>178</v>
      </c>
      <c r="B65" s="24" t="s">
        <v>1007</v>
      </c>
      <c r="C65" s="24" t="s">
        <v>1028</v>
      </c>
      <c r="D65" s="18"/>
      <c r="E65" s="18"/>
    </row>
    <row r="66">
      <c r="A66" s="22" t="s">
        <v>103</v>
      </c>
      <c r="B66" s="24"/>
      <c r="D66" s="24" t="s">
        <v>1029</v>
      </c>
    </row>
    <row r="69">
      <c r="A69" s="19" t="s">
        <v>50</v>
      </c>
      <c r="B69" s="29">
        <v>46144.0</v>
      </c>
    </row>
    <row r="70">
      <c r="B70" s="21" t="s">
        <v>4</v>
      </c>
      <c r="C70" s="21" t="s">
        <v>5</v>
      </c>
      <c r="D70" s="21" t="s">
        <v>6</v>
      </c>
      <c r="E70" s="21" t="s">
        <v>7</v>
      </c>
    </row>
    <row r="71">
      <c r="A71" s="22" t="s">
        <v>91</v>
      </c>
      <c r="B71" s="24">
        <v>79.7</v>
      </c>
      <c r="C71" s="24">
        <v>78.6</v>
      </c>
      <c r="D71" s="24">
        <v>84.6</v>
      </c>
      <c r="E71" s="24">
        <v>82.4</v>
      </c>
    </row>
    <row r="72">
      <c r="A72" s="22" t="s">
        <v>92</v>
      </c>
      <c r="B72" s="24">
        <v>19.0</v>
      </c>
      <c r="C72" s="24">
        <v>7.0</v>
      </c>
      <c r="D72" s="24">
        <v>13.0</v>
      </c>
      <c r="E72" s="24">
        <v>8.0</v>
      </c>
    </row>
    <row r="73">
      <c r="A73" s="22" t="s">
        <v>93</v>
      </c>
      <c r="B73" s="24">
        <f t="shared" ref="B73:E73" si="11">B56-B72</f>
        <v>19128</v>
      </c>
      <c r="C73" s="24">
        <f t="shared" si="11"/>
        <v>19650</v>
      </c>
      <c r="D73" s="24">
        <f t="shared" si="11"/>
        <v>19340</v>
      </c>
      <c r="E73" s="24">
        <f t="shared" si="11"/>
        <v>19885</v>
      </c>
    </row>
    <row r="74">
      <c r="A74" s="22" t="s">
        <v>94</v>
      </c>
      <c r="B74" s="23">
        <f t="shared" ref="B74:E74" si="12">B80*30</f>
        <v>15360</v>
      </c>
      <c r="C74" s="23">
        <f t="shared" si="12"/>
        <v>16770</v>
      </c>
      <c r="D74" s="23">
        <f t="shared" si="12"/>
        <v>15840</v>
      </c>
      <c r="E74" s="23">
        <f t="shared" si="12"/>
        <v>16890</v>
      </c>
    </row>
    <row r="75">
      <c r="A75" s="22" t="s">
        <v>95</v>
      </c>
      <c r="B75" s="24">
        <v>10.0</v>
      </c>
      <c r="C75" s="24">
        <v>13.0</v>
      </c>
      <c r="D75" s="24">
        <v>19.0</v>
      </c>
      <c r="E75" s="24">
        <v>17.0</v>
      </c>
    </row>
    <row r="76">
      <c r="A76" s="22" t="s">
        <v>96</v>
      </c>
      <c r="B76" s="24">
        <v>28.0</v>
      </c>
      <c r="C76" s="24">
        <v>33.0</v>
      </c>
      <c r="D76" s="24">
        <v>17.0</v>
      </c>
      <c r="E76" s="24">
        <v>31.0</v>
      </c>
    </row>
    <row r="77">
      <c r="A77" s="22" t="s">
        <v>111</v>
      </c>
      <c r="B77" s="24">
        <v>110.0</v>
      </c>
      <c r="C77" s="24">
        <v>110.0</v>
      </c>
      <c r="D77" s="24">
        <v>110.0</v>
      </c>
      <c r="E77" s="24">
        <v>110.0</v>
      </c>
    </row>
    <row r="78">
      <c r="A78" s="22" t="s">
        <v>98</v>
      </c>
      <c r="B78" s="23">
        <v>1.0</v>
      </c>
      <c r="C78" s="23">
        <v>1.0</v>
      </c>
      <c r="D78" s="23">
        <v>1.0</v>
      </c>
      <c r="E78" s="23">
        <v>1.0</v>
      </c>
    </row>
    <row r="79">
      <c r="A79" s="22" t="s">
        <v>112</v>
      </c>
      <c r="B79" s="26">
        <f t="shared" ref="B79:E79" si="13">round(((B74/B73)*100),2)</f>
        <v>80.3</v>
      </c>
      <c r="C79" s="26">
        <f t="shared" si="13"/>
        <v>85.34</v>
      </c>
      <c r="D79" s="26">
        <f t="shared" si="13"/>
        <v>81.9</v>
      </c>
      <c r="E79" s="26">
        <f t="shared" si="13"/>
        <v>84.94</v>
      </c>
    </row>
    <row r="80">
      <c r="A80" s="22" t="s">
        <v>100</v>
      </c>
      <c r="B80" s="24">
        <v>512.0</v>
      </c>
      <c r="C80" s="24">
        <v>559.0</v>
      </c>
      <c r="D80" s="24">
        <v>528.0</v>
      </c>
      <c r="E80" s="24">
        <v>563.0</v>
      </c>
    </row>
    <row r="81">
      <c r="A81" s="23" t="s">
        <v>471</v>
      </c>
      <c r="B81" s="32" t="s">
        <v>1030</v>
      </c>
      <c r="C81" s="32" t="s">
        <v>1031</v>
      </c>
      <c r="D81" s="32" t="s">
        <v>858</v>
      </c>
      <c r="E81" s="32" t="s">
        <v>984</v>
      </c>
    </row>
    <row r="82">
      <c r="A82" s="22" t="s">
        <v>178</v>
      </c>
      <c r="B82" s="24" t="s">
        <v>1024</v>
      </c>
      <c r="C82" s="24" t="s">
        <v>1032</v>
      </c>
      <c r="D82" s="18"/>
      <c r="E82" s="18"/>
    </row>
    <row r="83">
      <c r="A83" s="22" t="s">
        <v>103</v>
      </c>
      <c r="B83" s="24" t="s">
        <v>1033</v>
      </c>
      <c r="D83" s="24" t="s">
        <v>1002</v>
      </c>
    </row>
    <row r="86">
      <c r="A86" s="19" t="s">
        <v>50</v>
      </c>
      <c r="B86" s="29">
        <v>46175.0</v>
      </c>
    </row>
    <row r="87">
      <c r="B87" s="21" t="s">
        <v>4</v>
      </c>
      <c r="C87" s="21" t="s">
        <v>5</v>
      </c>
      <c r="D87" s="21" t="s">
        <v>6</v>
      </c>
      <c r="E87" s="21" t="s">
        <v>7</v>
      </c>
    </row>
    <row r="88">
      <c r="A88" s="22" t="s">
        <v>91</v>
      </c>
      <c r="B88" s="24">
        <v>80.1</v>
      </c>
      <c r="C88" s="24">
        <v>78.7</v>
      </c>
      <c r="D88" s="24">
        <v>84.7</v>
      </c>
      <c r="E88" s="24">
        <v>82.5</v>
      </c>
    </row>
    <row r="89">
      <c r="A89" s="22" t="s">
        <v>92</v>
      </c>
      <c r="B89" s="24">
        <v>9.0</v>
      </c>
      <c r="C89" s="24">
        <v>2.0</v>
      </c>
      <c r="D89" s="24">
        <v>12.0</v>
      </c>
      <c r="E89" s="24">
        <v>6.0</v>
      </c>
    </row>
    <row r="90">
      <c r="A90" s="22" t="s">
        <v>93</v>
      </c>
      <c r="B90" s="24">
        <f>B73-B89-17</f>
        <v>19102</v>
      </c>
      <c r="C90" s="24">
        <f>C73-C89-21</f>
        <v>19627</v>
      </c>
      <c r="D90" s="24">
        <f t="shared" ref="D90:E90" si="14">D73-D89</f>
        <v>19328</v>
      </c>
      <c r="E90" s="24">
        <f t="shared" si="14"/>
        <v>19879</v>
      </c>
    </row>
    <row r="91">
      <c r="A91" s="22" t="s">
        <v>94</v>
      </c>
      <c r="B91" s="23">
        <f t="shared" ref="B91:E91" si="15">B97*30</f>
        <v>15510</v>
      </c>
      <c r="C91" s="23">
        <f t="shared" si="15"/>
        <v>17100</v>
      </c>
      <c r="D91" s="23">
        <f t="shared" si="15"/>
        <v>15720</v>
      </c>
      <c r="E91" s="23">
        <f t="shared" si="15"/>
        <v>17130</v>
      </c>
    </row>
    <row r="92">
      <c r="A92" s="22" t="s">
        <v>95</v>
      </c>
      <c r="B92" s="24">
        <v>18.0</v>
      </c>
      <c r="C92" s="24">
        <v>7.0</v>
      </c>
      <c r="D92" s="24">
        <v>22.0</v>
      </c>
      <c r="E92" s="24">
        <v>32.0</v>
      </c>
    </row>
    <row r="93">
      <c r="A93" s="22" t="s">
        <v>96</v>
      </c>
      <c r="B93" s="24">
        <v>30.0</v>
      </c>
      <c r="C93" s="24">
        <v>38.0</v>
      </c>
      <c r="D93" s="24">
        <v>18.0</v>
      </c>
      <c r="E93" s="24">
        <v>17.0</v>
      </c>
    </row>
    <row r="94">
      <c r="A94" s="22" t="s">
        <v>111</v>
      </c>
      <c r="B94" s="24">
        <v>80.0</v>
      </c>
      <c r="C94" s="24">
        <v>80.0</v>
      </c>
      <c r="D94" s="24">
        <v>80.0</v>
      </c>
      <c r="E94" s="24">
        <v>80.0</v>
      </c>
    </row>
    <row r="95">
      <c r="A95" s="22" t="s">
        <v>98</v>
      </c>
      <c r="B95" s="24">
        <v>2.0</v>
      </c>
      <c r="C95" s="23">
        <v>1.0</v>
      </c>
      <c r="D95" s="23">
        <v>1.0</v>
      </c>
      <c r="E95" s="24">
        <v>2.0</v>
      </c>
    </row>
    <row r="96">
      <c r="A96" s="22" t="s">
        <v>112</v>
      </c>
      <c r="B96" s="26">
        <f t="shared" ref="B96:E96" si="16">round(((B91/B90)*100),2)</f>
        <v>81.2</v>
      </c>
      <c r="C96" s="26">
        <f t="shared" si="16"/>
        <v>87.12</v>
      </c>
      <c r="D96" s="26">
        <f t="shared" si="16"/>
        <v>81.33</v>
      </c>
      <c r="E96" s="26">
        <f t="shared" si="16"/>
        <v>86.17</v>
      </c>
    </row>
    <row r="97">
      <c r="A97" s="22" t="s">
        <v>100</v>
      </c>
      <c r="B97" s="24">
        <v>517.0</v>
      </c>
      <c r="C97" s="24">
        <v>570.0</v>
      </c>
      <c r="D97" s="24">
        <v>524.0</v>
      </c>
      <c r="E97" s="24">
        <v>571.0</v>
      </c>
    </row>
    <row r="98">
      <c r="A98" s="23" t="s">
        <v>471</v>
      </c>
      <c r="B98" s="32" t="s">
        <v>1034</v>
      </c>
      <c r="C98" s="32" t="s">
        <v>984</v>
      </c>
      <c r="D98" s="32" t="s">
        <v>858</v>
      </c>
      <c r="E98" s="32" t="s">
        <v>984</v>
      </c>
    </row>
    <row r="99">
      <c r="A99" s="22" t="s">
        <v>178</v>
      </c>
      <c r="B99" s="24" t="s">
        <v>1035</v>
      </c>
      <c r="C99" s="24" t="s">
        <v>1036</v>
      </c>
      <c r="D99" s="18"/>
      <c r="E99" s="18"/>
    </row>
    <row r="100">
      <c r="A100" s="22" t="s">
        <v>103</v>
      </c>
      <c r="B100" s="24" t="s">
        <v>1037</v>
      </c>
      <c r="D100" s="24" t="s">
        <v>1038</v>
      </c>
    </row>
    <row r="103">
      <c r="A103" s="19" t="s">
        <v>50</v>
      </c>
      <c r="B103" s="29">
        <v>46205.0</v>
      </c>
    </row>
    <row r="104">
      <c r="B104" s="21" t="s">
        <v>4</v>
      </c>
      <c r="C104" s="21" t="s">
        <v>5</v>
      </c>
      <c r="D104" s="21" t="s">
        <v>6</v>
      </c>
      <c r="E104" s="21" t="s">
        <v>7</v>
      </c>
    </row>
    <row r="105">
      <c r="A105" s="22" t="s">
        <v>91</v>
      </c>
      <c r="B105" s="24">
        <v>80.2</v>
      </c>
      <c r="C105" s="24">
        <v>79.1</v>
      </c>
      <c r="D105" s="24">
        <v>85.1</v>
      </c>
      <c r="E105" s="24">
        <v>82.6</v>
      </c>
    </row>
    <row r="106">
      <c r="A106" s="22" t="s">
        <v>92</v>
      </c>
      <c r="B106" s="24">
        <v>5.0</v>
      </c>
      <c r="C106" s="24">
        <v>7.0</v>
      </c>
      <c r="D106" s="24">
        <v>9.0</v>
      </c>
      <c r="E106" s="24">
        <v>8.0</v>
      </c>
    </row>
    <row r="107">
      <c r="A107" s="22" t="s">
        <v>93</v>
      </c>
      <c r="B107" s="24">
        <f>B90-B106-161</f>
        <v>18936</v>
      </c>
      <c r="C107" s="24">
        <f t="shared" ref="C107:E107" si="17">C90-C106</f>
        <v>19620</v>
      </c>
      <c r="D107" s="24">
        <f t="shared" si="17"/>
        <v>19319</v>
      </c>
      <c r="E107" s="24">
        <f t="shared" si="17"/>
        <v>19871</v>
      </c>
    </row>
    <row r="108">
      <c r="A108" s="22" t="s">
        <v>94</v>
      </c>
      <c r="B108" s="23">
        <f t="shared" ref="B108:E108" si="18">B114*30</f>
        <v>15420</v>
      </c>
      <c r="C108" s="23">
        <f t="shared" si="18"/>
        <v>16800</v>
      </c>
      <c r="D108" s="23">
        <f t="shared" si="18"/>
        <v>16080</v>
      </c>
      <c r="E108" s="23">
        <f t="shared" si="18"/>
        <v>16950</v>
      </c>
    </row>
    <row r="109">
      <c r="A109" s="22" t="s">
        <v>95</v>
      </c>
      <c r="B109" s="24">
        <v>20.0</v>
      </c>
      <c r="C109" s="24">
        <v>10.0</v>
      </c>
      <c r="D109" s="24">
        <v>19.0</v>
      </c>
      <c r="E109" s="24">
        <v>32.0</v>
      </c>
    </row>
    <row r="110">
      <c r="A110" s="22" t="s">
        <v>96</v>
      </c>
      <c r="B110" s="24">
        <v>30.0</v>
      </c>
      <c r="C110" s="24">
        <v>20.0</v>
      </c>
      <c r="D110" s="24">
        <v>14.0</v>
      </c>
      <c r="E110" s="24">
        <v>24.0</v>
      </c>
    </row>
    <row r="111">
      <c r="A111" s="22" t="s">
        <v>111</v>
      </c>
      <c r="B111" s="24">
        <v>135.0</v>
      </c>
      <c r="C111" s="24">
        <v>135.0</v>
      </c>
      <c r="D111" s="24">
        <v>135.0</v>
      </c>
      <c r="E111" s="24">
        <v>135.0</v>
      </c>
    </row>
    <row r="112">
      <c r="A112" s="22" t="s">
        <v>98</v>
      </c>
      <c r="B112" s="24">
        <v>2.0</v>
      </c>
      <c r="C112" s="24">
        <v>2.0</v>
      </c>
      <c r="D112" s="23">
        <v>1.0</v>
      </c>
      <c r="E112" s="24">
        <v>2.0</v>
      </c>
    </row>
    <row r="113">
      <c r="A113" s="22" t="s">
        <v>112</v>
      </c>
      <c r="B113" s="26">
        <f t="shared" ref="B113:E113" si="19">round(((B108/B107)*100),2)</f>
        <v>81.43</v>
      </c>
      <c r="C113" s="26">
        <f t="shared" si="19"/>
        <v>85.63</v>
      </c>
      <c r="D113" s="26">
        <f t="shared" si="19"/>
        <v>83.23</v>
      </c>
      <c r="E113" s="26">
        <f t="shared" si="19"/>
        <v>85.3</v>
      </c>
    </row>
    <row r="114">
      <c r="A114" s="22" t="s">
        <v>100</v>
      </c>
      <c r="B114" s="24">
        <v>514.0</v>
      </c>
      <c r="C114" s="24">
        <v>560.0</v>
      </c>
      <c r="D114" s="24">
        <v>536.0</v>
      </c>
      <c r="E114" s="24">
        <v>565.0</v>
      </c>
    </row>
    <row r="115">
      <c r="A115" s="23" t="s">
        <v>471</v>
      </c>
      <c r="B115" s="32" t="s">
        <v>1019</v>
      </c>
      <c r="C115" s="32" t="s">
        <v>984</v>
      </c>
      <c r="D115" s="32" t="s">
        <v>858</v>
      </c>
      <c r="E115" s="32" t="s">
        <v>984</v>
      </c>
    </row>
    <row r="116">
      <c r="A116" s="22" t="s">
        <v>178</v>
      </c>
      <c r="B116" s="24" t="s">
        <v>1021</v>
      </c>
      <c r="C116" s="24" t="s">
        <v>1025</v>
      </c>
      <c r="D116" s="18"/>
      <c r="E116" s="18"/>
    </row>
    <row r="117">
      <c r="A117" s="22" t="s">
        <v>103</v>
      </c>
      <c r="B117" s="24" t="s">
        <v>1039</v>
      </c>
      <c r="D117" s="24" t="s">
        <v>1040</v>
      </c>
    </row>
    <row r="120">
      <c r="A120" s="19" t="s">
        <v>50</v>
      </c>
      <c r="B120" s="29">
        <v>46236.0</v>
      </c>
    </row>
    <row r="121">
      <c r="B121" s="21" t="s">
        <v>4</v>
      </c>
      <c r="C121" s="21" t="s">
        <v>5</v>
      </c>
      <c r="D121" s="21" t="s">
        <v>6</v>
      </c>
      <c r="E121" s="21" t="s">
        <v>7</v>
      </c>
    </row>
    <row r="122">
      <c r="A122" s="22" t="s">
        <v>91</v>
      </c>
      <c r="B122" s="24">
        <v>80.3</v>
      </c>
      <c r="C122" s="24">
        <v>79.2</v>
      </c>
      <c r="D122" s="24">
        <v>85.2</v>
      </c>
      <c r="E122" s="24">
        <v>82.7</v>
      </c>
    </row>
    <row r="123">
      <c r="A123" s="22" t="s">
        <v>92</v>
      </c>
      <c r="B123" s="24">
        <v>10.0</v>
      </c>
      <c r="C123" s="24">
        <v>6.0</v>
      </c>
      <c r="D123" s="24">
        <v>9.0</v>
      </c>
      <c r="E123" s="24">
        <v>8.0</v>
      </c>
    </row>
    <row r="124">
      <c r="A124" s="22" t="s">
        <v>93</v>
      </c>
      <c r="B124" s="24">
        <f t="shared" ref="B124:E124" si="20">B107-B123</f>
        <v>18926</v>
      </c>
      <c r="C124" s="24">
        <f t="shared" si="20"/>
        <v>19614</v>
      </c>
      <c r="D124" s="24">
        <f t="shared" si="20"/>
        <v>19310</v>
      </c>
      <c r="E124" s="24">
        <f t="shared" si="20"/>
        <v>19863</v>
      </c>
    </row>
    <row r="125">
      <c r="A125" s="22" t="s">
        <v>94</v>
      </c>
      <c r="B125" s="23">
        <f t="shared" ref="B125:E125" si="21">B131*30</f>
        <v>15510</v>
      </c>
      <c r="C125" s="23">
        <f t="shared" si="21"/>
        <v>16920</v>
      </c>
      <c r="D125" s="23">
        <f t="shared" si="21"/>
        <v>15930</v>
      </c>
      <c r="E125" s="23">
        <f t="shared" si="21"/>
        <v>17160</v>
      </c>
    </row>
    <row r="126">
      <c r="A126" s="22" t="s">
        <v>95</v>
      </c>
      <c r="B126" s="24">
        <v>22.0</v>
      </c>
      <c r="C126" s="24">
        <v>17.0</v>
      </c>
      <c r="D126" s="24">
        <v>28.0</v>
      </c>
      <c r="E126" s="24">
        <v>17.0</v>
      </c>
    </row>
    <row r="127">
      <c r="A127" s="22" t="s">
        <v>96</v>
      </c>
      <c r="B127" s="24">
        <v>25.0</v>
      </c>
      <c r="C127" s="24">
        <v>30.0</v>
      </c>
      <c r="D127" s="24">
        <v>13.0</v>
      </c>
      <c r="E127" s="24">
        <v>18.0</v>
      </c>
    </row>
    <row r="128">
      <c r="A128" s="22" t="s">
        <v>111</v>
      </c>
      <c r="B128" s="24">
        <v>80.0</v>
      </c>
      <c r="C128" s="24">
        <v>80.0</v>
      </c>
      <c r="D128" s="24">
        <v>80.0</v>
      </c>
      <c r="E128" s="24">
        <v>80.0</v>
      </c>
    </row>
    <row r="129">
      <c r="A129" s="22" t="s">
        <v>98</v>
      </c>
      <c r="B129" s="24">
        <v>2.0</v>
      </c>
      <c r="C129" s="24">
        <v>1.0</v>
      </c>
      <c r="D129" s="23">
        <v>1.0</v>
      </c>
      <c r="E129" s="24">
        <v>2.0</v>
      </c>
    </row>
    <row r="130">
      <c r="A130" s="22" t="s">
        <v>112</v>
      </c>
      <c r="B130" s="26">
        <f t="shared" ref="B130:E130" si="22">round(((B125/B124)*100),2)</f>
        <v>81.95</v>
      </c>
      <c r="C130" s="26">
        <f t="shared" si="22"/>
        <v>86.26</v>
      </c>
      <c r="D130" s="26">
        <f t="shared" si="22"/>
        <v>82.5</v>
      </c>
      <c r="E130" s="26">
        <f t="shared" si="22"/>
        <v>86.39</v>
      </c>
    </row>
    <row r="131">
      <c r="A131" s="22" t="s">
        <v>100</v>
      </c>
      <c r="B131" s="24">
        <v>517.0</v>
      </c>
      <c r="C131" s="24">
        <v>564.0</v>
      </c>
      <c r="D131" s="24">
        <v>531.0</v>
      </c>
      <c r="E131" s="24">
        <v>572.0</v>
      </c>
    </row>
    <row r="132">
      <c r="A132" s="23" t="s">
        <v>471</v>
      </c>
      <c r="B132" s="32" t="s">
        <v>1019</v>
      </c>
      <c r="C132" s="32" t="s">
        <v>984</v>
      </c>
      <c r="D132" s="32" t="s">
        <v>858</v>
      </c>
      <c r="E132" s="32" t="s">
        <v>984</v>
      </c>
    </row>
    <row r="133">
      <c r="A133" s="22" t="s">
        <v>178</v>
      </c>
      <c r="B133" s="24" t="s">
        <v>1007</v>
      </c>
      <c r="C133" s="24" t="s">
        <v>947</v>
      </c>
      <c r="D133" s="18"/>
      <c r="E133" s="18"/>
    </row>
    <row r="134">
      <c r="A134" s="22" t="s">
        <v>103</v>
      </c>
      <c r="B134" s="24" t="s">
        <v>1041</v>
      </c>
      <c r="D134" s="24" t="s">
        <v>1042</v>
      </c>
    </row>
    <row r="137">
      <c r="A137" s="19" t="s">
        <v>50</v>
      </c>
      <c r="B137" s="29">
        <v>46267.0</v>
      </c>
    </row>
    <row r="138">
      <c r="B138" s="21" t="s">
        <v>4</v>
      </c>
      <c r="C138" s="21" t="s">
        <v>5</v>
      </c>
      <c r="D138" s="21" t="s">
        <v>6</v>
      </c>
      <c r="E138" s="21" t="s">
        <v>7</v>
      </c>
    </row>
    <row r="139">
      <c r="A139" s="22" t="s">
        <v>91</v>
      </c>
      <c r="B139" s="24">
        <v>80.4</v>
      </c>
      <c r="C139" s="24">
        <v>79.3</v>
      </c>
      <c r="D139" s="24">
        <v>85.3</v>
      </c>
      <c r="E139" s="24">
        <v>83.1</v>
      </c>
    </row>
    <row r="140">
      <c r="A140" s="22" t="s">
        <v>92</v>
      </c>
      <c r="B140" s="24">
        <v>5.0</v>
      </c>
      <c r="C140" s="24">
        <v>5.0</v>
      </c>
      <c r="D140" s="24">
        <v>5.0</v>
      </c>
      <c r="E140" s="24">
        <v>8.0</v>
      </c>
    </row>
    <row r="141">
      <c r="A141" s="22" t="s">
        <v>93</v>
      </c>
      <c r="B141" s="24">
        <f t="shared" ref="B141:E141" si="23">B124-B140</f>
        <v>18921</v>
      </c>
      <c r="C141" s="24">
        <f t="shared" si="23"/>
        <v>19609</v>
      </c>
      <c r="D141" s="24">
        <f t="shared" si="23"/>
        <v>19305</v>
      </c>
      <c r="E141" s="24">
        <f t="shared" si="23"/>
        <v>19855</v>
      </c>
    </row>
    <row r="142">
      <c r="A142" s="22" t="s">
        <v>94</v>
      </c>
      <c r="B142" s="23">
        <f t="shared" ref="B142:E142" si="24">B148*30</f>
        <v>15210</v>
      </c>
      <c r="C142" s="23">
        <f t="shared" si="24"/>
        <v>16590</v>
      </c>
      <c r="D142" s="23">
        <f t="shared" si="24"/>
        <v>15840</v>
      </c>
      <c r="E142" s="23">
        <f t="shared" si="24"/>
        <v>16440</v>
      </c>
    </row>
    <row r="143">
      <c r="A143" s="22" t="s">
        <v>95</v>
      </c>
      <c r="B143" s="24">
        <v>20.0</v>
      </c>
      <c r="C143" s="24">
        <v>27.0</v>
      </c>
      <c r="D143" s="24">
        <v>21.0</v>
      </c>
      <c r="E143" s="24">
        <v>29.0</v>
      </c>
    </row>
    <row r="144">
      <c r="A144" s="22" t="s">
        <v>96</v>
      </c>
      <c r="B144" s="24">
        <v>18.0</v>
      </c>
      <c r="C144" s="24">
        <v>33.0</v>
      </c>
      <c r="D144" s="24">
        <v>13.0</v>
      </c>
      <c r="E144" s="24">
        <v>28.0</v>
      </c>
    </row>
    <row r="145">
      <c r="A145" s="22" t="s">
        <v>111</v>
      </c>
      <c r="B145" s="24">
        <v>195.0</v>
      </c>
      <c r="C145" s="24">
        <v>195.0</v>
      </c>
      <c r="D145" s="24">
        <v>195.0</v>
      </c>
      <c r="E145" s="24">
        <v>195.0</v>
      </c>
    </row>
    <row r="146">
      <c r="A146" s="22" t="s">
        <v>98</v>
      </c>
      <c r="B146" s="24">
        <v>1.0</v>
      </c>
      <c r="C146" s="24">
        <v>1.0</v>
      </c>
      <c r="D146" s="23">
        <v>1.0</v>
      </c>
      <c r="E146" s="24">
        <v>1.0</v>
      </c>
    </row>
    <row r="147">
      <c r="A147" s="22" t="s">
        <v>112</v>
      </c>
      <c r="B147" s="26">
        <f t="shared" ref="B147:E147" si="25">round(((B142/B141)*100),2)</f>
        <v>80.39</v>
      </c>
      <c r="C147" s="26">
        <f t="shared" si="25"/>
        <v>84.6</v>
      </c>
      <c r="D147" s="26">
        <f t="shared" si="25"/>
        <v>82.05</v>
      </c>
      <c r="E147" s="26">
        <f t="shared" si="25"/>
        <v>82.8</v>
      </c>
    </row>
    <row r="148">
      <c r="A148" s="22" t="s">
        <v>100</v>
      </c>
      <c r="B148" s="24">
        <v>507.0</v>
      </c>
      <c r="C148" s="24">
        <v>553.0</v>
      </c>
      <c r="D148" s="24">
        <v>528.0</v>
      </c>
      <c r="E148" s="24">
        <v>548.0</v>
      </c>
    </row>
    <row r="149">
      <c r="A149" s="23" t="s">
        <v>471</v>
      </c>
      <c r="B149" s="32" t="s">
        <v>1019</v>
      </c>
      <c r="C149" s="32" t="s">
        <v>984</v>
      </c>
      <c r="D149" s="32" t="s">
        <v>858</v>
      </c>
      <c r="E149" s="32" t="s">
        <v>984</v>
      </c>
    </row>
    <row r="150">
      <c r="A150" s="22" t="s">
        <v>178</v>
      </c>
      <c r="B150" s="24" t="s">
        <v>1021</v>
      </c>
      <c r="C150" s="24" t="s">
        <v>1043</v>
      </c>
      <c r="D150" s="18"/>
      <c r="E150" s="18"/>
    </row>
    <row r="151">
      <c r="A151" s="22" t="s">
        <v>103</v>
      </c>
      <c r="B151" s="24" t="s">
        <v>1044</v>
      </c>
      <c r="D151" s="24" t="s">
        <v>1045</v>
      </c>
    </row>
    <row r="154">
      <c r="A154" s="19" t="s">
        <v>50</v>
      </c>
      <c r="B154" s="29">
        <v>46297.0</v>
      </c>
    </row>
    <row r="155">
      <c r="B155" s="21" t="s">
        <v>4</v>
      </c>
      <c r="C155" s="21" t="s">
        <v>5</v>
      </c>
      <c r="D155" s="21" t="s">
        <v>6</v>
      </c>
      <c r="E155" s="21" t="s">
        <v>7</v>
      </c>
    </row>
    <row r="156">
      <c r="A156" s="22" t="s">
        <v>91</v>
      </c>
      <c r="B156" s="24">
        <v>80.5</v>
      </c>
      <c r="C156" s="24">
        <v>79.4</v>
      </c>
      <c r="D156" s="24">
        <v>85.4</v>
      </c>
      <c r="E156" s="24">
        <v>83.2</v>
      </c>
    </row>
    <row r="157">
      <c r="A157" s="22" t="s">
        <v>92</v>
      </c>
      <c r="B157" s="24">
        <v>20.0</v>
      </c>
      <c r="C157" s="24">
        <v>9.0</v>
      </c>
      <c r="D157" s="24">
        <v>10.0</v>
      </c>
      <c r="E157" s="24">
        <v>5.0</v>
      </c>
    </row>
    <row r="158">
      <c r="A158" s="22" t="s">
        <v>93</v>
      </c>
      <c r="B158" s="24">
        <f t="shared" ref="B158:E158" si="26">B141-B157</f>
        <v>18901</v>
      </c>
      <c r="C158" s="24">
        <f t="shared" si="26"/>
        <v>19600</v>
      </c>
      <c r="D158" s="24">
        <f t="shared" si="26"/>
        <v>19295</v>
      </c>
      <c r="E158" s="24">
        <f t="shared" si="26"/>
        <v>19850</v>
      </c>
    </row>
    <row r="159">
      <c r="A159" s="22" t="s">
        <v>94</v>
      </c>
      <c r="B159" s="23">
        <f t="shared" ref="B159:E159" si="27">B165*30</f>
        <v>15120</v>
      </c>
      <c r="C159" s="23">
        <f t="shared" si="27"/>
        <v>16650</v>
      </c>
      <c r="D159" s="23">
        <f t="shared" si="27"/>
        <v>15810</v>
      </c>
      <c r="E159" s="23">
        <f t="shared" si="27"/>
        <v>16560</v>
      </c>
    </row>
    <row r="160">
      <c r="A160" s="22" t="s">
        <v>95</v>
      </c>
      <c r="B160" s="24">
        <v>19.0</v>
      </c>
      <c r="C160" s="24">
        <v>17.0</v>
      </c>
      <c r="D160" s="24">
        <v>17.0</v>
      </c>
      <c r="E160" s="24">
        <v>29.0</v>
      </c>
    </row>
    <row r="161">
      <c r="A161" s="22" t="s">
        <v>96</v>
      </c>
      <c r="B161" s="24">
        <v>18.0</v>
      </c>
      <c r="C161" s="24">
        <v>21.0</v>
      </c>
      <c r="D161" s="24">
        <v>27.0</v>
      </c>
      <c r="E161" s="24">
        <v>17.0</v>
      </c>
    </row>
    <row r="162">
      <c r="A162" s="22" t="s">
        <v>111</v>
      </c>
      <c r="B162" s="24"/>
      <c r="C162" s="24"/>
      <c r="D162" s="24"/>
      <c r="E162" s="24"/>
    </row>
    <row r="163">
      <c r="A163" s="22" t="s">
        <v>98</v>
      </c>
      <c r="B163" s="24">
        <v>1.0</v>
      </c>
      <c r="C163" s="24">
        <v>1.0</v>
      </c>
      <c r="D163" s="23">
        <v>1.0</v>
      </c>
      <c r="E163" s="24">
        <v>1.0</v>
      </c>
    </row>
    <row r="164">
      <c r="A164" s="22" t="s">
        <v>112</v>
      </c>
      <c r="B164" s="26">
        <f t="shared" ref="B164:E164" si="28">round(((B159/B158)*100),2)</f>
        <v>80</v>
      </c>
      <c r="C164" s="26">
        <f t="shared" si="28"/>
        <v>84.95</v>
      </c>
      <c r="D164" s="26">
        <f t="shared" si="28"/>
        <v>81.94</v>
      </c>
      <c r="E164" s="26">
        <f t="shared" si="28"/>
        <v>83.43</v>
      </c>
    </row>
    <row r="165">
      <c r="A165" s="22" t="s">
        <v>100</v>
      </c>
      <c r="B165" s="24">
        <v>504.0</v>
      </c>
      <c r="C165" s="24">
        <v>555.0</v>
      </c>
      <c r="D165" s="24">
        <v>527.0</v>
      </c>
      <c r="E165" s="24">
        <v>552.0</v>
      </c>
    </row>
    <row r="166">
      <c r="A166" s="23" t="s">
        <v>471</v>
      </c>
      <c r="B166" s="32" t="s">
        <v>1019</v>
      </c>
      <c r="C166" s="32" t="s">
        <v>984</v>
      </c>
      <c r="D166" s="32" t="s">
        <v>858</v>
      </c>
      <c r="E166" s="32" t="s">
        <v>984</v>
      </c>
    </row>
    <row r="167">
      <c r="A167" s="22" t="s">
        <v>178</v>
      </c>
      <c r="B167" s="24" t="s">
        <v>1046</v>
      </c>
      <c r="C167" s="24" t="s">
        <v>1047</v>
      </c>
      <c r="D167" s="18"/>
      <c r="E167" s="18"/>
    </row>
    <row r="168">
      <c r="A168" s="22" t="s">
        <v>103</v>
      </c>
      <c r="B168" s="24" t="s">
        <v>1048</v>
      </c>
      <c r="D168" s="24" t="s">
        <v>1049</v>
      </c>
    </row>
    <row r="171">
      <c r="A171" s="19" t="s">
        <v>50</v>
      </c>
      <c r="B171" s="29">
        <v>46328.0</v>
      </c>
    </row>
    <row r="172">
      <c r="B172" s="21" t="s">
        <v>4</v>
      </c>
      <c r="C172" s="21" t="s">
        <v>5</v>
      </c>
      <c r="D172" s="21" t="s">
        <v>6</v>
      </c>
      <c r="E172" s="21" t="s">
        <v>7</v>
      </c>
    </row>
    <row r="173">
      <c r="A173" s="22" t="s">
        <v>91</v>
      </c>
      <c r="B173" s="24">
        <v>80.6</v>
      </c>
      <c r="C173" s="24">
        <v>79.5</v>
      </c>
      <c r="D173" s="24">
        <v>85.5</v>
      </c>
      <c r="E173" s="24">
        <v>83.3</v>
      </c>
    </row>
    <row r="174">
      <c r="A174" s="22" t="s">
        <v>92</v>
      </c>
      <c r="B174" s="24">
        <v>20.0</v>
      </c>
      <c r="C174" s="24">
        <v>6.0</v>
      </c>
      <c r="D174" s="24">
        <v>17.0</v>
      </c>
      <c r="E174" s="24">
        <v>8.0</v>
      </c>
    </row>
    <row r="175">
      <c r="A175" s="22" t="s">
        <v>93</v>
      </c>
      <c r="B175" s="24">
        <f t="shared" ref="B175:E175" si="29">B158-B174</f>
        <v>18881</v>
      </c>
      <c r="C175" s="24">
        <f t="shared" si="29"/>
        <v>19594</v>
      </c>
      <c r="D175" s="24">
        <f t="shared" si="29"/>
        <v>19278</v>
      </c>
      <c r="E175" s="24">
        <f t="shared" si="29"/>
        <v>19842</v>
      </c>
    </row>
    <row r="176">
      <c r="A176" s="22" t="s">
        <v>94</v>
      </c>
      <c r="B176" s="23">
        <f t="shared" ref="B176:E176" si="30">B182*30</f>
        <v>15180</v>
      </c>
      <c r="C176" s="23">
        <f t="shared" si="30"/>
        <v>16680</v>
      </c>
      <c r="D176" s="23">
        <f t="shared" si="30"/>
        <v>15990</v>
      </c>
      <c r="E176" s="23">
        <f t="shared" si="30"/>
        <v>16680</v>
      </c>
    </row>
    <row r="177">
      <c r="A177" s="22" t="s">
        <v>95</v>
      </c>
      <c r="B177" s="24">
        <v>18.0</v>
      </c>
      <c r="C177" s="24">
        <v>30.0</v>
      </c>
      <c r="D177" s="24">
        <v>13.0</v>
      </c>
      <c r="E177" s="24">
        <v>25.0</v>
      </c>
    </row>
    <row r="178">
      <c r="A178" s="22" t="s">
        <v>96</v>
      </c>
      <c r="B178" s="24">
        <v>27.0</v>
      </c>
      <c r="C178" s="24">
        <v>17.0</v>
      </c>
      <c r="D178" s="24">
        <v>22.0</v>
      </c>
      <c r="E178" s="24">
        <v>26.0</v>
      </c>
    </row>
    <row r="179">
      <c r="A179" s="22" t="s">
        <v>111</v>
      </c>
      <c r="B179" s="24"/>
      <c r="C179" s="24"/>
      <c r="D179" s="24"/>
      <c r="E179" s="24"/>
    </row>
    <row r="180">
      <c r="A180" s="22" t="s">
        <v>98</v>
      </c>
      <c r="B180" s="24">
        <v>1.0</v>
      </c>
      <c r="C180" s="24">
        <v>1.0</v>
      </c>
      <c r="D180" s="23">
        <v>1.0</v>
      </c>
      <c r="E180" s="24">
        <v>1.0</v>
      </c>
    </row>
    <row r="181">
      <c r="A181" s="22" t="s">
        <v>112</v>
      </c>
      <c r="B181" s="26">
        <f t="shared" ref="B181:E181" si="31">round(((B176/B175)*100),2)</f>
        <v>80.4</v>
      </c>
      <c r="C181" s="26">
        <f t="shared" si="31"/>
        <v>85.13</v>
      </c>
      <c r="D181" s="26">
        <f t="shared" si="31"/>
        <v>82.94</v>
      </c>
      <c r="E181" s="26">
        <f t="shared" si="31"/>
        <v>84.06</v>
      </c>
    </row>
    <row r="182">
      <c r="A182" s="22" t="s">
        <v>100</v>
      </c>
      <c r="B182" s="24">
        <v>506.0</v>
      </c>
      <c r="C182" s="24">
        <v>556.0</v>
      </c>
      <c r="D182" s="24">
        <v>533.0</v>
      </c>
      <c r="E182" s="24">
        <v>556.0</v>
      </c>
    </row>
    <row r="183">
      <c r="A183" s="23" t="s">
        <v>471</v>
      </c>
      <c r="B183" s="32" t="s">
        <v>1019</v>
      </c>
      <c r="C183" s="32" t="s">
        <v>984</v>
      </c>
      <c r="D183" s="32" t="s">
        <v>858</v>
      </c>
      <c r="E183" s="32" t="s">
        <v>984</v>
      </c>
    </row>
    <row r="184">
      <c r="A184" s="22" t="s">
        <v>178</v>
      </c>
      <c r="B184" s="24" t="s">
        <v>985</v>
      </c>
      <c r="C184" s="24" t="s">
        <v>1050</v>
      </c>
      <c r="D184" s="18"/>
      <c r="E184" s="18"/>
    </row>
    <row r="185">
      <c r="A185" s="22" t="s">
        <v>103</v>
      </c>
      <c r="B185" s="24" t="s">
        <v>1051</v>
      </c>
      <c r="D185" s="24" t="s">
        <v>1052</v>
      </c>
    </row>
    <row r="188">
      <c r="A188" s="19" t="s">
        <v>50</v>
      </c>
      <c r="B188" s="29">
        <v>46358.0</v>
      </c>
    </row>
    <row r="189">
      <c r="B189" s="21" t="s">
        <v>4</v>
      </c>
      <c r="C189" s="21" t="s">
        <v>5</v>
      </c>
      <c r="D189" s="21" t="s">
        <v>6</v>
      </c>
      <c r="E189" s="21" t="s">
        <v>7</v>
      </c>
    </row>
    <row r="190">
      <c r="A190" s="22" t="s">
        <v>91</v>
      </c>
      <c r="B190" s="24">
        <v>80.7</v>
      </c>
      <c r="C190" s="24">
        <v>79.6</v>
      </c>
      <c r="D190" s="24">
        <v>85.6</v>
      </c>
      <c r="E190" s="24">
        <v>83.4</v>
      </c>
    </row>
    <row r="191">
      <c r="A191" s="22" t="s">
        <v>92</v>
      </c>
      <c r="B191" s="24">
        <v>10.0</v>
      </c>
      <c r="C191" s="24">
        <v>11.0</v>
      </c>
      <c r="D191" s="24">
        <v>16.0</v>
      </c>
      <c r="E191" s="24">
        <v>4.0</v>
      </c>
    </row>
    <row r="192">
      <c r="A192" s="22" t="s">
        <v>93</v>
      </c>
      <c r="B192" s="24">
        <f t="shared" ref="B192:E192" si="32">B175-B191</f>
        <v>18871</v>
      </c>
      <c r="C192" s="24">
        <f t="shared" si="32"/>
        <v>19583</v>
      </c>
      <c r="D192" s="24">
        <f t="shared" si="32"/>
        <v>19262</v>
      </c>
      <c r="E192" s="24">
        <f t="shared" si="32"/>
        <v>19838</v>
      </c>
    </row>
    <row r="193">
      <c r="A193" s="22" t="s">
        <v>94</v>
      </c>
      <c r="B193" s="23">
        <f t="shared" ref="B193:E193" si="33">B199*30</f>
        <v>15300</v>
      </c>
      <c r="C193" s="23">
        <f t="shared" si="33"/>
        <v>16650</v>
      </c>
      <c r="D193" s="23">
        <f t="shared" si="33"/>
        <v>15780</v>
      </c>
      <c r="E193" s="23">
        <f t="shared" si="33"/>
        <v>16620</v>
      </c>
    </row>
    <row r="194">
      <c r="A194" s="22" t="s">
        <v>95</v>
      </c>
      <c r="B194" s="24">
        <v>15.0</v>
      </c>
      <c r="C194" s="24">
        <v>12.0</v>
      </c>
      <c r="D194" s="24">
        <v>26.0</v>
      </c>
      <c r="E194" s="24">
        <v>30.0</v>
      </c>
    </row>
    <row r="195">
      <c r="A195" s="22" t="s">
        <v>96</v>
      </c>
      <c r="B195" s="24">
        <v>22.0</v>
      </c>
      <c r="C195" s="24">
        <v>13.0</v>
      </c>
      <c r="D195" s="24">
        <v>27.0</v>
      </c>
      <c r="E195" s="24">
        <v>34.0</v>
      </c>
    </row>
    <row r="196">
      <c r="A196" s="22" t="s">
        <v>111</v>
      </c>
      <c r="B196" s="24">
        <v>110.0</v>
      </c>
      <c r="C196" s="24">
        <v>110.0</v>
      </c>
      <c r="D196" s="24">
        <v>110.0</v>
      </c>
      <c r="E196" s="24">
        <v>110.0</v>
      </c>
    </row>
    <row r="197">
      <c r="A197" s="22" t="s">
        <v>98</v>
      </c>
      <c r="B197" s="24">
        <v>1.0</v>
      </c>
      <c r="C197" s="24">
        <v>1.0</v>
      </c>
      <c r="D197" s="23">
        <v>1.0</v>
      </c>
      <c r="E197" s="24">
        <v>1.0</v>
      </c>
    </row>
    <row r="198">
      <c r="A198" s="22" t="s">
        <v>112</v>
      </c>
      <c r="B198" s="26">
        <f t="shared" ref="B198:E198" si="34">round(((B193/B192)*100),2)</f>
        <v>81.08</v>
      </c>
      <c r="C198" s="26">
        <f t="shared" si="34"/>
        <v>85.02</v>
      </c>
      <c r="D198" s="26">
        <f t="shared" si="34"/>
        <v>81.92</v>
      </c>
      <c r="E198" s="26">
        <f t="shared" si="34"/>
        <v>83.78</v>
      </c>
    </row>
    <row r="199">
      <c r="A199" s="22" t="s">
        <v>100</v>
      </c>
      <c r="B199" s="24">
        <v>510.0</v>
      </c>
      <c r="C199" s="24">
        <v>555.0</v>
      </c>
      <c r="D199" s="24">
        <v>526.0</v>
      </c>
      <c r="E199" s="24">
        <v>554.0</v>
      </c>
    </row>
    <row r="200">
      <c r="A200" s="23" t="s">
        <v>471</v>
      </c>
      <c r="B200" s="32" t="s">
        <v>1019</v>
      </c>
      <c r="C200" s="32" t="s">
        <v>984</v>
      </c>
      <c r="D200" s="32" t="s">
        <v>858</v>
      </c>
      <c r="E200" s="32" t="s">
        <v>984</v>
      </c>
    </row>
    <row r="201">
      <c r="A201" s="22" t="s">
        <v>178</v>
      </c>
      <c r="B201" s="24" t="s">
        <v>1053</v>
      </c>
      <c r="C201" s="24" t="s">
        <v>1054</v>
      </c>
      <c r="D201" s="18"/>
      <c r="E201" s="18"/>
    </row>
    <row r="202">
      <c r="A202" s="22" t="s">
        <v>103</v>
      </c>
      <c r="B202" s="24" t="s">
        <v>1055</v>
      </c>
      <c r="D202" s="24" t="s">
        <v>1056</v>
      </c>
    </row>
    <row r="205">
      <c r="A205" s="19" t="s">
        <v>50</v>
      </c>
      <c r="B205" s="20" t="s">
        <v>1057</v>
      </c>
    </row>
    <row r="206">
      <c r="B206" s="21" t="s">
        <v>4</v>
      </c>
      <c r="C206" s="21" t="s">
        <v>5</v>
      </c>
      <c r="D206" s="21" t="s">
        <v>6</v>
      </c>
      <c r="E206" s="21" t="s">
        <v>7</v>
      </c>
    </row>
    <row r="207">
      <c r="A207" s="22" t="s">
        <v>91</v>
      </c>
      <c r="B207" s="24">
        <v>81.1</v>
      </c>
      <c r="C207" s="24">
        <v>79.7</v>
      </c>
      <c r="D207" s="24">
        <v>85.7</v>
      </c>
      <c r="E207" s="24">
        <v>83.5</v>
      </c>
    </row>
    <row r="208">
      <c r="A208" s="22" t="s">
        <v>92</v>
      </c>
      <c r="B208" s="24">
        <v>13.0</v>
      </c>
      <c r="C208" s="24">
        <v>5.0</v>
      </c>
      <c r="D208" s="24">
        <v>9.0</v>
      </c>
      <c r="E208" s="24">
        <v>4.0</v>
      </c>
    </row>
    <row r="209">
      <c r="A209" s="22" t="s">
        <v>93</v>
      </c>
      <c r="B209" s="24">
        <f t="shared" ref="B209:E209" si="35">B192-B208</f>
        <v>18858</v>
      </c>
      <c r="C209" s="24">
        <f t="shared" si="35"/>
        <v>19578</v>
      </c>
      <c r="D209" s="24">
        <f t="shared" si="35"/>
        <v>19253</v>
      </c>
      <c r="E209" s="24">
        <f t="shared" si="35"/>
        <v>19834</v>
      </c>
    </row>
    <row r="210">
      <c r="A210" s="22" t="s">
        <v>94</v>
      </c>
      <c r="B210" s="23">
        <f t="shared" ref="B210:E210" si="36">B216*30</f>
        <v>15210</v>
      </c>
      <c r="C210" s="23">
        <f t="shared" si="36"/>
        <v>17040</v>
      </c>
      <c r="D210" s="23">
        <f t="shared" si="36"/>
        <v>16050</v>
      </c>
      <c r="E210" s="23">
        <f t="shared" si="36"/>
        <v>16770</v>
      </c>
    </row>
    <row r="211">
      <c r="A211" s="22" t="s">
        <v>95</v>
      </c>
      <c r="B211" s="24">
        <v>20.0</v>
      </c>
      <c r="C211" s="24">
        <v>20.0</v>
      </c>
      <c r="D211" s="24">
        <v>34.0</v>
      </c>
      <c r="E211" s="24">
        <v>28.0</v>
      </c>
    </row>
    <row r="212">
      <c r="A212" s="22" t="s">
        <v>96</v>
      </c>
      <c r="B212" s="24">
        <v>30.0</v>
      </c>
      <c r="C212" s="24">
        <v>10.0</v>
      </c>
      <c r="D212" s="24">
        <v>60.0</v>
      </c>
      <c r="E212" s="24">
        <v>32.0</v>
      </c>
    </row>
    <row r="213">
      <c r="A213" s="22" t="s">
        <v>111</v>
      </c>
      <c r="B213" s="24"/>
      <c r="C213" s="24"/>
      <c r="D213" s="24"/>
      <c r="E213" s="24"/>
    </row>
    <row r="214">
      <c r="A214" s="22" t="s">
        <v>98</v>
      </c>
      <c r="B214" s="24">
        <v>1.0</v>
      </c>
      <c r="C214" s="24">
        <v>1.0</v>
      </c>
      <c r="D214" s="23">
        <v>1.0</v>
      </c>
      <c r="E214" s="24">
        <v>1.0</v>
      </c>
    </row>
    <row r="215">
      <c r="A215" s="22" t="s">
        <v>112</v>
      </c>
      <c r="B215" s="26">
        <f t="shared" ref="B215:E215" si="37">round(((B210/B209)*100),2)</f>
        <v>80.66</v>
      </c>
      <c r="C215" s="26">
        <f t="shared" si="37"/>
        <v>87.04</v>
      </c>
      <c r="D215" s="26">
        <f t="shared" si="37"/>
        <v>83.36</v>
      </c>
      <c r="E215" s="26">
        <f t="shared" si="37"/>
        <v>84.55</v>
      </c>
    </row>
    <row r="216">
      <c r="A216" s="22" t="s">
        <v>100</v>
      </c>
      <c r="B216" s="24">
        <v>507.0</v>
      </c>
      <c r="C216" s="24">
        <v>568.0</v>
      </c>
      <c r="D216" s="24">
        <v>535.0</v>
      </c>
      <c r="E216" s="24">
        <v>559.0</v>
      </c>
    </row>
    <row r="217">
      <c r="A217" s="23" t="s">
        <v>471</v>
      </c>
      <c r="B217" s="32" t="s">
        <v>1019</v>
      </c>
      <c r="C217" s="32" t="s">
        <v>984</v>
      </c>
      <c r="D217" s="32" t="s">
        <v>858</v>
      </c>
      <c r="E217" s="32" t="s">
        <v>984</v>
      </c>
    </row>
    <row r="218">
      <c r="A218" s="22" t="s">
        <v>178</v>
      </c>
      <c r="B218" s="24" t="s">
        <v>1058</v>
      </c>
      <c r="C218" s="24" t="s">
        <v>1059</v>
      </c>
      <c r="D218" s="18"/>
      <c r="E218" s="18"/>
    </row>
    <row r="219">
      <c r="A219" s="22" t="s">
        <v>103</v>
      </c>
      <c r="B219" s="24" t="s">
        <v>1060</v>
      </c>
      <c r="D219" s="24" t="s">
        <v>1061</v>
      </c>
    </row>
    <row r="222">
      <c r="A222" s="19" t="s">
        <v>50</v>
      </c>
      <c r="B222" s="20" t="s">
        <v>1062</v>
      </c>
    </row>
    <row r="223">
      <c r="B223" s="21" t="s">
        <v>4</v>
      </c>
      <c r="C223" s="21" t="s">
        <v>5</v>
      </c>
      <c r="D223" s="21" t="s">
        <v>6</v>
      </c>
      <c r="E223" s="21" t="s">
        <v>7</v>
      </c>
    </row>
    <row r="224">
      <c r="A224" s="22" t="s">
        <v>91</v>
      </c>
      <c r="B224" s="24">
        <v>81.2</v>
      </c>
      <c r="C224" s="24">
        <v>80.1</v>
      </c>
      <c r="D224" s="24">
        <v>86.1</v>
      </c>
      <c r="E224" s="24">
        <v>83.6</v>
      </c>
    </row>
    <row r="225">
      <c r="A225" s="22" t="s">
        <v>92</v>
      </c>
      <c r="B225" s="24">
        <v>6.0</v>
      </c>
      <c r="C225" s="24">
        <v>4.0</v>
      </c>
      <c r="D225" s="24">
        <v>9.0</v>
      </c>
      <c r="E225" s="24">
        <v>3.0</v>
      </c>
    </row>
    <row r="226">
      <c r="A226" s="22" t="s">
        <v>93</v>
      </c>
      <c r="B226" s="24">
        <f t="shared" ref="B226:E226" si="38">B209-B225</f>
        <v>18852</v>
      </c>
      <c r="C226" s="24">
        <f t="shared" si="38"/>
        <v>19574</v>
      </c>
      <c r="D226" s="24">
        <f t="shared" si="38"/>
        <v>19244</v>
      </c>
      <c r="E226" s="24">
        <f t="shared" si="38"/>
        <v>19831</v>
      </c>
    </row>
    <row r="227">
      <c r="A227" s="22" t="s">
        <v>94</v>
      </c>
      <c r="B227" s="23">
        <f t="shared" ref="B227:E227" si="39">B233*30</f>
        <v>15270</v>
      </c>
      <c r="C227" s="23">
        <f t="shared" si="39"/>
        <v>16560</v>
      </c>
      <c r="D227" s="23">
        <f t="shared" si="39"/>
        <v>15870</v>
      </c>
      <c r="E227" s="23">
        <f t="shared" si="39"/>
        <v>16740</v>
      </c>
    </row>
    <row r="228">
      <c r="A228" s="22" t="s">
        <v>95</v>
      </c>
      <c r="B228" s="24">
        <v>18.0</v>
      </c>
      <c r="C228" s="24">
        <v>27.0</v>
      </c>
      <c r="D228" s="24">
        <v>14.0</v>
      </c>
      <c r="E228" s="24">
        <v>24.0</v>
      </c>
    </row>
    <row r="229">
      <c r="A229" s="22" t="s">
        <v>96</v>
      </c>
      <c r="B229" s="24">
        <v>21.0</v>
      </c>
      <c r="C229" s="24">
        <v>19.0</v>
      </c>
      <c r="D229" s="24">
        <v>42.0</v>
      </c>
      <c r="E229" s="24">
        <v>31.0</v>
      </c>
    </row>
    <row r="230">
      <c r="A230" s="22" t="s">
        <v>111</v>
      </c>
      <c r="B230" s="24">
        <v>55.0</v>
      </c>
      <c r="C230" s="24">
        <v>55.0</v>
      </c>
      <c r="D230" s="24">
        <v>55.0</v>
      </c>
      <c r="E230" s="24"/>
    </row>
    <row r="231">
      <c r="A231" s="22" t="s">
        <v>98</v>
      </c>
      <c r="B231" s="24">
        <v>1.0</v>
      </c>
      <c r="C231" s="24">
        <v>1.0</v>
      </c>
      <c r="D231" s="23">
        <v>1.0</v>
      </c>
      <c r="E231" s="24">
        <v>2.0</v>
      </c>
    </row>
    <row r="232">
      <c r="A232" s="22" t="s">
        <v>112</v>
      </c>
      <c r="B232" s="26">
        <f t="shared" ref="B232:E232" si="40">round(((B227/B226)*100),2)</f>
        <v>81</v>
      </c>
      <c r="C232" s="26">
        <f t="shared" si="40"/>
        <v>84.6</v>
      </c>
      <c r="D232" s="26">
        <f t="shared" si="40"/>
        <v>82.47</v>
      </c>
      <c r="E232" s="26">
        <f t="shared" si="40"/>
        <v>84.41</v>
      </c>
    </row>
    <row r="233">
      <c r="A233" s="22" t="s">
        <v>100</v>
      </c>
      <c r="B233" s="24">
        <v>509.0</v>
      </c>
      <c r="C233" s="24">
        <v>552.0</v>
      </c>
      <c r="D233" s="24">
        <v>529.0</v>
      </c>
      <c r="E233" s="24">
        <v>558.0</v>
      </c>
    </row>
    <row r="234">
      <c r="A234" s="23" t="s">
        <v>471</v>
      </c>
      <c r="B234" s="32" t="s">
        <v>1019</v>
      </c>
      <c r="C234" s="32" t="s">
        <v>984</v>
      </c>
      <c r="D234" s="32" t="s">
        <v>858</v>
      </c>
      <c r="E234" s="32" t="s">
        <v>984</v>
      </c>
    </row>
    <row r="235">
      <c r="A235" s="22" t="s">
        <v>178</v>
      </c>
      <c r="B235" s="24" t="s">
        <v>1058</v>
      </c>
      <c r="C235" s="24" t="s">
        <v>1063</v>
      </c>
      <c r="D235" s="18"/>
      <c r="E235" s="18"/>
    </row>
    <row r="236">
      <c r="A236" s="22" t="s">
        <v>103</v>
      </c>
      <c r="B236" s="24" t="s">
        <v>1064</v>
      </c>
      <c r="D236" s="24" t="s">
        <v>1065</v>
      </c>
    </row>
    <row r="239">
      <c r="A239" s="19" t="s">
        <v>50</v>
      </c>
      <c r="B239" s="20" t="s">
        <v>1066</v>
      </c>
    </row>
    <row r="240">
      <c r="B240" s="21" t="s">
        <v>4</v>
      </c>
      <c r="C240" s="21" t="s">
        <v>5</v>
      </c>
      <c r="D240" s="21" t="s">
        <v>6</v>
      </c>
      <c r="E240" s="21" t="s">
        <v>7</v>
      </c>
    </row>
    <row r="241">
      <c r="A241" s="22" t="s">
        <v>91</v>
      </c>
      <c r="B241" s="24">
        <v>81.3</v>
      </c>
      <c r="C241" s="24">
        <v>80.2</v>
      </c>
      <c r="D241" s="24">
        <v>86.2</v>
      </c>
      <c r="E241" s="24">
        <v>83.7</v>
      </c>
    </row>
    <row r="242">
      <c r="A242" s="22" t="s">
        <v>92</v>
      </c>
      <c r="B242" s="24">
        <v>12.0</v>
      </c>
      <c r="C242" s="24">
        <v>5.0</v>
      </c>
      <c r="D242" s="24">
        <v>9.0</v>
      </c>
      <c r="E242" s="24">
        <v>5.0</v>
      </c>
    </row>
    <row r="243">
      <c r="A243" s="22" t="s">
        <v>93</v>
      </c>
      <c r="B243" s="24">
        <f t="shared" ref="B243:E243" si="41">B226-B242</f>
        <v>18840</v>
      </c>
      <c r="C243" s="24">
        <f t="shared" si="41"/>
        <v>19569</v>
      </c>
      <c r="D243" s="24">
        <f t="shared" si="41"/>
        <v>19235</v>
      </c>
      <c r="E243" s="24">
        <f t="shared" si="41"/>
        <v>19826</v>
      </c>
    </row>
    <row r="244">
      <c r="A244" s="22" t="s">
        <v>94</v>
      </c>
      <c r="B244" s="23">
        <f t="shared" ref="B244:E244" si="42">B250*30</f>
        <v>15330</v>
      </c>
      <c r="C244" s="23">
        <f t="shared" si="42"/>
        <v>16950</v>
      </c>
      <c r="D244" s="23">
        <f t="shared" si="42"/>
        <v>15990</v>
      </c>
      <c r="E244" s="23">
        <f t="shared" si="42"/>
        <v>16740</v>
      </c>
    </row>
    <row r="245">
      <c r="A245" s="22" t="s">
        <v>95</v>
      </c>
      <c r="B245" s="24">
        <v>12.0</v>
      </c>
      <c r="C245" s="24">
        <v>21.0</v>
      </c>
      <c r="D245" s="24">
        <v>30.0</v>
      </c>
      <c r="E245" s="24">
        <v>36.0</v>
      </c>
    </row>
    <row r="246">
      <c r="A246" s="22" t="s">
        <v>96</v>
      </c>
      <c r="B246" s="24">
        <v>12.0</v>
      </c>
      <c r="C246" s="24">
        <v>9.0</v>
      </c>
      <c r="D246" s="24">
        <v>60.0</v>
      </c>
      <c r="E246" s="24">
        <v>27.0</v>
      </c>
    </row>
    <row r="247">
      <c r="A247" s="22" t="s">
        <v>111</v>
      </c>
      <c r="B247" s="24"/>
      <c r="C247" s="24"/>
      <c r="D247" s="24"/>
      <c r="E247" s="24"/>
    </row>
    <row r="248">
      <c r="A248" s="22" t="s">
        <v>98</v>
      </c>
      <c r="B248" s="24">
        <v>1.0</v>
      </c>
      <c r="C248" s="24">
        <v>1.0</v>
      </c>
      <c r="D248" s="23">
        <v>1.0</v>
      </c>
      <c r="E248" s="24">
        <v>1.0</v>
      </c>
    </row>
    <row r="249">
      <c r="A249" s="22" t="s">
        <v>112</v>
      </c>
      <c r="B249" s="26">
        <f t="shared" ref="B249:E249" si="43">round(((B244/B243)*100),2)</f>
        <v>81.37</v>
      </c>
      <c r="C249" s="26">
        <f t="shared" si="43"/>
        <v>86.62</v>
      </c>
      <c r="D249" s="26">
        <f t="shared" si="43"/>
        <v>83.13</v>
      </c>
      <c r="E249" s="26">
        <f t="shared" si="43"/>
        <v>84.43</v>
      </c>
    </row>
    <row r="250">
      <c r="A250" s="22" t="s">
        <v>100</v>
      </c>
      <c r="B250" s="24">
        <v>511.0</v>
      </c>
      <c r="C250" s="24">
        <v>565.0</v>
      </c>
      <c r="D250" s="24">
        <v>533.0</v>
      </c>
      <c r="E250" s="24">
        <v>558.0</v>
      </c>
    </row>
    <row r="251">
      <c r="A251" s="23" t="s">
        <v>471</v>
      </c>
      <c r="B251" s="32" t="s">
        <v>1019</v>
      </c>
      <c r="C251" s="32" t="s">
        <v>984</v>
      </c>
      <c r="D251" s="32" t="s">
        <v>858</v>
      </c>
      <c r="E251" s="32" t="s">
        <v>984</v>
      </c>
    </row>
    <row r="252">
      <c r="A252" s="22" t="s">
        <v>178</v>
      </c>
      <c r="B252" s="24" t="s">
        <v>1067</v>
      </c>
      <c r="C252" s="24" t="s">
        <v>1068</v>
      </c>
      <c r="D252" s="18"/>
      <c r="E252" s="18"/>
    </row>
    <row r="253">
      <c r="A253" s="22" t="s">
        <v>103</v>
      </c>
      <c r="B253" s="24"/>
      <c r="D253" s="24" t="s">
        <v>1069</v>
      </c>
    </row>
    <row r="256">
      <c r="A256" s="19" t="s">
        <v>50</v>
      </c>
      <c r="B256" s="20" t="s">
        <v>1070</v>
      </c>
    </row>
    <row r="257">
      <c r="B257" s="21" t="s">
        <v>4</v>
      </c>
      <c r="C257" s="21" t="s">
        <v>5</v>
      </c>
      <c r="D257" s="21" t="s">
        <v>6</v>
      </c>
      <c r="E257" s="21" t="s">
        <v>7</v>
      </c>
    </row>
    <row r="258">
      <c r="A258" s="22" t="s">
        <v>91</v>
      </c>
      <c r="B258" s="24">
        <v>81.4</v>
      </c>
      <c r="C258" s="24">
        <v>80.3</v>
      </c>
      <c r="D258" s="24">
        <v>86.3</v>
      </c>
      <c r="E258" s="24">
        <v>84.1</v>
      </c>
    </row>
    <row r="259">
      <c r="A259" s="22" t="s">
        <v>92</v>
      </c>
      <c r="B259" s="24">
        <v>10.0</v>
      </c>
      <c r="C259" s="24">
        <v>5.0</v>
      </c>
      <c r="D259" s="24">
        <v>11.0</v>
      </c>
      <c r="E259" s="24">
        <v>7.0</v>
      </c>
    </row>
    <row r="260">
      <c r="A260" s="22" t="s">
        <v>93</v>
      </c>
      <c r="B260" s="24">
        <f t="shared" ref="B260:E260" si="44">B243-B259</f>
        <v>18830</v>
      </c>
      <c r="C260" s="24">
        <f t="shared" si="44"/>
        <v>19564</v>
      </c>
      <c r="D260" s="24">
        <f t="shared" si="44"/>
        <v>19224</v>
      </c>
      <c r="E260" s="24">
        <f t="shared" si="44"/>
        <v>19819</v>
      </c>
    </row>
    <row r="261">
      <c r="A261" s="22" t="s">
        <v>94</v>
      </c>
      <c r="B261" s="23">
        <f t="shared" ref="B261:E261" si="45">B267*30</f>
        <v>15330</v>
      </c>
      <c r="C261" s="23">
        <f t="shared" si="45"/>
        <v>16860</v>
      </c>
      <c r="D261" s="23">
        <f t="shared" si="45"/>
        <v>16110</v>
      </c>
      <c r="E261" s="23">
        <f t="shared" si="45"/>
        <v>16770</v>
      </c>
    </row>
    <row r="262">
      <c r="A262" s="22" t="s">
        <v>95</v>
      </c>
      <c r="B262" s="24">
        <v>9.0</v>
      </c>
      <c r="C262" s="24">
        <v>22.0</v>
      </c>
      <c r="D262" s="24">
        <v>30.0</v>
      </c>
      <c r="E262" s="24">
        <v>21.0</v>
      </c>
    </row>
    <row r="263">
      <c r="A263" s="22" t="s">
        <v>96</v>
      </c>
      <c r="B263" s="24">
        <v>21.0</v>
      </c>
      <c r="C263" s="24">
        <v>8.0</v>
      </c>
      <c r="D263" s="24">
        <v>45.0</v>
      </c>
      <c r="E263" s="24">
        <v>15.0</v>
      </c>
    </row>
    <row r="264">
      <c r="A264" s="22" t="s">
        <v>111</v>
      </c>
      <c r="B264" s="24">
        <v>110.0</v>
      </c>
      <c r="C264" s="24">
        <v>110.0</v>
      </c>
      <c r="D264" s="24">
        <v>110.0</v>
      </c>
      <c r="E264" s="24">
        <v>110.0</v>
      </c>
    </row>
    <row r="265">
      <c r="A265" s="22" t="s">
        <v>98</v>
      </c>
      <c r="B265" s="24">
        <v>1.0</v>
      </c>
      <c r="C265" s="24">
        <v>1.0</v>
      </c>
      <c r="D265" s="23">
        <v>1.0</v>
      </c>
      <c r="E265" s="24">
        <v>1.0</v>
      </c>
    </row>
    <row r="266">
      <c r="A266" s="22" t="s">
        <v>112</v>
      </c>
      <c r="B266" s="26">
        <f t="shared" ref="B266:E266" si="46">round(((B261/B260)*100),2)</f>
        <v>81.41</v>
      </c>
      <c r="C266" s="26">
        <f t="shared" si="46"/>
        <v>86.18</v>
      </c>
      <c r="D266" s="26">
        <f t="shared" si="46"/>
        <v>83.8</v>
      </c>
      <c r="E266" s="26">
        <f t="shared" si="46"/>
        <v>84.62</v>
      </c>
    </row>
    <row r="267">
      <c r="A267" s="22" t="s">
        <v>100</v>
      </c>
      <c r="B267" s="24">
        <v>511.0</v>
      </c>
      <c r="C267" s="24">
        <v>562.0</v>
      </c>
      <c r="D267" s="24">
        <v>537.0</v>
      </c>
      <c r="E267" s="24">
        <v>559.0</v>
      </c>
    </row>
    <row r="268">
      <c r="A268" s="23" t="s">
        <v>471</v>
      </c>
      <c r="B268" s="32" t="s">
        <v>1019</v>
      </c>
      <c r="C268" s="32" t="s">
        <v>984</v>
      </c>
      <c r="D268" s="32" t="s">
        <v>858</v>
      </c>
      <c r="E268" s="32" t="s">
        <v>984</v>
      </c>
    </row>
    <row r="269">
      <c r="A269" s="22" t="s">
        <v>178</v>
      </c>
      <c r="B269" s="24" t="s">
        <v>1071</v>
      </c>
      <c r="C269" s="24" t="s">
        <v>1072</v>
      </c>
      <c r="D269" s="18"/>
      <c r="E269" s="18"/>
    </row>
    <row r="270">
      <c r="A270" s="22" t="s">
        <v>103</v>
      </c>
      <c r="B270" s="24" t="s">
        <v>1073</v>
      </c>
      <c r="D270" s="24" t="s">
        <v>1074</v>
      </c>
    </row>
    <row r="273">
      <c r="A273" s="19" t="s">
        <v>50</v>
      </c>
      <c r="B273" s="20" t="s">
        <v>1075</v>
      </c>
    </row>
    <row r="274">
      <c r="B274" s="21" t="s">
        <v>4</v>
      </c>
      <c r="C274" s="21" t="s">
        <v>5</v>
      </c>
      <c r="D274" s="21" t="s">
        <v>6</v>
      </c>
      <c r="E274" s="21" t="s">
        <v>7</v>
      </c>
    </row>
    <row r="275">
      <c r="A275" s="22" t="s">
        <v>91</v>
      </c>
      <c r="B275" s="24">
        <v>81.5</v>
      </c>
      <c r="C275" s="24">
        <v>80.4</v>
      </c>
      <c r="D275" s="24">
        <v>86.4</v>
      </c>
      <c r="E275" s="24">
        <v>84.2</v>
      </c>
    </row>
    <row r="276">
      <c r="A276" s="22" t="s">
        <v>92</v>
      </c>
      <c r="B276" s="24">
        <v>4.0</v>
      </c>
      <c r="C276" s="24">
        <v>10.0</v>
      </c>
      <c r="D276" s="24">
        <v>16.0</v>
      </c>
      <c r="E276" s="24">
        <v>8.0</v>
      </c>
    </row>
    <row r="277">
      <c r="A277" s="22" t="s">
        <v>93</v>
      </c>
      <c r="B277" s="24">
        <f t="shared" ref="B277:E277" si="47">B260-B276</f>
        <v>18826</v>
      </c>
      <c r="C277" s="24">
        <f t="shared" si="47"/>
        <v>19554</v>
      </c>
      <c r="D277" s="24">
        <f t="shared" si="47"/>
        <v>19208</v>
      </c>
      <c r="E277" s="24">
        <f t="shared" si="47"/>
        <v>19811</v>
      </c>
    </row>
    <row r="278">
      <c r="A278" s="22" t="s">
        <v>94</v>
      </c>
      <c r="B278" s="23">
        <f t="shared" ref="B278:E278" si="48">B284*30</f>
        <v>14970</v>
      </c>
      <c r="C278" s="23">
        <f t="shared" si="48"/>
        <v>16740</v>
      </c>
      <c r="D278" s="23">
        <f t="shared" si="48"/>
        <v>15780</v>
      </c>
      <c r="E278" s="23">
        <f t="shared" si="48"/>
        <v>16920</v>
      </c>
    </row>
    <row r="279">
      <c r="A279" s="22" t="s">
        <v>95</v>
      </c>
      <c r="B279" s="24">
        <v>20.0</v>
      </c>
      <c r="C279" s="24">
        <v>14.0</v>
      </c>
      <c r="D279" s="24">
        <v>30.0</v>
      </c>
      <c r="E279" s="24">
        <v>32.0</v>
      </c>
    </row>
    <row r="280">
      <c r="A280" s="22" t="s">
        <v>96</v>
      </c>
      <c r="B280" s="24">
        <v>32.0</v>
      </c>
      <c r="C280" s="24">
        <v>9.0</v>
      </c>
      <c r="D280" s="24">
        <v>64.0</v>
      </c>
      <c r="E280" s="24">
        <v>30.0</v>
      </c>
    </row>
    <row r="281">
      <c r="A281" s="22" t="s">
        <v>111</v>
      </c>
      <c r="B281" s="24"/>
      <c r="C281" s="24"/>
      <c r="D281" s="24"/>
      <c r="E281" s="24"/>
    </row>
    <row r="282">
      <c r="A282" s="22" t="s">
        <v>98</v>
      </c>
      <c r="B282" s="24">
        <v>1.0</v>
      </c>
      <c r="C282" s="24">
        <v>2.0</v>
      </c>
      <c r="D282" s="23">
        <v>1.0</v>
      </c>
      <c r="E282" s="24">
        <v>1.0</v>
      </c>
    </row>
    <row r="283">
      <c r="A283" s="22" t="s">
        <v>112</v>
      </c>
      <c r="B283" s="26">
        <f t="shared" ref="B283:E283" si="49">round(((B278/B277)*100),2)</f>
        <v>79.52</v>
      </c>
      <c r="C283" s="26">
        <f t="shared" si="49"/>
        <v>85.61</v>
      </c>
      <c r="D283" s="26">
        <f t="shared" si="49"/>
        <v>82.15</v>
      </c>
      <c r="E283" s="26">
        <f t="shared" si="49"/>
        <v>85.41</v>
      </c>
    </row>
    <row r="284">
      <c r="A284" s="22" t="s">
        <v>100</v>
      </c>
      <c r="B284" s="24">
        <v>499.0</v>
      </c>
      <c r="C284" s="24">
        <v>558.0</v>
      </c>
      <c r="D284" s="24">
        <v>526.0</v>
      </c>
      <c r="E284" s="24">
        <v>564.0</v>
      </c>
    </row>
    <row r="285">
      <c r="A285" s="23" t="s">
        <v>471</v>
      </c>
      <c r="B285" s="32" t="s">
        <v>1019</v>
      </c>
      <c r="C285" s="32" t="s">
        <v>984</v>
      </c>
      <c r="D285" s="32" t="s">
        <v>858</v>
      </c>
      <c r="E285" s="32" t="s">
        <v>984</v>
      </c>
    </row>
    <row r="286">
      <c r="A286" s="22" t="s">
        <v>178</v>
      </c>
      <c r="B286" s="24" t="s">
        <v>1067</v>
      </c>
      <c r="C286" s="24" t="s">
        <v>1076</v>
      </c>
      <c r="D286" s="18"/>
      <c r="E286" s="18"/>
    </row>
    <row r="287">
      <c r="A287" s="22" t="s">
        <v>103</v>
      </c>
      <c r="B287" s="24" t="s">
        <v>1077</v>
      </c>
      <c r="D287" s="24" t="s">
        <v>1078</v>
      </c>
    </row>
    <row r="290">
      <c r="A290" s="19" t="s">
        <v>50</v>
      </c>
      <c r="B290" s="20" t="s">
        <v>1079</v>
      </c>
    </row>
    <row r="291">
      <c r="B291" s="21" t="s">
        <v>4</v>
      </c>
      <c r="C291" s="21" t="s">
        <v>5</v>
      </c>
      <c r="D291" s="21" t="s">
        <v>6</v>
      </c>
      <c r="E291" s="21" t="s">
        <v>7</v>
      </c>
    </row>
    <row r="292">
      <c r="A292" s="22" t="s">
        <v>91</v>
      </c>
      <c r="B292" s="24">
        <v>81.7</v>
      </c>
      <c r="C292" s="24">
        <v>80.6</v>
      </c>
      <c r="D292" s="24">
        <v>86.6</v>
      </c>
      <c r="E292" s="24">
        <v>84.4</v>
      </c>
    </row>
    <row r="293">
      <c r="A293" s="22" t="s">
        <v>92</v>
      </c>
      <c r="B293" s="24">
        <v>6.0</v>
      </c>
      <c r="C293" s="24">
        <v>8.0</v>
      </c>
      <c r="D293" s="24">
        <v>9.0</v>
      </c>
      <c r="E293" s="24">
        <v>8.0</v>
      </c>
    </row>
    <row r="294">
      <c r="A294" s="22" t="s">
        <v>93</v>
      </c>
      <c r="B294" s="24">
        <f t="shared" ref="B294:E294" si="50">B277-B293</f>
        <v>18820</v>
      </c>
      <c r="C294" s="24">
        <f t="shared" si="50"/>
        <v>19546</v>
      </c>
      <c r="D294" s="24">
        <f t="shared" si="50"/>
        <v>19199</v>
      </c>
      <c r="E294" s="24">
        <f t="shared" si="50"/>
        <v>19803</v>
      </c>
    </row>
    <row r="295">
      <c r="A295" s="22" t="s">
        <v>94</v>
      </c>
      <c r="B295" s="23">
        <f t="shared" ref="B295:E295" si="51">B301*30</f>
        <v>14820</v>
      </c>
      <c r="C295" s="23">
        <f t="shared" si="51"/>
        <v>16200</v>
      </c>
      <c r="D295" s="23">
        <f t="shared" si="51"/>
        <v>15570</v>
      </c>
      <c r="E295" s="23">
        <f t="shared" si="51"/>
        <v>16620</v>
      </c>
    </row>
    <row r="296">
      <c r="A296" s="22" t="s">
        <v>95</v>
      </c>
      <c r="B296" s="24">
        <v>120.0</v>
      </c>
      <c r="C296" s="24">
        <v>12.0</v>
      </c>
      <c r="D296" s="24">
        <v>20.0</v>
      </c>
      <c r="E296" s="24">
        <v>34.0</v>
      </c>
    </row>
    <row r="297">
      <c r="A297" s="22" t="s">
        <v>96</v>
      </c>
      <c r="B297" s="24">
        <v>32.0</v>
      </c>
      <c r="C297" s="24">
        <v>6.0</v>
      </c>
      <c r="D297" s="24">
        <v>15.0</v>
      </c>
      <c r="E297" s="24">
        <v>30.0</v>
      </c>
    </row>
    <row r="298">
      <c r="A298" s="22" t="s">
        <v>111</v>
      </c>
      <c r="B298" s="24">
        <v>110.0</v>
      </c>
      <c r="C298" s="24">
        <v>110.0</v>
      </c>
      <c r="D298" s="24">
        <v>110.0</v>
      </c>
      <c r="E298" s="24">
        <v>110.0</v>
      </c>
    </row>
    <row r="299">
      <c r="A299" s="22" t="s">
        <v>98</v>
      </c>
      <c r="B299" s="24">
        <v>1.0</v>
      </c>
      <c r="C299" s="24">
        <v>1.0</v>
      </c>
      <c r="D299" s="24">
        <v>1.0</v>
      </c>
      <c r="E299" s="24">
        <v>1.0</v>
      </c>
    </row>
    <row r="300">
      <c r="A300" s="22" t="s">
        <v>112</v>
      </c>
      <c r="B300" s="26">
        <f t="shared" ref="B300:E300" si="52">round(((B295/B294)*100),2)</f>
        <v>78.75</v>
      </c>
      <c r="C300" s="26">
        <f t="shared" si="52"/>
        <v>82.88</v>
      </c>
      <c r="D300" s="26">
        <f t="shared" si="52"/>
        <v>81.1</v>
      </c>
      <c r="E300" s="26">
        <f t="shared" si="52"/>
        <v>83.93</v>
      </c>
    </row>
    <row r="301">
      <c r="A301" s="22" t="s">
        <v>100</v>
      </c>
      <c r="B301" s="24">
        <v>494.0</v>
      </c>
      <c r="C301" s="24">
        <v>540.0</v>
      </c>
      <c r="D301" s="24">
        <v>519.0</v>
      </c>
      <c r="E301" s="24">
        <v>554.0</v>
      </c>
    </row>
    <row r="302">
      <c r="A302" s="23" t="s">
        <v>471</v>
      </c>
      <c r="B302" s="32" t="s">
        <v>1019</v>
      </c>
      <c r="C302" s="32" t="s">
        <v>984</v>
      </c>
      <c r="D302" s="32" t="s">
        <v>858</v>
      </c>
      <c r="E302" s="32" t="s">
        <v>984</v>
      </c>
    </row>
    <row r="303">
      <c r="A303" s="22" t="s">
        <v>178</v>
      </c>
      <c r="B303" s="24" t="s">
        <v>999</v>
      </c>
      <c r="C303" s="24" t="s">
        <v>1080</v>
      </c>
      <c r="D303" s="18"/>
      <c r="E303" s="18"/>
    </row>
    <row r="304">
      <c r="A304" s="22" t="s">
        <v>103</v>
      </c>
      <c r="B304" s="24" t="s">
        <v>1081</v>
      </c>
      <c r="D304" s="24" t="s">
        <v>1082</v>
      </c>
    </row>
    <row r="307">
      <c r="A307" s="19" t="s">
        <v>50</v>
      </c>
      <c r="B307" s="20" t="s">
        <v>1083</v>
      </c>
    </row>
    <row r="308">
      <c r="B308" s="21" t="s">
        <v>4</v>
      </c>
      <c r="C308" s="21" t="s">
        <v>5</v>
      </c>
      <c r="D308" s="21" t="s">
        <v>6</v>
      </c>
      <c r="E308" s="21" t="s">
        <v>7</v>
      </c>
    </row>
    <row r="309">
      <c r="A309" s="22" t="s">
        <v>91</v>
      </c>
      <c r="B309" s="24">
        <v>82.1</v>
      </c>
      <c r="C309" s="24">
        <v>80.7</v>
      </c>
      <c r="D309" s="24">
        <v>86.7</v>
      </c>
      <c r="E309" s="24">
        <v>84.5</v>
      </c>
    </row>
    <row r="310">
      <c r="A310" s="22" t="s">
        <v>92</v>
      </c>
      <c r="B310" s="24">
        <v>9.0</v>
      </c>
      <c r="C310" s="24">
        <v>3.0</v>
      </c>
      <c r="D310" s="24">
        <v>15.0</v>
      </c>
      <c r="E310" s="24">
        <v>8.0</v>
      </c>
    </row>
    <row r="311">
      <c r="A311" s="22" t="s">
        <v>93</v>
      </c>
      <c r="B311" s="24">
        <f t="shared" ref="B311:E311" si="53">B294-B310</f>
        <v>18811</v>
      </c>
      <c r="C311" s="24">
        <f t="shared" si="53"/>
        <v>19543</v>
      </c>
      <c r="D311" s="24">
        <f t="shared" si="53"/>
        <v>19184</v>
      </c>
      <c r="E311" s="24">
        <f t="shared" si="53"/>
        <v>19795</v>
      </c>
    </row>
    <row r="312">
      <c r="A312" s="22" t="s">
        <v>94</v>
      </c>
      <c r="B312" s="23">
        <f t="shared" ref="B312:E312" si="54">B318*30</f>
        <v>14490</v>
      </c>
      <c r="C312" s="23">
        <f t="shared" si="54"/>
        <v>16170</v>
      </c>
      <c r="D312" s="23">
        <f t="shared" si="54"/>
        <v>15330</v>
      </c>
      <c r="E312" s="23">
        <f t="shared" si="54"/>
        <v>16080</v>
      </c>
    </row>
    <row r="313">
      <c r="A313" s="22" t="s">
        <v>95</v>
      </c>
      <c r="B313" s="24">
        <v>11.0</v>
      </c>
      <c r="C313" s="24">
        <v>22.0</v>
      </c>
      <c r="D313" s="24">
        <v>24.0</v>
      </c>
      <c r="E313" s="24">
        <v>33.0</v>
      </c>
    </row>
    <row r="314">
      <c r="A314" s="22" t="s">
        <v>96</v>
      </c>
      <c r="B314" s="24">
        <v>28.0</v>
      </c>
      <c r="C314" s="24">
        <v>20.0</v>
      </c>
      <c r="D314" s="24">
        <v>9.0</v>
      </c>
      <c r="E314" s="24">
        <v>28.0</v>
      </c>
    </row>
    <row r="315">
      <c r="A315" s="22" t="s">
        <v>111</v>
      </c>
      <c r="B315" s="24"/>
      <c r="C315" s="24"/>
      <c r="D315" s="24"/>
      <c r="E315" s="24"/>
    </row>
    <row r="316">
      <c r="A316" s="22" t="s">
        <v>98</v>
      </c>
      <c r="B316" s="24">
        <v>1.0</v>
      </c>
      <c r="C316" s="24">
        <v>1.0</v>
      </c>
      <c r="D316" s="24">
        <v>1.0</v>
      </c>
      <c r="E316" s="24">
        <v>1.0</v>
      </c>
    </row>
    <row r="317">
      <c r="A317" s="22" t="s">
        <v>112</v>
      </c>
      <c r="B317" s="26">
        <f t="shared" ref="B317:E317" si="55">round(((B312/B311)*100),2)</f>
        <v>77.03</v>
      </c>
      <c r="C317" s="26">
        <f t="shared" si="55"/>
        <v>82.74</v>
      </c>
      <c r="D317" s="26">
        <f t="shared" si="55"/>
        <v>79.91</v>
      </c>
      <c r="E317" s="26">
        <f t="shared" si="55"/>
        <v>81.23</v>
      </c>
    </row>
    <row r="318">
      <c r="A318" s="22" t="s">
        <v>100</v>
      </c>
      <c r="B318" s="24">
        <v>483.0</v>
      </c>
      <c r="C318" s="24">
        <v>539.0</v>
      </c>
      <c r="D318" s="24">
        <v>511.0</v>
      </c>
      <c r="E318" s="24">
        <v>536.0</v>
      </c>
    </row>
    <row r="319">
      <c r="A319" s="23" t="s">
        <v>471</v>
      </c>
      <c r="B319" s="32" t="s">
        <v>1019</v>
      </c>
      <c r="C319" s="32" t="s">
        <v>984</v>
      </c>
      <c r="D319" s="32" t="s">
        <v>858</v>
      </c>
      <c r="E319" s="32" t="s">
        <v>984</v>
      </c>
    </row>
    <row r="320">
      <c r="A320" s="22" t="s">
        <v>178</v>
      </c>
      <c r="B320" s="24" t="s">
        <v>1084</v>
      </c>
      <c r="C320" s="24" t="s">
        <v>1085</v>
      </c>
      <c r="D320" s="18"/>
      <c r="E320" s="18"/>
    </row>
    <row r="321">
      <c r="A321" s="22" t="s">
        <v>103</v>
      </c>
      <c r="B321" s="24" t="s">
        <v>1086</v>
      </c>
      <c r="D321" s="24" t="s">
        <v>1087</v>
      </c>
    </row>
    <row r="324">
      <c r="A324" s="19" t="s">
        <v>50</v>
      </c>
      <c r="B324" s="20" t="s">
        <v>1088</v>
      </c>
    </row>
    <row r="325">
      <c r="B325" s="21" t="s">
        <v>4</v>
      </c>
      <c r="C325" s="21" t="s">
        <v>5</v>
      </c>
      <c r="D325" s="21" t="s">
        <v>6</v>
      </c>
      <c r="E325" s="21" t="s">
        <v>7</v>
      </c>
    </row>
    <row r="326">
      <c r="A326" s="22" t="s">
        <v>91</v>
      </c>
      <c r="B326" s="24">
        <v>82.2</v>
      </c>
      <c r="C326" s="24">
        <v>81.1</v>
      </c>
      <c r="D326" s="24">
        <v>87.1</v>
      </c>
      <c r="E326" s="24">
        <v>84.6</v>
      </c>
    </row>
    <row r="327">
      <c r="A327" s="22" t="s">
        <v>92</v>
      </c>
      <c r="B327" s="24">
        <v>13.0</v>
      </c>
      <c r="C327" s="24">
        <v>5.0</v>
      </c>
      <c r="D327" s="24">
        <v>12.0</v>
      </c>
      <c r="E327" s="24">
        <v>6.0</v>
      </c>
    </row>
    <row r="328">
      <c r="A328" s="22" t="s">
        <v>93</v>
      </c>
      <c r="B328" s="24">
        <f t="shared" ref="B328:E328" si="56">B311-B327</f>
        <v>18798</v>
      </c>
      <c r="C328" s="24">
        <f t="shared" si="56"/>
        <v>19538</v>
      </c>
      <c r="D328" s="24">
        <f t="shared" si="56"/>
        <v>19172</v>
      </c>
      <c r="E328" s="24">
        <f t="shared" si="56"/>
        <v>19789</v>
      </c>
    </row>
    <row r="329">
      <c r="A329" s="22" t="s">
        <v>94</v>
      </c>
      <c r="B329" s="23">
        <f t="shared" ref="B329:E329" si="57">B335*30</f>
        <v>14940</v>
      </c>
      <c r="C329" s="23">
        <f t="shared" si="57"/>
        <v>16380</v>
      </c>
      <c r="D329" s="23">
        <f t="shared" si="57"/>
        <v>15570</v>
      </c>
      <c r="E329" s="23">
        <f t="shared" si="57"/>
        <v>16830</v>
      </c>
    </row>
    <row r="330">
      <c r="A330" s="22" t="s">
        <v>95</v>
      </c>
      <c r="B330" s="24">
        <v>22.0</v>
      </c>
      <c r="C330" s="24">
        <v>8.0</v>
      </c>
      <c r="D330" s="24">
        <v>32.0</v>
      </c>
      <c r="E330" s="24">
        <v>30.0</v>
      </c>
    </row>
    <row r="331">
      <c r="A331" s="22" t="s">
        <v>96</v>
      </c>
      <c r="B331" s="24">
        <v>40.0</v>
      </c>
      <c r="C331" s="24">
        <v>10.0</v>
      </c>
      <c r="D331" s="24">
        <v>14.0</v>
      </c>
      <c r="E331" s="24">
        <v>31.0</v>
      </c>
    </row>
    <row r="332">
      <c r="A332" s="22" t="s">
        <v>111</v>
      </c>
      <c r="B332" s="24">
        <v>55.0</v>
      </c>
      <c r="C332" s="24">
        <v>55.0</v>
      </c>
      <c r="D332" s="24">
        <v>55.0</v>
      </c>
      <c r="E332" s="24">
        <v>55.0</v>
      </c>
    </row>
    <row r="333">
      <c r="A333" s="22" t="s">
        <v>98</v>
      </c>
      <c r="B333" s="24">
        <v>1.0</v>
      </c>
      <c r="C333" s="24">
        <v>1.0</v>
      </c>
      <c r="D333" s="24">
        <v>1.0</v>
      </c>
      <c r="E333" s="24">
        <v>1.0</v>
      </c>
    </row>
    <row r="334">
      <c r="A334" s="22" t="s">
        <v>112</v>
      </c>
      <c r="B334" s="26">
        <f t="shared" ref="B334:E334" si="58">round(((B329/B328)*100),2)</f>
        <v>79.48</v>
      </c>
      <c r="C334" s="26">
        <f t="shared" si="58"/>
        <v>83.84</v>
      </c>
      <c r="D334" s="26">
        <f t="shared" si="58"/>
        <v>81.21</v>
      </c>
      <c r="E334" s="26">
        <f t="shared" si="58"/>
        <v>85.05</v>
      </c>
    </row>
    <row r="335">
      <c r="A335" s="22" t="s">
        <v>100</v>
      </c>
      <c r="B335" s="24">
        <v>498.0</v>
      </c>
      <c r="C335" s="24">
        <v>546.0</v>
      </c>
      <c r="D335" s="24">
        <v>519.0</v>
      </c>
      <c r="E335" s="24">
        <v>561.0</v>
      </c>
    </row>
    <row r="336">
      <c r="A336" s="23" t="s">
        <v>471</v>
      </c>
      <c r="B336" s="32" t="s">
        <v>1019</v>
      </c>
      <c r="C336" s="32" t="s">
        <v>984</v>
      </c>
      <c r="D336" s="32" t="s">
        <v>858</v>
      </c>
      <c r="E336" s="32" t="s">
        <v>984</v>
      </c>
    </row>
    <row r="337">
      <c r="A337" s="22" t="s">
        <v>178</v>
      </c>
      <c r="B337" s="24" t="s">
        <v>1089</v>
      </c>
      <c r="C337" s="24" t="s">
        <v>1085</v>
      </c>
      <c r="D337" s="18"/>
      <c r="E337" s="18"/>
    </row>
    <row r="338">
      <c r="A338" s="22" t="s">
        <v>103</v>
      </c>
      <c r="B338" s="24" t="s">
        <v>1090</v>
      </c>
      <c r="D338" s="24" t="s">
        <v>1091</v>
      </c>
    </row>
    <row r="341">
      <c r="A341" s="19" t="s">
        <v>50</v>
      </c>
      <c r="B341" s="20" t="s">
        <v>1092</v>
      </c>
    </row>
    <row r="342">
      <c r="B342" s="21" t="s">
        <v>4</v>
      </c>
      <c r="C342" s="21" t="s">
        <v>5</v>
      </c>
      <c r="D342" s="21" t="s">
        <v>6</v>
      </c>
      <c r="E342" s="21" t="s">
        <v>7</v>
      </c>
    </row>
    <row r="343">
      <c r="A343" s="22" t="s">
        <v>91</v>
      </c>
      <c r="B343" s="24">
        <v>82.3</v>
      </c>
      <c r="C343" s="24">
        <v>81.2</v>
      </c>
      <c r="D343" s="24">
        <v>87.2</v>
      </c>
      <c r="E343" s="24">
        <v>84.7</v>
      </c>
    </row>
    <row r="344">
      <c r="A344" s="22" t="s">
        <v>92</v>
      </c>
      <c r="B344" s="24">
        <v>14.0</v>
      </c>
      <c r="C344" s="24">
        <v>9.0</v>
      </c>
      <c r="D344" s="24">
        <v>10.0</v>
      </c>
      <c r="E344" s="24">
        <v>7.0</v>
      </c>
    </row>
    <row r="345">
      <c r="A345" s="22" t="s">
        <v>93</v>
      </c>
      <c r="B345" s="24">
        <f t="shared" ref="B345:E345" si="59">B328-B344</f>
        <v>18784</v>
      </c>
      <c r="C345" s="24">
        <f t="shared" si="59"/>
        <v>19529</v>
      </c>
      <c r="D345" s="24">
        <f t="shared" si="59"/>
        <v>19162</v>
      </c>
      <c r="E345" s="24">
        <f t="shared" si="59"/>
        <v>19782</v>
      </c>
    </row>
    <row r="346">
      <c r="A346" s="22" t="s">
        <v>94</v>
      </c>
      <c r="B346" s="23">
        <f t="shared" ref="B346:E346" si="60">B352*30</f>
        <v>14880</v>
      </c>
      <c r="C346" s="23">
        <f t="shared" si="60"/>
        <v>16200</v>
      </c>
      <c r="D346" s="23">
        <f t="shared" si="60"/>
        <v>15480</v>
      </c>
      <c r="E346" s="23">
        <f t="shared" si="60"/>
        <v>16410</v>
      </c>
    </row>
    <row r="347">
      <c r="A347" s="22" t="s">
        <v>95</v>
      </c>
      <c r="B347" s="24">
        <v>16.0</v>
      </c>
      <c r="C347" s="24">
        <v>8.0</v>
      </c>
      <c r="D347" s="24">
        <v>32.0</v>
      </c>
      <c r="E347" s="24">
        <v>32.0</v>
      </c>
    </row>
    <row r="348">
      <c r="A348" s="22" t="s">
        <v>96</v>
      </c>
      <c r="B348" s="24">
        <v>37.0</v>
      </c>
      <c r="C348" s="24">
        <v>6.0</v>
      </c>
      <c r="D348" s="24">
        <v>18.0</v>
      </c>
      <c r="E348" s="24">
        <v>20.0</v>
      </c>
    </row>
    <row r="349">
      <c r="A349" s="22" t="s">
        <v>111</v>
      </c>
      <c r="B349" s="24"/>
      <c r="C349" s="24"/>
      <c r="D349" s="24"/>
      <c r="E349" s="24"/>
    </row>
    <row r="350">
      <c r="A350" s="22" t="s">
        <v>98</v>
      </c>
      <c r="B350" s="24">
        <v>1.0</v>
      </c>
      <c r="C350" s="24">
        <v>1.0</v>
      </c>
      <c r="D350" s="24">
        <v>1.0</v>
      </c>
      <c r="E350" s="24">
        <v>1.0</v>
      </c>
    </row>
    <row r="351">
      <c r="A351" s="22" t="s">
        <v>112</v>
      </c>
      <c r="B351" s="26">
        <f t="shared" ref="B351:E351" si="61">round(((B346/B345)*100),2)</f>
        <v>79.22</v>
      </c>
      <c r="C351" s="26">
        <f t="shared" si="61"/>
        <v>82.95</v>
      </c>
      <c r="D351" s="26">
        <f t="shared" si="61"/>
        <v>80.78</v>
      </c>
      <c r="E351" s="26">
        <f t="shared" si="61"/>
        <v>82.95</v>
      </c>
    </row>
    <row r="352">
      <c r="A352" s="22" t="s">
        <v>100</v>
      </c>
      <c r="B352" s="24">
        <v>496.0</v>
      </c>
      <c r="C352" s="24">
        <v>540.0</v>
      </c>
      <c r="D352" s="24">
        <v>516.0</v>
      </c>
      <c r="E352" s="24">
        <v>547.0</v>
      </c>
    </row>
    <row r="353">
      <c r="A353" s="23" t="s">
        <v>471</v>
      </c>
      <c r="B353" s="32" t="s">
        <v>1019</v>
      </c>
      <c r="C353" s="32" t="s">
        <v>984</v>
      </c>
      <c r="D353" s="32" t="s">
        <v>858</v>
      </c>
      <c r="E353" s="32" t="s">
        <v>984</v>
      </c>
    </row>
    <row r="354">
      <c r="A354" s="22" t="s">
        <v>178</v>
      </c>
      <c r="B354" s="24" t="s">
        <v>1058</v>
      </c>
      <c r="C354" s="24" t="s">
        <v>1093</v>
      </c>
      <c r="D354" s="18"/>
      <c r="E354" s="18"/>
    </row>
    <row r="355">
      <c r="A355" s="22" t="s">
        <v>103</v>
      </c>
      <c r="B355" s="24"/>
      <c r="D355" s="24" t="s">
        <v>1094</v>
      </c>
    </row>
    <row r="358">
      <c r="A358" s="19" t="s">
        <v>50</v>
      </c>
      <c r="B358" s="20" t="s">
        <v>1095</v>
      </c>
    </row>
    <row r="359">
      <c r="B359" s="21" t="s">
        <v>4</v>
      </c>
      <c r="C359" s="21" t="s">
        <v>5</v>
      </c>
      <c r="D359" s="21" t="s">
        <v>6</v>
      </c>
      <c r="E359" s="21" t="s">
        <v>7</v>
      </c>
    </row>
    <row r="360">
      <c r="A360" s="22" t="s">
        <v>91</v>
      </c>
      <c r="B360" s="24">
        <v>82.4</v>
      </c>
      <c r="C360" s="24">
        <v>81.3</v>
      </c>
      <c r="D360" s="24">
        <v>87.3</v>
      </c>
      <c r="E360" s="24">
        <v>85.1</v>
      </c>
    </row>
    <row r="361">
      <c r="A361" s="22" t="s">
        <v>92</v>
      </c>
      <c r="B361" s="24">
        <v>11.0</v>
      </c>
      <c r="C361" s="24">
        <v>5.0</v>
      </c>
      <c r="D361" s="24">
        <v>13.0</v>
      </c>
      <c r="E361" s="24">
        <v>10.0</v>
      </c>
    </row>
    <row r="362">
      <c r="A362" s="22" t="s">
        <v>93</v>
      </c>
      <c r="B362" s="24">
        <f t="shared" ref="B362:E362" si="62">B345-B361</f>
        <v>18773</v>
      </c>
      <c r="C362" s="24">
        <f t="shared" si="62"/>
        <v>19524</v>
      </c>
      <c r="D362" s="24">
        <f t="shared" si="62"/>
        <v>19149</v>
      </c>
      <c r="E362" s="24">
        <f t="shared" si="62"/>
        <v>19772</v>
      </c>
    </row>
    <row r="363">
      <c r="A363" s="22" t="s">
        <v>94</v>
      </c>
      <c r="B363" s="23">
        <f t="shared" ref="B363:E363" si="63">B369*30</f>
        <v>14850</v>
      </c>
      <c r="C363" s="23">
        <f t="shared" si="63"/>
        <v>16380</v>
      </c>
      <c r="D363" s="23">
        <f t="shared" si="63"/>
        <v>15420</v>
      </c>
      <c r="E363" s="23">
        <f t="shared" si="63"/>
        <v>16230</v>
      </c>
    </row>
    <row r="364">
      <c r="A364" s="22" t="s">
        <v>95</v>
      </c>
      <c r="B364" s="24">
        <v>17.0</v>
      </c>
      <c r="C364" s="24">
        <v>8.0</v>
      </c>
      <c r="D364" s="24">
        <v>28.0</v>
      </c>
      <c r="E364" s="24">
        <v>17.0</v>
      </c>
    </row>
    <row r="365">
      <c r="A365" s="22" t="s">
        <v>96</v>
      </c>
      <c r="B365" s="24">
        <v>24.0</v>
      </c>
      <c r="C365" s="24">
        <v>11.0</v>
      </c>
      <c r="D365" s="24">
        <v>14.0</v>
      </c>
      <c r="E365" s="24">
        <v>27.0</v>
      </c>
    </row>
    <row r="366">
      <c r="A366" s="22" t="s">
        <v>111</v>
      </c>
      <c r="B366" s="24">
        <v>110.0</v>
      </c>
      <c r="C366" s="24">
        <v>110.0</v>
      </c>
      <c r="D366" s="24">
        <v>110.0</v>
      </c>
      <c r="E366" s="24">
        <v>110.0</v>
      </c>
    </row>
    <row r="367">
      <c r="A367" s="22" t="s">
        <v>98</v>
      </c>
      <c r="B367" s="24">
        <v>1.0</v>
      </c>
      <c r="C367" s="24">
        <v>1.0</v>
      </c>
      <c r="D367" s="24">
        <v>1.0</v>
      </c>
      <c r="E367" s="24">
        <v>1.0</v>
      </c>
    </row>
    <row r="368">
      <c r="A368" s="22" t="s">
        <v>112</v>
      </c>
      <c r="B368" s="26">
        <f t="shared" ref="B368:E368" si="64">round(((B363/B362)*100),2)</f>
        <v>79.1</v>
      </c>
      <c r="C368" s="26">
        <f t="shared" si="64"/>
        <v>83.9</v>
      </c>
      <c r="D368" s="26">
        <f t="shared" si="64"/>
        <v>80.53</v>
      </c>
      <c r="E368" s="26">
        <f t="shared" si="64"/>
        <v>82.09</v>
      </c>
    </row>
    <row r="369">
      <c r="A369" s="22" t="s">
        <v>100</v>
      </c>
      <c r="B369" s="24">
        <v>495.0</v>
      </c>
      <c r="C369" s="24">
        <v>546.0</v>
      </c>
      <c r="D369" s="24">
        <v>514.0</v>
      </c>
      <c r="E369" s="24">
        <v>541.0</v>
      </c>
    </row>
    <row r="370">
      <c r="A370" s="23" t="s">
        <v>471</v>
      </c>
      <c r="B370" s="32" t="s">
        <v>1019</v>
      </c>
      <c r="C370" s="32" t="s">
        <v>984</v>
      </c>
      <c r="D370" s="32" t="s">
        <v>858</v>
      </c>
      <c r="E370" s="32" t="s">
        <v>984</v>
      </c>
    </row>
    <row r="371">
      <c r="A371" s="22" t="s">
        <v>178</v>
      </c>
      <c r="B371" s="24" t="s">
        <v>1071</v>
      </c>
      <c r="C371" s="24" t="s">
        <v>1059</v>
      </c>
      <c r="D371" s="18"/>
      <c r="E371" s="18"/>
    </row>
    <row r="372">
      <c r="A372" s="22" t="s">
        <v>103</v>
      </c>
      <c r="B372" s="24" t="s">
        <v>1096</v>
      </c>
      <c r="D372" s="24" t="s">
        <v>1097</v>
      </c>
    </row>
    <row r="375">
      <c r="A375" s="19" t="s">
        <v>50</v>
      </c>
      <c r="B375" s="20" t="s">
        <v>1098</v>
      </c>
    </row>
    <row r="376">
      <c r="B376" s="21" t="s">
        <v>4</v>
      </c>
      <c r="C376" s="21" t="s">
        <v>5</v>
      </c>
      <c r="D376" s="21" t="s">
        <v>6</v>
      </c>
      <c r="E376" s="21" t="s">
        <v>7</v>
      </c>
    </row>
    <row r="377">
      <c r="A377" s="22" t="s">
        <v>91</v>
      </c>
      <c r="B377" s="24">
        <v>82.5</v>
      </c>
      <c r="C377" s="24">
        <v>81.4</v>
      </c>
      <c r="D377" s="24">
        <v>87.4</v>
      </c>
      <c r="E377" s="24">
        <v>85.2</v>
      </c>
    </row>
    <row r="378">
      <c r="A378" s="22" t="s">
        <v>92</v>
      </c>
      <c r="B378" s="24">
        <v>3.0</v>
      </c>
      <c r="C378" s="24">
        <v>5.0</v>
      </c>
      <c r="D378" s="24">
        <v>7.0</v>
      </c>
      <c r="E378" s="24">
        <v>10.0</v>
      </c>
    </row>
    <row r="379">
      <c r="A379" s="22" t="s">
        <v>93</v>
      </c>
      <c r="B379" s="24">
        <f t="shared" ref="B379:E379" si="65">B362-B378</f>
        <v>18770</v>
      </c>
      <c r="C379" s="24">
        <f t="shared" si="65"/>
        <v>19519</v>
      </c>
      <c r="D379" s="24">
        <f t="shared" si="65"/>
        <v>19142</v>
      </c>
      <c r="E379" s="24">
        <f t="shared" si="65"/>
        <v>19762</v>
      </c>
    </row>
    <row r="380">
      <c r="A380" s="22" t="s">
        <v>94</v>
      </c>
      <c r="B380" s="23">
        <f t="shared" ref="B380:E380" si="66">B386*30</f>
        <v>14640</v>
      </c>
      <c r="C380" s="23">
        <f t="shared" si="66"/>
        <v>16380</v>
      </c>
      <c r="D380" s="23">
        <f t="shared" si="66"/>
        <v>15390</v>
      </c>
      <c r="E380" s="23">
        <f t="shared" si="66"/>
        <v>16290</v>
      </c>
    </row>
    <row r="381">
      <c r="A381" s="22" t="s">
        <v>95</v>
      </c>
      <c r="B381" s="24">
        <v>9.0</v>
      </c>
      <c r="C381" s="24">
        <v>8.0</v>
      </c>
      <c r="D381" s="24">
        <v>30.0</v>
      </c>
      <c r="E381" s="24">
        <v>34.0</v>
      </c>
    </row>
    <row r="382">
      <c r="A382" s="22" t="s">
        <v>96</v>
      </c>
      <c r="B382" s="24">
        <v>16.0</v>
      </c>
      <c r="C382" s="24">
        <v>15.0</v>
      </c>
      <c r="D382" s="24">
        <v>60.0</v>
      </c>
      <c r="E382" s="24">
        <v>32.0</v>
      </c>
    </row>
    <row r="383">
      <c r="A383" s="22" t="s">
        <v>111</v>
      </c>
      <c r="B383" s="24"/>
      <c r="C383" s="24"/>
      <c r="D383" s="24"/>
      <c r="E383" s="24"/>
    </row>
    <row r="384">
      <c r="A384" s="22" t="s">
        <v>98</v>
      </c>
      <c r="B384" s="24">
        <v>1.0</v>
      </c>
      <c r="C384" s="24">
        <v>1.0</v>
      </c>
      <c r="D384" s="24">
        <v>1.0</v>
      </c>
      <c r="E384" s="24">
        <v>1.0</v>
      </c>
    </row>
    <row r="385">
      <c r="A385" s="22" t="s">
        <v>112</v>
      </c>
      <c r="B385" s="26">
        <f t="shared" ref="B385:E385" si="67">round(((B380/B379)*100),2)</f>
        <v>78</v>
      </c>
      <c r="C385" s="26">
        <f t="shared" si="67"/>
        <v>83.92</v>
      </c>
      <c r="D385" s="26">
        <f t="shared" si="67"/>
        <v>80.4</v>
      </c>
      <c r="E385" s="26">
        <f t="shared" si="67"/>
        <v>82.43</v>
      </c>
    </row>
    <row r="386">
      <c r="A386" s="22" t="s">
        <v>100</v>
      </c>
      <c r="B386" s="24">
        <v>488.0</v>
      </c>
      <c r="C386" s="24">
        <v>546.0</v>
      </c>
      <c r="D386" s="24">
        <v>513.0</v>
      </c>
      <c r="E386" s="24">
        <v>543.0</v>
      </c>
    </row>
    <row r="387">
      <c r="A387" s="23" t="s">
        <v>471</v>
      </c>
      <c r="B387" s="32" t="s">
        <v>1019</v>
      </c>
      <c r="C387" s="32" t="s">
        <v>984</v>
      </c>
      <c r="D387" s="32"/>
      <c r="E387" s="32" t="s">
        <v>984</v>
      </c>
    </row>
    <row r="388">
      <c r="A388" s="22" t="s">
        <v>178</v>
      </c>
      <c r="B388" s="24" t="s">
        <v>1071</v>
      </c>
      <c r="C388" s="24" t="s">
        <v>1099</v>
      </c>
      <c r="D388" s="18"/>
      <c r="E388" s="18"/>
    </row>
    <row r="389">
      <c r="A389" s="22" t="s">
        <v>103</v>
      </c>
      <c r="B389" s="24" t="s">
        <v>1100</v>
      </c>
      <c r="D389" s="24" t="s">
        <v>1101</v>
      </c>
    </row>
    <row r="392">
      <c r="A392" s="19" t="s">
        <v>50</v>
      </c>
      <c r="B392" s="20" t="s">
        <v>1102</v>
      </c>
    </row>
    <row r="393">
      <c r="B393" s="21" t="s">
        <v>4</v>
      </c>
      <c r="C393" s="21" t="s">
        <v>5</v>
      </c>
      <c r="D393" s="21" t="s">
        <v>6</v>
      </c>
      <c r="E393" s="21" t="s">
        <v>7</v>
      </c>
    </row>
    <row r="394">
      <c r="A394" s="22" t="s">
        <v>91</v>
      </c>
      <c r="B394" s="24">
        <v>82.6</v>
      </c>
      <c r="C394" s="24">
        <v>81.5</v>
      </c>
      <c r="D394" s="24">
        <v>87.5</v>
      </c>
      <c r="E394" s="24">
        <v>85.3</v>
      </c>
    </row>
    <row r="395">
      <c r="A395" s="22" t="s">
        <v>92</v>
      </c>
      <c r="B395" s="24">
        <v>11.0</v>
      </c>
      <c r="C395" s="24">
        <v>6.0</v>
      </c>
      <c r="D395" s="24">
        <v>13.0</v>
      </c>
      <c r="E395" s="24">
        <v>6.0</v>
      </c>
    </row>
    <row r="396">
      <c r="A396" s="22" t="s">
        <v>93</v>
      </c>
      <c r="B396" s="24">
        <f t="shared" ref="B396:E396" si="68">B379-B395</f>
        <v>18759</v>
      </c>
      <c r="C396" s="24">
        <f t="shared" si="68"/>
        <v>19513</v>
      </c>
      <c r="D396" s="24">
        <f t="shared" si="68"/>
        <v>19129</v>
      </c>
      <c r="E396" s="24">
        <f t="shared" si="68"/>
        <v>19756</v>
      </c>
    </row>
    <row r="397">
      <c r="A397" s="22" t="s">
        <v>94</v>
      </c>
      <c r="B397" s="23">
        <f t="shared" ref="B397:E397" si="69">B403*30</f>
        <v>15090</v>
      </c>
      <c r="C397" s="23">
        <f t="shared" si="69"/>
        <v>16170</v>
      </c>
      <c r="D397" s="23">
        <f t="shared" si="69"/>
        <v>15390</v>
      </c>
      <c r="E397" s="23">
        <f t="shared" si="69"/>
        <v>16290</v>
      </c>
    </row>
    <row r="398">
      <c r="A398" s="22" t="s">
        <v>95</v>
      </c>
      <c r="B398" s="24">
        <v>11.0</v>
      </c>
      <c r="C398" s="24">
        <v>10.0</v>
      </c>
      <c r="D398" s="24">
        <v>28.0</v>
      </c>
      <c r="E398" s="24">
        <v>22.0</v>
      </c>
    </row>
    <row r="399">
      <c r="A399" s="22" t="s">
        <v>96</v>
      </c>
      <c r="B399" s="24">
        <v>17.0</v>
      </c>
      <c r="C399" s="24">
        <v>10.0</v>
      </c>
      <c r="D399" s="24">
        <v>26.0</v>
      </c>
      <c r="E399" s="24">
        <v>19.0</v>
      </c>
    </row>
    <row r="400">
      <c r="A400" s="22" t="s">
        <v>111</v>
      </c>
      <c r="B400" s="24"/>
      <c r="C400" s="24"/>
      <c r="D400" s="24"/>
      <c r="E400" s="24"/>
    </row>
    <row r="401">
      <c r="A401" s="22" t="s">
        <v>98</v>
      </c>
      <c r="B401" s="24">
        <v>1.0</v>
      </c>
      <c r="C401" s="24">
        <v>1.0</v>
      </c>
      <c r="D401" s="24">
        <v>1.0</v>
      </c>
      <c r="E401" s="24">
        <v>1.0</v>
      </c>
    </row>
    <row r="402">
      <c r="A402" s="22" t="s">
        <v>112</v>
      </c>
      <c r="B402" s="26">
        <f t="shared" ref="B402:E402" si="70">round(((B397/B396)*100),2)</f>
        <v>80.44</v>
      </c>
      <c r="C402" s="26">
        <f t="shared" si="70"/>
        <v>82.87</v>
      </c>
      <c r="D402" s="26">
        <f t="shared" si="70"/>
        <v>80.45</v>
      </c>
      <c r="E402" s="26">
        <f t="shared" si="70"/>
        <v>82.46</v>
      </c>
    </row>
    <row r="403">
      <c r="A403" s="22" t="s">
        <v>100</v>
      </c>
      <c r="B403" s="24">
        <v>503.0</v>
      </c>
      <c r="C403" s="24">
        <v>539.0</v>
      </c>
      <c r="D403" s="24">
        <v>513.0</v>
      </c>
      <c r="E403" s="24">
        <v>543.0</v>
      </c>
    </row>
    <row r="404">
      <c r="A404" s="23" t="s">
        <v>471</v>
      </c>
      <c r="B404" s="32" t="s">
        <v>1019</v>
      </c>
      <c r="C404" s="32" t="s">
        <v>984</v>
      </c>
      <c r="D404" s="32"/>
      <c r="E404" s="32" t="s">
        <v>984</v>
      </c>
    </row>
    <row r="405">
      <c r="A405" s="22" t="s">
        <v>178</v>
      </c>
      <c r="B405" s="24" t="s">
        <v>999</v>
      </c>
      <c r="C405" s="24" t="s">
        <v>1068</v>
      </c>
      <c r="D405" s="18"/>
      <c r="E405" s="18"/>
    </row>
    <row r="406">
      <c r="A406" s="22" t="s">
        <v>103</v>
      </c>
      <c r="B406" s="24" t="s">
        <v>1103</v>
      </c>
      <c r="D406" s="24" t="s">
        <v>1104</v>
      </c>
    </row>
    <row r="409">
      <c r="A409" s="19" t="s">
        <v>50</v>
      </c>
      <c r="B409" s="20" t="s">
        <v>1105</v>
      </c>
    </row>
    <row r="410">
      <c r="B410" s="21" t="s">
        <v>4</v>
      </c>
      <c r="C410" s="21" t="s">
        <v>5</v>
      </c>
      <c r="D410" s="21" t="s">
        <v>6</v>
      </c>
      <c r="E410" s="21" t="s">
        <v>7</v>
      </c>
    </row>
    <row r="411">
      <c r="A411" s="22" t="s">
        <v>91</v>
      </c>
      <c r="B411" s="24">
        <v>82.7</v>
      </c>
      <c r="C411" s="24">
        <v>81.6</v>
      </c>
      <c r="D411" s="24">
        <v>87.6</v>
      </c>
      <c r="E411" s="24">
        <v>85.4</v>
      </c>
    </row>
    <row r="412">
      <c r="A412" s="22" t="s">
        <v>92</v>
      </c>
      <c r="B412" s="24">
        <v>4.0</v>
      </c>
      <c r="C412" s="24">
        <v>8.0</v>
      </c>
      <c r="D412" s="24">
        <v>9.0</v>
      </c>
      <c r="E412" s="24">
        <v>4.0</v>
      </c>
    </row>
    <row r="413">
      <c r="A413" s="22" t="s">
        <v>93</v>
      </c>
      <c r="B413" s="24">
        <f t="shared" ref="B413:E413" si="71">B396-B412</f>
        <v>18755</v>
      </c>
      <c r="C413" s="24">
        <f t="shared" si="71"/>
        <v>19505</v>
      </c>
      <c r="D413" s="24">
        <f t="shared" si="71"/>
        <v>19120</v>
      </c>
      <c r="E413" s="24">
        <f t="shared" si="71"/>
        <v>19752</v>
      </c>
    </row>
    <row r="414">
      <c r="A414" s="22" t="s">
        <v>94</v>
      </c>
      <c r="B414" s="23">
        <f t="shared" ref="B414:E414" si="72">B420*30</f>
        <v>14700</v>
      </c>
      <c r="C414" s="23">
        <f t="shared" si="72"/>
        <v>16170</v>
      </c>
      <c r="D414" s="23">
        <f t="shared" si="72"/>
        <v>14370</v>
      </c>
      <c r="E414" s="23">
        <f t="shared" si="72"/>
        <v>15420</v>
      </c>
    </row>
    <row r="415">
      <c r="A415" s="22" t="s">
        <v>95</v>
      </c>
      <c r="B415" s="24">
        <v>17.0</v>
      </c>
      <c r="C415" s="24">
        <v>19.0</v>
      </c>
      <c r="D415" s="24">
        <v>27.0</v>
      </c>
      <c r="E415" s="24">
        <v>21.0</v>
      </c>
    </row>
    <row r="416">
      <c r="A416" s="22" t="s">
        <v>96</v>
      </c>
      <c r="B416" s="24">
        <v>30.0</v>
      </c>
      <c r="C416" s="24">
        <v>13.0</v>
      </c>
      <c r="D416" s="24">
        <v>32.0</v>
      </c>
      <c r="E416" s="24">
        <v>29.0</v>
      </c>
    </row>
    <row r="417">
      <c r="A417" s="22" t="s">
        <v>111</v>
      </c>
      <c r="B417" s="24">
        <v>110.0</v>
      </c>
      <c r="C417" s="24">
        <v>110.0</v>
      </c>
      <c r="D417" s="24">
        <v>110.0</v>
      </c>
      <c r="E417" s="24">
        <v>110.0</v>
      </c>
    </row>
    <row r="418">
      <c r="A418" s="22" t="s">
        <v>98</v>
      </c>
      <c r="B418" s="24">
        <v>1.0</v>
      </c>
      <c r="C418" s="24">
        <v>1.0</v>
      </c>
      <c r="D418" s="24">
        <v>1.0</v>
      </c>
      <c r="E418" s="24">
        <v>1.0</v>
      </c>
    </row>
    <row r="419">
      <c r="A419" s="22" t="s">
        <v>112</v>
      </c>
      <c r="B419" s="26">
        <f t="shared" ref="B419:E419" si="73">round(((B414/B413)*100),2)</f>
        <v>78.38</v>
      </c>
      <c r="C419" s="26">
        <f t="shared" si="73"/>
        <v>82.9</v>
      </c>
      <c r="D419" s="26">
        <f t="shared" si="73"/>
        <v>75.16</v>
      </c>
      <c r="E419" s="26">
        <f t="shared" si="73"/>
        <v>78.07</v>
      </c>
    </row>
    <row r="420">
      <c r="A420" s="22" t="s">
        <v>100</v>
      </c>
      <c r="B420" s="24">
        <v>490.0</v>
      </c>
      <c r="C420" s="24">
        <v>539.0</v>
      </c>
      <c r="D420" s="24">
        <v>479.0</v>
      </c>
      <c r="E420" s="24">
        <v>514.0</v>
      </c>
    </row>
    <row r="421">
      <c r="A421" s="23" t="s">
        <v>471</v>
      </c>
      <c r="B421" s="32" t="s">
        <v>1019</v>
      </c>
      <c r="C421" s="32" t="s">
        <v>984</v>
      </c>
      <c r="D421" s="32"/>
      <c r="E421" s="32" t="s">
        <v>984</v>
      </c>
    </row>
    <row r="422">
      <c r="A422" s="22" t="s">
        <v>178</v>
      </c>
      <c r="B422" s="24" t="s">
        <v>1071</v>
      </c>
      <c r="C422" s="24" t="s">
        <v>1085</v>
      </c>
      <c r="D422" s="18"/>
      <c r="E422" s="18"/>
    </row>
    <row r="423">
      <c r="A423" s="22" t="s">
        <v>103</v>
      </c>
      <c r="B423" s="24" t="s">
        <v>1106</v>
      </c>
      <c r="D423" s="24" t="s">
        <v>1107</v>
      </c>
    </row>
    <row r="426">
      <c r="A426" s="19" t="s">
        <v>50</v>
      </c>
      <c r="B426" s="20" t="s">
        <v>1108</v>
      </c>
    </row>
    <row r="427">
      <c r="B427" s="21" t="s">
        <v>4</v>
      </c>
      <c r="C427" s="21" t="s">
        <v>5</v>
      </c>
      <c r="D427" s="21" t="s">
        <v>6</v>
      </c>
      <c r="E427" s="21" t="s">
        <v>7</v>
      </c>
    </row>
    <row r="428">
      <c r="A428" s="22" t="s">
        <v>91</v>
      </c>
      <c r="B428" s="24">
        <v>83.1</v>
      </c>
      <c r="C428" s="24">
        <v>81.7</v>
      </c>
      <c r="D428" s="24">
        <v>87.7</v>
      </c>
      <c r="E428" s="24">
        <v>85.5</v>
      </c>
    </row>
    <row r="429">
      <c r="A429" s="22" t="s">
        <v>92</v>
      </c>
      <c r="B429" s="24">
        <v>6.0</v>
      </c>
      <c r="C429" s="24">
        <v>6.0</v>
      </c>
      <c r="D429" s="24">
        <v>7.0</v>
      </c>
      <c r="E429" s="24">
        <v>3.0</v>
      </c>
    </row>
    <row r="430">
      <c r="A430" s="22" t="s">
        <v>93</v>
      </c>
      <c r="B430" s="24">
        <f>B413-B42</f>
        <v>18729</v>
      </c>
      <c r="C430" s="24">
        <f t="shared" ref="C430:E430" si="74">C413-C429</f>
        <v>19499</v>
      </c>
      <c r="D430" s="24">
        <f t="shared" si="74"/>
        <v>19113</v>
      </c>
      <c r="E430" s="24">
        <f t="shared" si="74"/>
        <v>19749</v>
      </c>
    </row>
    <row r="431">
      <c r="A431" s="22" t="s">
        <v>94</v>
      </c>
      <c r="B431" s="23">
        <f t="shared" ref="B431:E431" si="75">B437*30</f>
        <v>14760</v>
      </c>
      <c r="C431" s="23">
        <f t="shared" si="75"/>
        <v>16080</v>
      </c>
      <c r="D431" s="23">
        <f t="shared" si="75"/>
        <v>15540</v>
      </c>
      <c r="E431" s="23">
        <f t="shared" si="75"/>
        <v>16410</v>
      </c>
    </row>
    <row r="432">
      <c r="A432" s="22" t="s">
        <v>95</v>
      </c>
      <c r="B432" s="24">
        <v>15.0</v>
      </c>
      <c r="C432" s="24">
        <v>8.0</v>
      </c>
      <c r="D432" s="24">
        <v>28.0</v>
      </c>
      <c r="E432" s="24">
        <v>23.0</v>
      </c>
    </row>
    <row r="433">
      <c r="A433" s="22" t="s">
        <v>96</v>
      </c>
      <c r="B433" s="24">
        <v>8.0</v>
      </c>
      <c r="C433" s="24">
        <v>6.0</v>
      </c>
      <c r="D433" s="24">
        <v>32.0</v>
      </c>
      <c r="E433" s="24">
        <v>15.0</v>
      </c>
    </row>
    <row r="434">
      <c r="A434" s="22" t="s">
        <v>111</v>
      </c>
      <c r="B434" s="24"/>
      <c r="C434" s="24"/>
      <c r="D434" s="24"/>
      <c r="E434" s="24"/>
    </row>
    <row r="435">
      <c r="A435" s="22" t="s">
        <v>98</v>
      </c>
      <c r="B435" s="24">
        <v>1.0</v>
      </c>
      <c r="C435" s="24">
        <v>1.0</v>
      </c>
      <c r="D435" s="24">
        <v>1.0</v>
      </c>
      <c r="E435" s="24">
        <v>1.0</v>
      </c>
    </row>
    <row r="436">
      <c r="A436" s="22" t="s">
        <v>112</v>
      </c>
      <c r="B436" s="26">
        <f t="shared" ref="B436:E436" si="76">round(((B431/B430)*100),2)</f>
        <v>78.81</v>
      </c>
      <c r="C436" s="26">
        <f t="shared" si="76"/>
        <v>82.47</v>
      </c>
      <c r="D436" s="26">
        <f t="shared" si="76"/>
        <v>81.31</v>
      </c>
      <c r="E436" s="26">
        <f t="shared" si="76"/>
        <v>83.09</v>
      </c>
    </row>
    <row r="437">
      <c r="A437" s="22" t="s">
        <v>100</v>
      </c>
      <c r="B437" s="24">
        <v>492.0</v>
      </c>
      <c r="C437" s="24">
        <v>536.0</v>
      </c>
      <c r="D437" s="24">
        <v>518.0</v>
      </c>
      <c r="E437" s="24">
        <v>547.0</v>
      </c>
    </row>
    <row r="438">
      <c r="A438" s="23" t="s">
        <v>471</v>
      </c>
      <c r="B438" s="32" t="s">
        <v>1019</v>
      </c>
      <c r="C438" s="32" t="s">
        <v>984</v>
      </c>
      <c r="D438" s="32"/>
      <c r="E438" s="32" t="s">
        <v>984</v>
      </c>
    </row>
    <row r="439">
      <c r="A439" s="22" t="s">
        <v>178</v>
      </c>
      <c r="B439" s="24" t="s">
        <v>1109</v>
      </c>
      <c r="C439" s="24" t="s">
        <v>1085</v>
      </c>
      <c r="D439" s="18"/>
      <c r="E439" s="18"/>
    </row>
    <row r="440">
      <c r="A440" s="22" t="s">
        <v>103</v>
      </c>
      <c r="B440" s="24" t="s">
        <v>1110</v>
      </c>
      <c r="D440" s="24" t="s">
        <v>1111</v>
      </c>
    </row>
    <row r="443">
      <c r="A443" s="19" t="s">
        <v>50</v>
      </c>
      <c r="B443" s="20" t="s">
        <v>1112</v>
      </c>
    </row>
    <row r="444">
      <c r="B444" s="21" t="s">
        <v>4</v>
      </c>
      <c r="C444" s="21" t="s">
        <v>5</v>
      </c>
      <c r="D444" s="21" t="s">
        <v>6</v>
      </c>
      <c r="E444" s="21" t="s">
        <v>7</v>
      </c>
    </row>
    <row r="445">
      <c r="A445" s="22" t="s">
        <v>91</v>
      </c>
      <c r="B445" s="24">
        <v>83.2</v>
      </c>
      <c r="C445" s="24">
        <v>82.1</v>
      </c>
      <c r="D445" s="24">
        <v>88.1</v>
      </c>
      <c r="E445" s="24">
        <v>85.6</v>
      </c>
    </row>
    <row r="446">
      <c r="A446" s="22" t="s">
        <v>92</v>
      </c>
      <c r="B446" s="24">
        <v>8.0</v>
      </c>
      <c r="C446" s="24">
        <v>9.0</v>
      </c>
      <c r="D446" s="24">
        <v>6.0</v>
      </c>
      <c r="E446" s="24">
        <v>6.0</v>
      </c>
    </row>
    <row r="447">
      <c r="A447" s="22" t="s">
        <v>93</v>
      </c>
      <c r="B447" s="24">
        <f>B430-B59</f>
        <v>18698</v>
      </c>
      <c r="C447" s="24">
        <f t="shared" ref="C447:E447" si="77">C430-C446</f>
        <v>19490</v>
      </c>
      <c r="D447" s="24">
        <f t="shared" si="77"/>
        <v>19107</v>
      </c>
      <c r="E447" s="24">
        <f t="shared" si="77"/>
        <v>19743</v>
      </c>
    </row>
    <row r="448">
      <c r="A448" s="22" t="s">
        <v>94</v>
      </c>
      <c r="B448" s="23">
        <f t="shared" ref="B448:E448" si="78">B454*30</f>
        <v>13500</v>
      </c>
      <c r="C448" s="23">
        <f t="shared" si="78"/>
        <v>14280</v>
      </c>
      <c r="D448" s="23">
        <f t="shared" si="78"/>
        <v>13200</v>
      </c>
      <c r="E448" s="23">
        <f t="shared" si="78"/>
        <v>14460</v>
      </c>
    </row>
    <row r="449">
      <c r="A449" s="22" t="s">
        <v>95</v>
      </c>
      <c r="B449" s="24">
        <v>21.0</v>
      </c>
      <c r="C449" s="24">
        <v>10.0</v>
      </c>
      <c r="D449" s="24">
        <v>36.0</v>
      </c>
      <c r="E449" s="24">
        <v>35.0</v>
      </c>
    </row>
    <row r="450">
      <c r="A450" s="22" t="s">
        <v>96</v>
      </c>
      <c r="B450" s="24">
        <v>10.0</v>
      </c>
      <c r="C450" s="24">
        <v>6.0</v>
      </c>
      <c r="D450" s="24">
        <v>14.0</v>
      </c>
      <c r="E450" s="24">
        <v>16.0</v>
      </c>
    </row>
    <row r="451">
      <c r="A451" s="22" t="s">
        <v>111</v>
      </c>
      <c r="B451" s="24">
        <v>140.0</v>
      </c>
      <c r="C451" s="24">
        <v>140.0</v>
      </c>
      <c r="D451" s="24">
        <v>140.0</v>
      </c>
      <c r="E451" s="24">
        <v>140.0</v>
      </c>
    </row>
    <row r="452">
      <c r="A452" s="22" t="s">
        <v>98</v>
      </c>
      <c r="B452" s="24">
        <v>1.0</v>
      </c>
      <c r="C452" s="24">
        <v>0.0</v>
      </c>
      <c r="D452" s="24">
        <v>1.0</v>
      </c>
      <c r="E452" s="24">
        <v>1.0</v>
      </c>
    </row>
    <row r="453">
      <c r="A453" s="22" t="s">
        <v>112</v>
      </c>
      <c r="B453" s="26">
        <f t="shared" ref="B453:E453" si="79">round(((B448/B447)*100),2)</f>
        <v>72.2</v>
      </c>
      <c r="C453" s="26">
        <f t="shared" si="79"/>
        <v>73.27</v>
      </c>
      <c r="D453" s="26">
        <f t="shared" si="79"/>
        <v>69.08</v>
      </c>
      <c r="E453" s="26">
        <f t="shared" si="79"/>
        <v>73.24</v>
      </c>
    </row>
    <row r="454">
      <c r="A454" s="22" t="s">
        <v>100</v>
      </c>
      <c r="B454" s="24">
        <v>450.0</v>
      </c>
      <c r="C454" s="24">
        <v>476.0</v>
      </c>
      <c r="D454" s="24">
        <v>440.0</v>
      </c>
      <c r="E454" s="24">
        <v>482.0</v>
      </c>
    </row>
    <row r="455">
      <c r="A455" s="23" t="s">
        <v>471</v>
      </c>
      <c r="B455" s="32" t="s">
        <v>1019</v>
      </c>
      <c r="C455" s="32" t="s">
        <v>984</v>
      </c>
      <c r="D455" s="32"/>
      <c r="E455" s="32" t="s">
        <v>984</v>
      </c>
    </row>
    <row r="456">
      <c r="A456" s="22" t="s">
        <v>178</v>
      </c>
      <c r="B456" s="24" t="s">
        <v>1067</v>
      </c>
      <c r="C456" s="24" t="s">
        <v>1093</v>
      </c>
      <c r="D456" s="18"/>
      <c r="E456" s="18"/>
    </row>
    <row r="457">
      <c r="A457" s="22" t="s">
        <v>103</v>
      </c>
      <c r="B457" s="24" t="s">
        <v>1113</v>
      </c>
      <c r="D457" s="24" t="s">
        <v>1114</v>
      </c>
    </row>
    <row r="460">
      <c r="A460" s="19" t="s">
        <v>50</v>
      </c>
      <c r="B460" s="29">
        <v>46025.0</v>
      </c>
    </row>
    <row r="461">
      <c r="B461" s="21" t="s">
        <v>4</v>
      </c>
      <c r="C461" s="21" t="s">
        <v>5</v>
      </c>
      <c r="D461" s="21" t="s">
        <v>6</v>
      </c>
      <c r="E461" s="21" t="s">
        <v>7</v>
      </c>
    </row>
    <row r="462">
      <c r="A462" s="22" t="s">
        <v>91</v>
      </c>
      <c r="B462" s="24">
        <v>83.3</v>
      </c>
      <c r="C462" s="24">
        <v>82.2</v>
      </c>
      <c r="D462" s="24">
        <v>88.2</v>
      </c>
      <c r="E462" s="24">
        <v>85.7</v>
      </c>
    </row>
    <row r="463">
      <c r="A463" s="22" t="s">
        <v>92</v>
      </c>
      <c r="B463" s="24">
        <v>12.0</v>
      </c>
      <c r="C463" s="24">
        <v>9.0</v>
      </c>
      <c r="D463" s="24">
        <v>7.0</v>
      </c>
      <c r="E463" s="24">
        <v>11.0</v>
      </c>
    </row>
    <row r="464">
      <c r="A464" s="22" t="s">
        <v>93</v>
      </c>
      <c r="B464" s="24">
        <f>B447-B76</f>
        <v>18670</v>
      </c>
      <c r="C464" s="24">
        <f t="shared" ref="C464:E464" si="80">C447-C463</f>
        <v>19481</v>
      </c>
      <c r="D464" s="24">
        <f t="shared" si="80"/>
        <v>19100</v>
      </c>
      <c r="E464" s="24">
        <f t="shared" si="80"/>
        <v>19732</v>
      </c>
    </row>
    <row r="465">
      <c r="A465" s="22" t="s">
        <v>94</v>
      </c>
      <c r="B465" s="23">
        <f t="shared" ref="B465:E465" si="81">B471*30</f>
        <v>11880</v>
      </c>
      <c r="C465" s="23">
        <f t="shared" si="81"/>
        <v>11730</v>
      </c>
      <c r="D465" s="23">
        <f t="shared" si="81"/>
        <v>10860</v>
      </c>
      <c r="E465" s="23">
        <f t="shared" si="81"/>
        <v>13050</v>
      </c>
    </row>
    <row r="466">
      <c r="A466" s="22" t="s">
        <v>95</v>
      </c>
      <c r="B466" s="24">
        <v>20.0</v>
      </c>
      <c r="C466" s="24">
        <v>10.0</v>
      </c>
      <c r="D466" s="24">
        <v>38.0</v>
      </c>
      <c r="E466" s="24">
        <v>16.0</v>
      </c>
    </row>
    <row r="467">
      <c r="A467" s="22" t="s">
        <v>96</v>
      </c>
      <c r="B467" s="24">
        <v>5.0</v>
      </c>
      <c r="C467" s="24">
        <v>8.0</v>
      </c>
      <c r="D467" s="24">
        <v>12.0</v>
      </c>
      <c r="E467" s="24">
        <v>8.0</v>
      </c>
    </row>
    <row r="468">
      <c r="A468" s="22" t="s">
        <v>111</v>
      </c>
      <c r="B468" s="24">
        <v>140.0</v>
      </c>
      <c r="C468" s="24">
        <v>140.0</v>
      </c>
      <c r="D468" s="24">
        <v>140.0</v>
      </c>
      <c r="E468" s="24">
        <v>140.0</v>
      </c>
    </row>
    <row r="469">
      <c r="A469" s="22" t="s">
        <v>98</v>
      </c>
      <c r="B469" s="24">
        <v>1.0</v>
      </c>
      <c r="C469" s="24" t="s">
        <v>1115</v>
      </c>
      <c r="D469" s="24" t="s">
        <v>1116</v>
      </c>
      <c r="E469" s="24">
        <v>1.0</v>
      </c>
    </row>
    <row r="470">
      <c r="A470" s="22" t="s">
        <v>112</v>
      </c>
      <c r="B470" s="26">
        <f t="shared" ref="B470:E470" si="82">round(((B465/B464)*100),2)</f>
        <v>63.63</v>
      </c>
      <c r="C470" s="26">
        <f t="shared" si="82"/>
        <v>60.21</v>
      </c>
      <c r="D470" s="26">
        <f t="shared" si="82"/>
        <v>56.86</v>
      </c>
      <c r="E470" s="26">
        <f t="shared" si="82"/>
        <v>66.14</v>
      </c>
    </row>
    <row r="471">
      <c r="A471" s="22" t="s">
        <v>100</v>
      </c>
      <c r="B471" s="24">
        <v>396.0</v>
      </c>
      <c r="C471" s="24">
        <v>391.0</v>
      </c>
      <c r="D471" s="24">
        <v>362.0</v>
      </c>
      <c r="E471" s="24">
        <v>435.0</v>
      </c>
    </row>
    <row r="472">
      <c r="A472" s="23" t="s">
        <v>471</v>
      </c>
      <c r="B472" s="32" t="s">
        <v>1019</v>
      </c>
      <c r="C472" s="32" t="s">
        <v>984</v>
      </c>
      <c r="D472" s="32"/>
      <c r="E472" s="32" t="s">
        <v>984</v>
      </c>
    </row>
    <row r="473">
      <c r="A473" s="22" t="s">
        <v>178</v>
      </c>
      <c r="B473" s="24" t="s">
        <v>1067</v>
      </c>
      <c r="C473" s="24" t="s">
        <v>1093</v>
      </c>
      <c r="D473" s="18"/>
      <c r="E473" s="18"/>
    </row>
    <row r="474">
      <c r="A474" s="22" t="s">
        <v>103</v>
      </c>
      <c r="B474" s="24" t="s">
        <v>1117</v>
      </c>
      <c r="D474" s="24" t="s">
        <v>1118</v>
      </c>
    </row>
    <row r="477">
      <c r="A477" s="19" t="s">
        <v>50</v>
      </c>
      <c r="B477" s="29">
        <v>46056.0</v>
      </c>
    </row>
    <row r="478">
      <c r="B478" s="21" t="s">
        <v>4</v>
      </c>
      <c r="C478" s="21" t="s">
        <v>5</v>
      </c>
      <c r="D478" s="21" t="s">
        <v>6</v>
      </c>
      <c r="E478" s="21" t="s">
        <v>7</v>
      </c>
    </row>
    <row r="479">
      <c r="A479" s="22" t="s">
        <v>91</v>
      </c>
      <c r="B479" s="24">
        <v>83.4</v>
      </c>
      <c r="C479" s="24">
        <v>82.3</v>
      </c>
      <c r="D479" s="24">
        <v>88.3</v>
      </c>
      <c r="E479" s="24">
        <v>86.1</v>
      </c>
    </row>
    <row r="480">
      <c r="A480" s="22" t="s">
        <v>92</v>
      </c>
      <c r="B480" s="24">
        <v>14.0</v>
      </c>
      <c r="C480" s="24">
        <v>13.0</v>
      </c>
      <c r="D480" s="24">
        <v>11.0</v>
      </c>
      <c r="E480" s="24">
        <v>9.0</v>
      </c>
    </row>
    <row r="481">
      <c r="A481" s="22" t="s">
        <v>93</v>
      </c>
      <c r="B481" s="24">
        <f>B464-B93</f>
        <v>18640</v>
      </c>
      <c r="C481" s="24">
        <f t="shared" ref="C481:E481" si="83">C464-C480</f>
        <v>19468</v>
      </c>
      <c r="D481" s="24">
        <f t="shared" si="83"/>
        <v>19089</v>
      </c>
      <c r="E481" s="24">
        <f t="shared" si="83"/>
        <v>19723</v>
      </c>
    </row>
    <row r="482">
      <c r="A482" s="22" t="s">
        <v>94</v>
      </c>
      <c r="B482" s="23">
        <f t="shared" ref="B482:E482" si="84">B488*30</f>
        <v>8130</v>
      </c>
      <c r="C482" s="23">
        <f t="shared" si="84"/>
        <v>7230</v>
      </c>
      <c r="D482" s="23">
        <f t="shared" si="84"/>
        <v>6720</v>
      </c>
      <c r="E482" s="23">
        <f t="shared" si="84"/>
        <v>9510</v>
      </c>
    </row>
    <row r="483">
      <c r="A483" s="22" t="s">
        <v>95</v>
      </c>
      <c r="B483" s="24">
        <v>17.0</v>
      </c>
      <c r="C483" s="24">
        <v>4.0</v>
      </c>
      <c r="D483" s="24">
        <v>30.0</v>
      </c>
      <c r="E483" s="24">
        <v>17.0</v>
      </c>
    </row>
    <row r="484">
      <c r="A484" s="22" t="s">
        <v>96</v>
      </c>
      <c r="B484" s="24">
        <v>8.0</v>
      </c>
      <c r="C484" s="24">
        <v>3.0</v>
      </c>
      <c r="D484" s="24">
        <v>8.0</v>
      </c>
      <c r="E484" s="24">
        <v>11.0</v>
      </c>
    </row>
    <row r="485">
      <c r="A485" s="22" t="s">
        <v>111</v>
      </c>
      <c r="B485" s="24">
        <v>140.0</v>
      </c>
      <c r="C485" s="24">
        <v>140.0</v>
      </c>
      <c r="D485" s="24">
        <v>140.0</v>
      </c>
      <c r="E485" s="24">
        <v>140.0</v>
      </c>
    </row>
    <row r="486">
      <c r="A486" s="22" t="s">
        <v>98</v>
      </c>
      <c r="B486" s="24">
        <v>1.0</v>
      </c>
      <c r="C486" s="24" t="s">
        <v>1119</v>
      </c>
      <c r="D486" s="24" t="s">
        <v>1120</v>
      </c>
      <c r="E486" s="24">
        <v>1.0</v>
      </c>
    </row>
    <row r="487">
      <c r="A487" s="22" t="s">
        <v>112</v>
      </c>
      <c r="B487" s="26">
        <f t="shared" ref="B487:E487" si="85">round(((B482/B481)*100),2)</f>
        <v>43.62</v>
      </c>
      <c r="C487" s="26">
        <f t="shared" si="85"/>
        <v>37.14</v>
      </c>
      <c r="D487" s="26">
        <f t="shared" si="85"/>
        <v>35.2</v>
      </c>
      <c r="E487" s="26">
        <f t="shared" si="85"/>
        <v>48.22</v>
      </c>
    </row>
    <row r="488">
      <c r="A488" s="22" t="s">
        <v>100</v>
      </c>
      <c r="B488" s="24">
        <v>271.0</v>
      </c>
      <c r="C488" s="24">
        <v>241.0</v>
      </c>
      <c r="D488" s="24">
        <v>224.0</v>
      </c>
      <c r="E488" s="24">
        <v>317.0</v>
      </c>
    </row>
    <row r="489">
      <c r="A489" s="23" t="s">
        <v>471</v>
      </c>
      <c r="B489" s="32" t="s">
        <v>1019</v>
      </c>
      <c r="C489" s="32" t="s">
        <v>984</v>
      </c>
      <c r="D489" s="32"/>
      <c r="E489" s="32" t="s">
        <v>984</v>
      </c>
    </row>
    <row r="490">
      <c r="A490" s="22" t="s">
        <v>178</v>
      </c>
      <c r="B490" s="24" t="s">
        <v>1121</v>
      </c>
      <c r="C490" s="24" t="s">
        <v>1122</v>
      </c>
      <c r="D490" s="18"/>
      <c r="E490" s="18"/>
    </row>
    <row r="491">
      <c r="A491" s="22" t="s">
        <v>103</v>
      </c>
      <c r="B491" s="24"/>
      <c r="D491" s="24" t="s">
        <v>1123</v>
      </c>
    </row>
    <row r="494">
      <c r="A494" s="19" t="s">
        <v>50</v>
      </c>
      <c r="B494" s="29">
        <v>46084.0</v>
      </c>
    </row>
    <row r="495">
      <c r="B495" s="21" t="s">
        <v>4</v>
      </c>
      <c r="C495" s="21" t="s">
        <v>5</v>
      </c>
      <c r="D495" s="21" t="s">
        <v>6</v>
      </c>
      <c r="E495" s="21" t="s">
        <v>7</v>
      </c>
    </row>
    <row r="496">
      <c r="A496" s="22" t="s">
        <v>91</v>
      </c>
      <c r="B496" s="24">
        <v>83.5</v>
      </c>
      <c r="C496" s="24">
        <v>82.4</v>
      </c>
      <c r="D496" s="24">
        <v>88.4</v>
      </c>
      <c r="E496" s="24">
        <v>86.2</v>
      </c>
    </row>
    <row r="497">
      <c r="A497" s="22" t="s">
        <v>92</v>
      </c>
      <c r="B497" s="24">
        <v>23.0</v>
      </c>
      <c r="C497" s="24">
        <v>13.0</v>
      </c>
      <c r="D497" s="24">
        <v>17.0</v>
      </c>
      <c r="E497" s="24">
        <v>15.0</v>
      </c>
    </row>
    <row r="498">
      <c r="A498" s="22" t="s">
        <v>93</v>
      </c>
      <c r="B498" s="24">
        <f>B481-B110</f>
        <v>18610</v>
      </c>
      <c r="C498" s="24">
        <f t="shared" ref="C498:E498" si="86">C481-C497</f>
        <v>19455</v>
      </c>
      <c r="D498" s="24">
        <f t="shared" si="86"/>
        <v>19072</v>
      </c>
      <c r="E498" s="24">
        <f t="shared" si="86"/>
        <v>19708</v>
      </c>
    </row>
    <row r="499">
      <c r="A499" s="22" t="s">
        <v>94</v>
      </c>
      <c r="B499" s="23">
        <f t="shared" ref="B499:E499" si="87">B505*30</f>
        <v>3780</v>
      </c>
      <c r="C499" s="23">
        <f t="shared" si="87"/>
        <v>3270</v>
      </c>
      <c r="D499" s="23">
        <f t="shared" si="87"/>
        <v>2760</v>
      </c>
      <c r="E499" s="23">
        <f t="shared" si="87"/>
        <v>4710</v>
      </c>
    </row>
    <row r="500">
      <c r="A500" s="22" t="s">
        <v>95</v>
      </c>
      <c r="B500" s="24">
        <v>4.0</v>
      </c>
      <c r="C500" s="24">
        <v>4.0</v>
      </c>
      <c r="D500" s="24">
        <v>30.0</v>
      </c>
      <c r="E500" s="24">
        <v>10.0</v>
      </c>
    </row>
    <row r="501">
      <c r="A501" s="22" t="s">
        <v>96</v>
      </c>
      <c r="B501" s="24">
        <v>5.0</v>
      </c>
      <c r="C501" s="24">
        <v>2.0</v>
      </c>
      <c r="D501" s="24">
        <v>0.0</v>
      </c>
      <c r="E501" s="24">
        <v>3.0</v>
      </c>
    </row>
    <row r="502">
      <c r="A502" s="22" t="s">
        <v>111</v>
      </c>
      <c r="B502" s="24">
        <v>140.0</v>
      </c>
      <c r="C502" s="24">
        <v>140.0</v>
      </c>
      <c r="D502" s="24">
        <v>140.0</v>
      </c>
      <c r="E502" s="24">
        <v>140.0</v>
      </c>
    </row>
    <row r="503">
      <c r="A503" s="22" t="s">
        <v>98</v>
      </c>
      <c r="B503" s="24" t="s">
        <v>1124</v>
      </c>
      <c r="C503" s="24">
        <v>0.0</v>
      </c>
      <c r="D503" s="24" t="s">
        <v>1125</v>
      </c>
      <c r="E503" s="24">
        <v>1.0</v>
      </c>
    </row>
    <row r="504">
      <c r="A504" s="22" t="s">
        <v>112</v>
      </c>
      <c r="B504" s="26">
        <f t="shared" ref="B504:E504" si="88">round(((B499/B498)*100),2)</f>
        <v>20.31</v>
      </c>
      <c r="C504" s="26">
        <f t="shared" si="88"/>
        <v>16.81</v>
      </c>
      <c r="D504" s="26">
        <f t="shared" si="88"/>
        <v>14.47</v>
      </c>
      <c r="E504" s="26">
        <f t="shared" si="88"/>
        <v>23.9</v>
      </c>
    </row>
    <row r="505">
      <c r="A505" s="22" t="s">
        <v>100</v>
      </c>
      <c r="B505" s="24">
        <v>126.0</v>
      </c>
      <c r="C505" s="24">
        <v>109.0</v>
      </c>
      <c r="D505" s="24">
        <v>92.0</v>
      </c>
      <c r="E505" s="24">
        <v>157.0</v>
      </c>
    </row>
    <row r="506">
      <c r="A506" s="23" t="s">
        <v>471</v>
      </c>
      <c r="B506" s="32" t="s">
        <v>1019</v>
      </c>
      <c r="C506" s="32" t="s">
        <v>984</v>
      </c>
      <c r="D506" s="32"/>
      <c r="E506" s="32" t="s">
        <v>984</v>
      </c>
    </row>
    <row r="507">
      <c r="A507" s="22" t="s">
        <v>178</v>
      </c>
      <c r="B507" s="24" t="s">
        <v>1126</v>
      </c>
      <c r="C507" s="24" t="s">
        <v>1122</v>
      </c>
      <c r="D507" s="18"/>
      <c r="E507" s="18"/>
    </row>
    <row r="508">
      <c r="A508" s="22" t="s">
        <v>103</v>
      </c>
      <c r="B508" s="24" t="s">
        <v>1127</v>
      </c>
      <c r="D508" s="24" t="s">
        <v>1128</v>
      </c>
    </row>
    <row r="511">
      <c r="A511" s="19" t="s">
        <v>50</v>
      </c>
      <c r="B511" s="29">
        <v>46115.0</v>
      </c>
    </row>
    <row r="512">
      <c r="B512" s="21" t="s">
        <v>4</v>
      </c>
      <c r="C512" s="21" t="s">
        <v>5</v>
      </c>
      <c r="D512" s="21" t="s">
        <v>6</v>
      </c>
      <c r="E512" s="21" t="s">
        <v>7</v>
      </c>
    </row>
    <row r="513">
      <c r="A513" s="22" t="s">
        <v>91</v>
      </c>
      <c r="B513" s="24">
        <v>83.6</v>
      </c>
      <c r="C513" s="24">
        <v>82.5</v>
      </c>
      <c r="D513" s="24">
        <v>88.5</v>
      </c>
      <c r="E513" s="24">
        <v>86.3</v>
      </c>
    </row>
    <row r="514">
      <c r="A514" s="22" t="s">
        <v>92</v>
      </c>
      <c r="B514" s="24">
        <v>3.0</v>
      </c>
      <c r="C514" s="24">
        <v>14.0</v>
      </c>
      <c r="D514" s="24">
        <v>15.0</v>
      </c>
      <c r="E514" s="24">
        <v>20.0</v>
      </c>
    </row>
    <row r="515">
      <c r="A515" s="22" t="s">
        <v>93</v>
      </c>
      <c r="B515" s="24">
        <f>B498-B127</f>
        <v>18585</v>
      </c>
      <c r="C515" s="24">
        <f t="shared" ref="C515:E515" si="89">C498-C514</f>
        <v>19441</v>
      </c>
      <c r="D515" s="24">
        <f t="shared" si="89"/>
        <v>19057</v>
      </c>
      <c r="E515" s="24">
        <f t="shared" si="89"/>
        <v>19688</v>
      </c>
    </row>
    <row r="516">
      <c r="A516" s="22" t="s">
        <v>94</v>
      </c>
      <c r="B516" s="23">
        <f t="shared" ref="B516:E516" si="90">B522*30</f>
        <v>1350</v>
      </c>
      <c r="C516" s="23">
        <f t="shared" si="90"/>
        <v>990</v>
      </c>
      <c r="D516" s="23">
        <f t="shared" si="90"/>
        <v>600</v>
      </c>
      <c r="E516" s="23">
        <f t="shared" si="90"/>
        <v>1680</v>
      </c>
    </row>
    <row r="517">
      <c r="A517" s="22" t="s">
        <v>95</v>
      </c>
      <c r="B517" s="24">
        <v>11.0</v>
      </c>
      <c r="C517" s="24">
        <v>8.0</v>
      </c>
      <c r="D517" s="24">
        <v>10.0</v>
      </c>
      <c r="E517" s="24">
        <v>7.0</v>
      </c>
    </row>
    <row r="518">
      <c r="A518" s="22" t="s">
        <v>96</v>
      </c>
      <c r="B518" s="24">
        <v>6.0</v>
      </c>
      <c r="C518" s="24">
        <v>2.0</v>
      </c>
      <c r="D518" s="24">
        <v>3.0</v>
      </c>
      <c r="E518" s="24">
        <v>0.0</v>
      </c>
    </row>
    <row r="519">
      <c r="A519" s="22" t="s">
        <v>111</v>
      </c>
      <c r="B519" s="24">
        <v>140.0</v>
      </c>
      <c r="C519" s="24">
        <v>140.0</v>
      </c>
      <c r="D519" s="24">
        <v>140.0</v>
      </c>
      <c r="E519" s="24">
        <v>140.0</v>
      </c>
    </row>
    <row r="520">
      <c r="A520" s="22" t="s">
        <v>98</v>
      </c>
      <c r="B520" s="24" t="s">
        <v>1125</v>
      </c>
      <c r="C520" s="24">
        <v>0.0</v>
      </c>
      <c r="D520" s="24" t="s">
        <v>1125</v>
      </c>
      <c r="E520" s="24">
        <v>1.0</v>
      </c>
    </row>
    <row r="521">
      <c r="A521" s="22" t="s">
        <v>112</v>
      </c>
      <c r="B521" s="26">
        <f t="shared" ref="B521:E521" si="91">round(((B516/B515)*100),2)</f>
        <v>7.26</v>
      </c>
      <c r="C521" s="26">
        <f t="shared" si="91"/>
        <v>5.09</v>
      </c>
      <c r="D521" s="26">
        <f t="shared" si="91"/>
        <v>3.15</v>
      </c>
      <c r="E521" s="26">
        <f t="shared" si="91"/>
        <v>8.53</v>
      </c>
    </row>
    <row r="522">
      <c r="A522" s="22" t="s">
        <v>100</v>
      </c>
      <c r="B522" s="24">
        <v>45.0</v>
      </c>
      <c r="C522" s="24">
        <v>33.0</v>
      </c>
      <c r="D522" s="24">
        <v>20.0</v>
      </c>
      <c r="E522" s="24">
        <v>56.0</v>
      </c>
    </row>
    <row r="523">
      <c r="A523" s="23" t="s">
        <v>471</v>
      </c>
      <c r="B523" s="32" t="s">
        <v>1019</v>
      </c>
      <c r="C523" s="32" t="s">
        <v>984</v>
      </c>
      <c r="D523" s="32"/>
      <c r="E523" s="32" t="s">
        <v>984</v>
      </c>
    </row>
    <row r="524">
      <c r="A524" s="22" t="s">
        <v>178</v>
      </c>
      <c r="B524" s="24" t="s">
        <v>1014</v>
      </c>
      <c r="C524" s="24" t="s">
        <v>1129</v>
      </c>
      <c r="D524" s="18"/>
      <c r="E524" s="18"/>
    </row>
    <row r="525">
      <c r="A525" s="22" t="s">
        <v>103</v>
      </c>
      <c r="B525" s="24"/>
      <c r="D525" s="24" t="s">
        <v>1130</v>
      </c>
    </row>
    <row r="528">
      <c r="A528" s="19" t="s">
        <v>50</v>
      </c>
      <c r="B528" s="29">
        <v>46145.0</v>
      </c>
    </row>
    <row r="529">
      <c r="B529" s="21" t="s">
        <v>4</v>
      </c>
      <c r="C529" s="21" t="s">
        <v>5</v>
      </c>
      <c r="D529" s="21" t="s">
        <v>6</v>
      </c>
      <c r="E529" s="21" t="s">
        <v>7</v>
      </c>
    </row>
    <row r="530">
      <c r="A530" s="22" t="s">
        <v>91</v>
      </c>
      <c r="B530" s="24">
        <v>83.7</v>
      </c>
      <c r="C530" s="24">
        <v>82.6</v>
      </c>
      <c r="D530" s="24">
        <v>88.6</v>
      </c>
      <c r="E530" s="24">
        <v>86.4</v>
      </c>
    </row>
    <row r="531">
      <c r="A531" s="22" t="s">
        <v>92</v>
      </c>
      <c r="B531" s="24">
        <v>14.0</v>
      </c>
      <c r="C531" s="24">
        <v>14.0</v>
      </c>
      <c r="D531" s="24">
        <v>30.0</v>
      </c>
      <c r="E531" s="24">
        <v>20.0</v>
      </c>
    </row>
    <row r="532">
      <c r="A532" s="22" t="s">
        <v>93</v>
      </c>
      <c r="B532" s="24">
        <f>B515-B144</f>
        <v>18567</v>
      </c>
      <c r="C532" s="24">
        <f t="shared" ref="C532:E532" si="92">C515-C531</f>
        <v>19427</v>
      </c>
      <c r="D532" s="24">
        <f t="shared" si="92"/>
        <v>19027</v>
      </c>
      <c r="E532" s="24">
        <f t="shared" si="92"/>
        <v>19668</v>
      </c>
    </row>
    <row r="533">
      <c r="A533" s="22" t="s">
        <v>94</v>
      </c>
      <c r="B533" s="23">
        <f t="shared" ref="B533:E533" si="93">B539*30</f>
        <v>300</v>
      </c>
      <c r="C533" s="23">
        <f t="shared" si="93"/>
        <v>360</v>
      </c>
      <c r="D533" s="23">
        <f t="shared" si="93"/>
        <v>330</v>
      </c>
      <c r="E533" s="23">
        <f t="shared" si="93"/>
        <v>600</v>
      </c>
    </row>
    <row r="534">
      <c r="A534" s="22" t="s">
        <v>95</v>
      </c>
      <c r="B534" s="24">
        <v>0.0</v>
      </c>
      <c r="C534" s="24">
        <v>4.0</v>
      </c>
      <c r="D534" s="24">
        <v>25.0</v>
      </c>
      <c r="E534" s="24">
        <v>10.0</v>
      </c>
    </row>
    <row r="535">
      <c r="A535" s="22" t="s">
        <v>96</v>
      </c>
      <c r="B535" s="24">
        <v>0.0</v>
      </c>
      <c r="C535" s="24">
        <v>0.0</v>
      </c>
      <c r="D535" s="24">
        <v>0.0</v>
      </c>
      <c r="E535" s="24">
        <v>2.0</v>
      </c>
    </row>
    <row r="536">
      <c r="A536" s="22" t="s">
        <v>111</v>
      </c>
      <c r="B536" s="24">
        <v>140.0</v>
      </c>
      <c r="C536" s="24">
        <v>140.0</v>
      </c>
      <c r="D536" s="24">
        <v>140.0</v>
      </c>
      <c r="E536" s="24">
        <v>140.0</v>
      </c>
    </row>
    <row r="537">
      <c r="A537" s="22" t="s">
        <v>98</v>
      </c>
      <c r="B537" s="24">
        <v>0.0</v>
      </c>
      <c r="C537" s="24">
        <v>0.0</v>
      </c>
      <c r="D537" s="24" t="s">
        <v>1131</v>
      </c>
      <c r="E537" s="24">
        <v>0.0</v>
      </c>
    </row>
    <row r="538">
      <c r="A538" s="22" t="s">
        <v>112</v>
      </c>
      <c r="B538" s="26">
        <f t="shared" ref="B538:E538" si="94">round(((B533/B532)*100),2)</f>
        <v>1.62</v>
      </c>
      <c r="C538" s="26">
        <f t="shared" si="94"/>
        <v>1.85</v>
      </c>
      <c r="D538" s="26">
        <f t="shared" si="94"/>
        <v>1.73</v>
      </c>
      <c r="E538" s="26">
        <f t="shared" si="94"/>
        <v>3.05</v>
      </c>
    </row>
    <row r="539">
      <c r="A539" s="22" t="s">
        <v>100</v>
      </c>
      <c r="B539" s="24">
        <v>10.0</v>
      </c>
      <c r="C539" s="24">
        <v>12.0</v>
      </c>
      <c r="D539" s="24">
        <v>11.0</v>
      </c>
      <c r="E539" s="24">
        <v>20.0</v>
      </c>
    </row>
    <row r="540">
      <c r="A540" s="23" t="s">
        <v>471</v>
      </c>
      <c r="B540" s="32" t="s">
        <v>1019</v>
      </c>
      <c r="C540" s="32" t="s">
        <v>984</v>
      </c>
      <c r="D540" s="32"/>
      <c r="E540" s="32" t="s">
        <v>984</v>
      </c>
    </row>
    <row r="541">
      <c r="A541" s="22" t="s">
        <v>178</v>
      </c>
      <c r="B541" s="24" t="s">
        <v>1132</v>
      </c>
      <c r="C541" s="24" t="s">
        <v>1085</v>
      </c>
      <c r="D541" s="18"/>
      <c r="E541" s="18"/>
    </row>
    <row r="542">
      <c r="A542" s="22" t="s">
        <v>103</v>
      </c>
      <c r="B542" s="24"/>
      <c r="D542" s="24" t="s">
        <v>1133</v>
      </c>
    </row>
    <row r="545">
      <c r="A545" s="19" t="s">
        <v>50</v>
      </c>
      <c r="B545" s="29">
        <v>46176.0</v>
      </c>
    </row>
    <row r="546">
      <c r="B546" s="21" t="s">
        <v>4</v>
      </c>
      <c r="C546" s="21" t="s">
        <v>5</v>
      </c>
      <c r="D546" s="21" t="s">
        <v>6</v>
      </c>
      <c r="E546" s="21" t="s">
        <v>7</v>
      </c>
    </row>
    <row r="547">
      <c r="A547" s="22" t="s">
        <v>91</v>
      </c>
      <c r="B547" s="24">
        <v>84.1</v>
      </c>
      <c r="C547" s="24">
        <v>82.7</v>
      </c>
      <c r="D547" s="24">
        <v>88.7</v>
      </c>
      <c r="E547" s="24">
        <v>86.5</v>
      </c>
    </row>
    <row r="548">
      <c r="A548" s="22" t="s">
        <v>92</v>
      </c>
      <c r="B548" s="24">
        <v>26.0</v>
      </c>
      <c r="C548" s="24">
        <v>11.0</v>
      </c>
      <c r="D548" s="24">
        <v>23.0</v>
      </c>
      <c r="E548" s="24">
        <v>21.0</v>
      </c>
    </row>
    <row r="549">
      <c r="A549" s="22" t="s">
        <v>93</v>
      </c>
      <c r="B549" s="24">
        <f>B532-B161</f>
        <v>18549</v>
      </c>
      <c r="C549" s="24">
        <f t="shared" ref="C549:E549" si="95">C532-C548</f>
        <v>19416</v>
      </c>
      <c r="D549" s="24">
        <f t="shared" si="95"/>
        <v>19004</v>
      </c>
      <c r="E549" s="24">
        <f t="shared" si="95"/>
        <v>19647</v>
      </c>
    </row>
    <row r="550">
      <c r="A550" s="22" t="s">
        <v>94</v>
      </c>
      <c r="B550" s="23">
        <f t="shared" ref="B550:E550" si="96">B556*30</f>
        <v>60</v>
      </c>
      <c r="C550" s="23">
        <f t="shared" si="96"/>
        <v>60</v>
      </c>
      <c r="D550" s="23">
        <f t="shared" si="96"/>
        <v>30</v>
      </c>
      <c r="E550" s="23">
        <f t="shared" si="96"/>
        <v>90</v>
      </c>
    </row>
    <row r="551">
      <c r="A551" s="22" t="s">
        <v>95</v>
      </c>
      <c r="B551" s="24">
        <v>0.0</v>
      </c>
      <c r="C551" s="24">
        <v>0.0</v>
      </c>
      <c r="D551" s="24">
        <v>0.0</v>
      </c>
      <c r="E551" s="24">
        <v>0.0</v>
      </c>
    </row>
    <row r="552">
      <c r="A552" s="22" t="s">
        <v>96</v>
      </c>
      <c r="B552" s="24">
        <v>0.0</v>
      </c>
      <c r="C552" s="24">
        <v>0.0</v>
      </c>
      <c r="D552" s="24">
        <v>0.0</v>
      </c>
      <c r="E552" s="24">
        <v>0.0</v>
      </c>
    </row>
    <row r="553">
      <c r="A553" s="22" t="s">
        <v>111</v>
      </c>
      <c r="B553" s="24">
        <v>140.0</v>
      </c>
      <c r="C553" s="24">
        <v>140.0</v>
      </c>
      <c r="D553" s="24">
        <v>140.0</v>
      </c>
      <c r="E553" s="24">
        <v>140.0</v>
      </c>
    </row>
    <row r="554">
      <c r="A554" s="22" t="s">
        <v>98</v>
      </c>
      <c r="B554" s="24">
        <v>0.0</v>
      </c>
      <c r="C554" s="24">
        <v>0.0</v>
      </c>
      <c r="D554" s="24">
        <v>0.0</v>
      </c>
      <c r="E554" s="24">
        <v>0.0</v>
      </c>
    </row>
    <row r="555">
      <c r="A555" s="22" t="s">
        <v>112</v>
      </c>
      <c r="B555" s="26">
        <f t="shared" ref="B555:E555" si="97">round(((B550/B549)*100),2)</f>
        <v>0.32</v>
      </c>
      <c r="C555" s="26">
        <f t="shared" si="97"/>
        <v>0.31</v>
      </c>
      <c r="D555" s="26">
        <f t="shared" si="97"/>
        <v>0.16</v>
      </c>
      <c r="E555" s="26">
        <f t="shared" si="97"/>
        <v>0.46</v>
      </c>
    </row>
    <row r="556">
      <c r="A556" s="22" t="s">
        <v>100</v>
      </c>
      <c r="B556" s="24">
        <v>2.0</v>
      </c>
      <c r="C556" s="24">
        <v>2.0</v>
      </c>
      <c r="D556" s="24">
        <v>1.0</v>
      </c>
      <c r="E556" s="24">
        <v>3.0</v>
      </c>
    </row>
    <row r="557">
      <c r="A557" s="23" t="s">
        <v>471</v>
      </c>
      <c r="B557" s="32" t="s">
        <v>1019</v>
      </c>
      <c r="C557" s="32" t="s">
        <v>984</v>
      </c>
      <c r="D557" s="32"/>
      <c r="E557" s="32" t="s">
        <v>984</v>
      </c>
    </row>
    <row r="558">
      <c r="A558" s="22" t="s">
        <v>178</v>
      </c>
      <c r="B558" s="24" t="s">
        <v>1134</v>
      </c>
      <c r="C558" s="24" t="s">
        <v>1135</v>
      </c>
      <c r="D558" s="18"/>
      <c r="E558" s="18"/>
    </row>
    <row r="559">
      <c r="A559" s="22" t="s">
        <v>103</v>
      </c>
      <c r="B559" s="24" t="s">
        <v>1136</v>
      </c>
      <c r="D559" s="24" t="s">
        <v>1137</v>
      </c>
    </row>
    <row r="562">
      <c r="A562" s="19" t="s">
        <v>50</v>
      </c>
      <c r="B562" s="29">
        <v>46206.0</v>
      </c>
    </row>
    <row r="563">
      <c r="B563" s="21" t="s">
        <v>4</v>
      </c>
      <c r="C563" s="21" t="s">
        <v>5</v>
      </c>
      <c r="D563" s="21" t="s">
        <v>6</v>
      </c>
      <c r="E563" s="21" t="s">
        <v>7</v>
      </c>
    </row>
    <row r="564">
      <c r="A564" s="22" t="s">
        <v>91</v>
      </c>
      <c r="B564" s="24">
        <v>84.2</v>
      </c>
      <c r="C564" s="24">
        <v>83.1</v>
      </c>
      <c r="D564" s="24">
        <v>89.1</v>
      </c>
      <c r="E564" s="24">
        <v>86.6</v>
      </c>
    </row>
    <row r="565">
      <c r="A565" s="22" t="s">
        <v>92</v>
      </c>
      <c r="B565" s="24">
        <v>23.0</v>
      </c>
      <c r="C565" s="24">
        <v>13.0</v>
      </c>
      <c r="D565" s="24">
        <v>27.0</v>
      </c>
      <c r="E565" s="24">
        <v>15.0</v>
      </c>
    </row>
    <row r="566">
      <c r="A566" s="22" t="s">
        <v>93</v>
      </c>
      <c r="B566" s="24">
        <f>B549-B178</f>
        <v>18522</v>
      </c>
      <c r="C566" s="24">
        <f t="shared" ref="C566:E566" si="98">C549-C565</f>
        <v>19403</v>
      </c>
      <c r="D566" s="24">
        <f t="shared" si="98"/>
        <v>18977</v>
      </c>
      <c r="E566" s="24">
        <f t="shared" si="98"/>
        <v>19632</v>
      </c>
    </row>
    <row r="567">
      <c r="A567" s="22" t="s">
        <v>94</v>
      </c>
      <c r="B567" s="23">
        <f t="shared" ref="B567:E567" si="99">B573*30</f>
        <v>60</v>
      </c>
      <c r="C567" s="23">
        <f t="shared" si="99"/>
        <v>0</v>
      </c>
      <c r="D567" s="23">
        <f t="shared" si="99"/>
        <v>0</v>
      </c>
      <c r="E567" s="23">
        <f t="shared" si="99"/>
        <v>0</v>
      </c>
    </row>
    <row r="568">
      <c r="A568" s="22" t="s">
        <v>95</v>
      </c>
      <c r="B568" s="24">
        <v>0.0</v>
      </c>
      <c r="C568" s="24">
        <v>0.0</v>
      </c>
      <c r="D568" s="24">
        <v>0.0</v>
      </c>
      <c r="E568" s="24">
        <v>0.0</v>
      </c>
    </row>
    <row r="569">
      <c r="A569" s="22" t="s">
        <v>96</v>
      </c>
      <c r="B569" s="24">
        <v>0.0</v>
      </c>
      <c r="C569" s="24">
        <v>0.0</v>
      </c>
      <c r="D569" s="24">
        <v>0.0</v>
      </c>
      <c r="E569" s="24">
        <v>0.0</v>
      </c>
    </row>
    <row r="570">
      <c r="A570" s="22" t="s">
        <v>111</v>
      </c>
      <c r="B570" s="24">
        <v>140.0</v>
      </c>
      <c r="C570" s="24">
        <v>140.0</v>
      </c>
      <c r="D570" s="24">
        <v>140.0</v>
      </c>
      <c r="E570" s="24">
        <v>140.0</v>
      </c>
    </row>
    <row r="571">
      <c r="A571" s="22" t="s">
        <v>98</v>
      </c>
      <c r="B571" s="24">
        <v>0.0</v>
      </c>
      <c r="C571" s="24">
        <v>0.0</v>
      </c>
      <c r="D571" s="24">
        <v>0.0</v>
      </c>
      <c r="E571" s="24">
        <v>0.0</v>
      </c>
    </row>
    <row r="572">
      <c r="A572" s="22" t="s">
        <v>112</v>
      </c>
      <c r="B572" s="26">
        <f t="shared" ref="B572:E572" si="100">round(((B567/B566)*100),2)</f>
        <v>0.32</v>
      </c>
      <c r="C572" s="26">
        <f t="shared" si="100"/>
        <v>0</v>
      </c>
      <c r="D572" s="26">
        <f t="shared" si="100"/>
        <v>0</v>
      </c>
      <c r="E572" s="26">
        <f t="shared" si="100"/>
        <v>0</v>
      </c>
    </row>
    <row r="573">
      <c r="A573" s="22" t="s">
        <v>100</v>
      </c>
      <c r="B573" s="24">
        <v>2.0</v>
      </c>
      <c r="C573" s="24"/>
      <c r="D573" s="24"/>
      <c r="E573" s="24"/>
    </row>
    <row r="574">
      <c r="A574" s="23" t="s">
        <v>471</v>
      </c>
      <c r="B574" s="32" t="s">
        <v>1019</v>
      </c>
      <c r="C574" s="32" t="s">
        <v>984</v>
      </c>
      <c r="D574" s="32"/>
      <c r="E574" s="32" t="s">
        <v>984</v>
      </c>
    </row>
    <row r="575">
      <c r="A575" s="22" t="s">
        <v>178</v>
      </c>
      <c r="B575" s="24" t="s">
        <v>1138</v>
      </c>
      <c r="C575" s="24" t="s">
        <v>1139</v>
      </c>
      <c r="D575" s="18"/>
      <c r="E575" s="18"/>
    </row>
    <row r="576">
      <c r="A576" s="22" t="s">
        <v>103</v>
      </c>
      <c r="B576" s="24"/>
      <c r="D576" s="24" t="s">
        <v>1137</v>
      </c>
    </row>
    <row r="579">
      <c r="A579" s="19" t="s">
        <v>50</v>
      </c>
      <c r="B579" s="29">
        <v>46237.0</v>
      </c>
    </row>
    <row r="580">
      <c r="B580" s="21" t="s">
        <v>4</v>
      </c>
      <c r="C580" s="21" t="s">
        <v>5</v>
      </c>
      <c r="D580" s="21" t="s">
        <v>6</v>
      </c>
      <c r="E580" s="21" t="s">
        <v>7</v>
      </c>
    </row>
    <row r="581">
      <c r="A581" s="22" t="s">
        <v>91</v>
      </c>
      <c r="B581" s="24">
        <v>84.3</v>
      </c>
      <c r="C581" s="24">
        <v>83.2</v>
      </c>
      <c r="D581" s="24">
        <v>89.2</v>
      </c>
      <c r="E581" s="24">
        <v>86.7</v>
      </c>
    </row>
    <row r="582">
      <c r="A582" s="22" t="s">
        <v>92</v>
      </c>
      <c r="B582" s="24">
        <v>16.0</v>
      </c>
      <c r="C582" s="24">
        <v>21.0</v>
      </c>
      <c r="D582" s="24">
        <v>30.0</v>
      </c>
      <c r="E582" s="24">
        <v>30.0</v>
      </c>
    </row>
    <row r="583">
      <c r="A583" s="22" t="s">
        <v>93</v>
      </c>
      <c r="B583" s="24">
        <f>B566-B195</f>
        <v>18500</v>
      </c>
      <c r="C583" s="24">
        <f t="shared" ref="C583:E583" si="101">C566-C582</f>
        <v>19382</v>
      </c>
      <c r="D583" s="24">
        <f t="shared" si="101"/>
        <v>18947</v>
      </c>
      <c r="E583" s="24">
        <f t="shared" si="101"/>
        <v>19602</v>
      </c>
    </row>
    <row r="584">
      <c r="A584" s="22" t="s">
        <v>94</v>
      </c>
      <c r="B584" s="23">
        <f t="shared" ref="B584:E584" si="102">B590*30</f>
        <v>0</v>
      </c>
      <c r="C584" s="23">
        <f t="shared" si="102"/>
        <v>0</v>
      </c>
      <c r="D584" s="23">
        <f t="shared" si="102"/>
        <v>0</v>
      </c>
      <c r="E584" s="23">
        <f t="shared" si="102"/>
        <v>0</v>
      </c>
    </row>
    <row r="585">
      <c r="A585" s="22" t="s">
        <v>95</v>
      </c>
      <c r="B585" s="24">
        <v>0.0</v>
      </c>
      <c r="C585" s="24">
        <v>0.0</v>
      </c>
      <c r="D585" s="24">
        <v>0.0</v>
      </c>
      <c r="E585" s="24">
        <v>0.0</v>
      </c>
    </row>
    <row r="586">
      <c r="A586" s="22" t="s">
        <v>96</v>
      </c>
      <c r="B586" s="24">
        <v>0.0</v>
      </c>
      <c r="C586" s="24">
        <v>0.0</v>
      </c>
      <c r="D586" s="24">
        <v>0.0</v>
      </c>
      <c r="E586" s="24">
        <v>0.0</v>
      </c>
    </row>
    <row r="587">
      <c r="A587" s="22" t="s">
        <v>111</v>
      </c>
      <c r="B587" s="24">
        <v>140.0</v>
      </c>
      <c r="C587" s="24">
        <v>140.0</v>
      </c>
      <c r="D587" s="24">
        <v>140.0</v>
      </c>
      <c r="E587" s="24">
        <v>140.0</v>
      </c>
    </row>
    <row r="588">
      <c r="A588" s="22" t="s">
        <v>98</v>
      </c>
      <c r="B588" s="24">
        <v>0.0</v>
      </c>
      <c r="C588" s="24">
        <v>0.0</v>
      </c>
      <c r="D588" s="24">
        <v>0.0</v>
      </c>
      <c r="E588" s="24">
        <v>0.0</v>
      </c>
    </row>
    <row r="589">
      <c r="A589" s="22" t="s">
        <v>112</v>
      </c>
      <c r="B589" s="26">
        <f t="shared" ref="B589:E589" si="103">round(((B584/B583)*100),2)</f>
        <v>0</v>
      </c>
      <c r="C589" s="26">
        <f t="shared" si="103"/>
        <v>0</v>
      </c>
      <c r="D589" s="26">
        <f t="shared" si="103"/>
        <v>0</v>
      </c>
      <c r="E589" s="26">
        <f t="shared" si="103"/>
        <v>0</v>
      </c>
    </row>
    <row r="590">
      <c r="A590" s="22" t="s">
        <v>100</v>
      </c>
      <c r="B590" s="24"/>
      <c r="C590" s="24"/>
      <c r="D590" s="24"/>
      <c r="E590" s="24"/>
    </row>
    <row r="591">
      <c r="A591" s="23" t="s">
        <v>471</v>
      </c>
      <c r="B591" s="32" t="s">
        <v>1019</v>
      </c>
      <c r="C591" s="32" t="s">
        <v>984</v>
      </c>
      <c r="D591" s="32"/>
      <c r="E591" s="32" t="s">
        <v>984</v>
      </c>
    </row>
    <row r="592">
      <c r="A592" s="22" t="s">
        <v>178</v>
      </c>
      <c r="B592" s="24" t="s">
        <v>1138</v>
      </c>
      <c r="C592" s="24" t="s">
        <v>1140</v>
      </c>
      <c r="D592" s="18"/>
      <c r="E592" s="18"/>
    </row>
    <row r="593">
      <c r="A593" s="22" t="s">
        <v>103</v>
      </c>
      <c r="B593" s="24"/>
      <c r="D593" s="24" t="s">
        <v>1137</v>
      </c>
    </row>
    <row r="596">
      <c r="A596" s="19" t="s">
        <v>50</v>
      </c>
      <c r="B596" s="29">
        <v>46268.0</v>
      </c>
    </row>
    <row r="597">
      <c r="B597" s="21" t="s">
        <v>4</v>
      </c>
      <c r="C597" s="21" t="s">
        <v>5</v>
      </c>
      <c r="D597" s="21" t="s">
        <v>6</v>
      </c>
      <c r="E597" s="21" t="s">
        <v>7</v>
      </c>
    </row>
    <row r="598">
      <c r="A598" s="22" t="s">
        <v>91</v>
      </c>
      <c r="B598" s="24">
        <v>84.4</v>
      </c>
      <c r="C598" s="24">
        <v>83.3</v>
      </c>
      <c r="D598" s="24">
        <v>89.3</v>
      </c>
      <c r="E598" s="24">
        <v>87.1</v>
      </c>
    </row>
    <row r="599">
      <c r="A599" s="22" t="s">
        <v>92</v>
      </c>
      <c r="B599" s="24">
        <v>22.0</v>
      </c>
      <c r="C599" s="24">
        <v>17.0</v>
      </c>
      <c r="D599" s="24">
        <v>43.0</v>
      </c>
      <c r="E599" s="24">
        <v>25.0</v>
      </c>
    </row>
    <row r="600">
      <c r="A600" s="22" t="s">
        <v>93</v>
      </c>
      <c r="B600" s="24">
        <f>B583-B212</f>
        <v>18470</v>
      </c>
      <c r="C600" s="24">
        <f t="shared" ref="C600:E600" si="104">C583-C599</f>
        <v>19365</v>
      </c>
      <c r="D600" s="24">
        <f t="shared" si="104"/>
        <v>18904</v>
      </c>
      <c r="E600" s="24">
        <f t="shared" si="104"/>
        <v>19577</v>
      </c>
    </row>
    <row r="601">
      <c r="A601" s="22" t="s">
        <v>94</v>
      </c>
      <c r="B601" s="23">
        <f t="shared" ref="B601:E601" si="105">B607*30</f>
        <v>0</v>
      </c>
      <c r="C601" s="23">
        <f t="shared" si="105"/>
        <v>0</v>
      </c>
      <c r="D601" s="23">
        <f t="shared" si="105"/>
        <v>0</v>
      </c>
      <c r="E601" s="23">
        <f t="shared" si="105"/>
        <v>0</v>
      </c>
    </row>
    <row r="602">
      <c r="A602" s="22" t="s">
        <v>95</v>
      </c>
      <c r="B602" s="24">
        <v>0.0</v>
      </c>
      <c r="C602" s="24">
        <v>0.0</v>
      </c>
      <c r="D602" s="24">
        <v>0.0</v>
      </c>
      <c r="E602" s="24">
        <v>0.0</v>
      </c>
    </row>
    <row r="603">
      <c r="A603" s="22" t="s">
        <v>96</v>
      </c>
      <c r="B603" s="24">
        <v>0.0</v>
      </c>
      <c r="C603" s="24">
        <v>0.0</v>
      </c>
      <c r="D603" s="24">
        <v>0.0</v>
      </c>
      <c r="E603" s="24">
        <v>0.0</v>
      </c>
    </row>
    <row r="604">
      <c r="A604" s="22" t="s">
        <v>111</v>
      </c>
      <c r="B604" s="24">
        <v>140.0</v>
      </c>
      <c r="C604" s="24">
        <v>140.0</v>
      </c>
      <c r="D604" s="24">
        <v>140.0</v>
      </c>
      <c r="E604" s="24">
        <v>140.0</v>
      </c>
    </row>
    <row r="605">
      <c r="A605" s="22" t="s">
        <v>98</v>
      </c>
      <c r="B605" s="24">
        <v>0.0</v>
      </c>
      <c r="C605" s="24">
        <v>0.0</v>
      </c>
      <c r="D605" s="24">
        <v>0.0</v>
      </c>
      <c r="E605" s="24">
        <v>0.0</v>
      </c>
    </row>
    <row r="606">
      <c r="A606" s="22" t="s">
        <v>112</v>
      </c>
      <c r="B606" s="26">
        <f t="shared" ref="B606:E606" si="106">round(((B601/B600)*100),2)</f>
        <v>0</v>
      </c>
      <c r="C606" s="26">
        <f t="shared" si="106"/>
        <v>0</v>
      </c>
      <c r="D606" s="26">
        <f t="shared" si="106"/>
        <v>0</v>
      </c>
      <c r="E606" s="26">
        <f t="shared" si="106"/>
        <v>0</v>
      </c>
    </row>
    <row r="607">
      <c r="A607" s="22" t="s">
        <v>100</v>
      </c>
      <c r="B607" s="24"/>
      <c r="C607" s="24"/>
      <c r="D607" s="24"/>
      <c r="E607" s="24"/>
    </row>
    <row r="608">
      <c r="A608" s="23" t="s">
        <v>471</v>
      </c>
      <c r="B608" s="32" t="s">
        <v>1019</v>
      </c>
      <c r="C608" s="32" t="s">
        <v>984</v>
      </c>
      <c r="D608" s="32"/>
      <c r="E608" s="32" t="s">
        <v>984</v>
      </c>
    </row>
    <row r="609">
      <c r="A609" s="22" t="s">
        <v>178</v>
      </c>
      <c r="B609" s="24" t="s">
        <v>1138</v>
      </c>
      <c r="C609" s="24" t="s">
        <v>1135</v>
      </c>
      <c r="D609" s="18"/>
      <c r="E609" s="18"/>
    </row>
    <row r="610">
      <c r="A610" s="22" t="s">
        <v>103</v>
      </c>
      <c r="B610" s="24"/>
      <c r="D610" s="24" t="s">
        <v>1137</v>
      </c>
    </row>
    <row r="613">
      <c r="A613" s="19" t="s">
        <v>50</v>
      </c>
      <c r="B613" s="29">
        <v>46298.0</v>
      </c>
    </row>
    <row r="614">
      <c r="B614" s="21" t="s">
        <v>4</v>
      </c>
      <c r="C614" s="21" t="s">
        <v>5</v>
      </c>
      <c r="D614" s="21" t="s">
        <v>6</v>
      </c>
      <c r="E614" s="21" t="s">
        <v>7</v>
      </c>
    </row>
    <row r="615">
      <c r="A615" s="22" t="s">
        <v>91</v>
      </c>
      <c r="B615" s="24">
        <v>84.5</v>
      </c>
      <c r="C615" s="24">
        <v>83.4</v>
      </c>
      <c r="D615" s="24">
        <v>89.4</v>
      </c>
      <c r="E615" s="24">
        <v>87.2</v>
      </c>
    </row>
    <row r="616">
      <c r="A616" s="22" t="s">
        <v>92</v>
      </c>
      <c r="B616" s="24">
        <v>25.0</v>
      </c>
      <c r="C616" s="24">
        <v>31.0</v>
      </c>
      <c r="D616" s="24">
        <v>54.0</v>
      </c>
      <c r="E616" s="24">
        <v>32.0</v>
      </c>
    </row>
    <row r="617">
      <c r="A617" s="22" t="s">
        <v>93</v>
      </c>
      <c r="B617" s="24">
        <f>B600-B229</f>
        <v>18449</v>
      </c>
      <c r="C617" s="24">
        <f t="shared" ref="C617:E617" si="107">C600-C616</f>
        <v>19334</v>
      </c>
      <c r="D617" s="24">
        <f t="shared" si="107"/>
        <v>18850</v>
      </c>
      <c r="E617" s="24">
        <f t="shared" si="107"/>
        <v>19545</v>
      </c>
    </row>
    <row r="618">
      <c r="A618" s="22" t="s">
        <v>94</v>
      </c>
      <c r="B618" s="23">
        <f t="shared" ref="B618:E618" si="108">B624*30</f>
        <v>0</v>
      </c>
      <c r="C618" s="23">
        <f t="shared" si="108"/>
        <v>0</v>
      </c>
      <c r="D618" s="23">
        <f t="shared" si="108"/>
        <v>0</v>
      </c>
      <c r="E618" s="23">
        <f t="shared" si="108"/>
        <v>0</v>
      </c>
    </row>
    <row r="619">
      <c r="A619" s="22" t="s">
        <v>95</v>
      </c>
      <c r="B619" s="24">
        <v>0.0</v>
      </c>
      <c r="C619" s="24">
        <v>0.0</v>
      </c>
      <c r="D619" s="24">
        <v>0.0</v>
      </c>
      <c r="E619" s="24">
        <v>0.0</v>
      </c>
    </row>
    <row r="620">
      <c r="A620" s="22" t="s">
        <v>96</v>
      </c>
      <c r="B620" s="24">
        <v>0.0</v>
      </c>
      <c r="C620" s="24">
        <v>0.0</v>
      </c>
      <c r="D620" s="24">
        <v>0.0</v>
      </c>
      <c r="E620" s="24">
        <v>0.0</v>
      </c>
    </row>
    <row r="621">
      <c r="A621" s="22" t="s">
        <v>111</v>
      </c>
      <c r="B621" s="24">
        <v>140.0</v>
      </c>
      <c r="C621" s="24">
        <v>140.0</v>
      </c>
      <c r="D621" s="24">
        <v>140.0</v>
      </c>
      <c r="E621" s="24">
        <v>140.0</v>
      </c>
    </row>
    <row r="622">
      <c r="A622" s="22" t="s">
        <v>98</v>
      </c>
      <c r="B622" s="24">
        <v>0.0</v>
      </c>
      <c r="C622" s="24">
        <v>0.0</v>
      </c>
      <c r="D622" s="24">
        <v>0.0</v>
      </c>
      <c r="E622" s="24">
        <v>0.0</v>
      </c>
    </row>
    <row r="623">
      <c r="A623" s="22" t="s">
        <v>112</v>
      </c>
      <c r="B623" s="26">
        <f t="shared" ref="B623:E623" si="109">round(((B618/B617)*100),2)</f>
        <v>0</v>
      </c>
      <c r="C623" s="26">
        <f t="shared" si="109"/>
        <v>0</v>
      </c>
      <c r="D623" s="26">
        <f t="shared" si="109"/>
        <v>0</v>
      </c>
      <c r="E623" s="26">
        <f t="shared" si="109"/>
        <v>0</v>
      </c>
    </row>
    <row r="624">
      <c r="A624" s="22" t="s">
        <v>100</v>
      </c>
      <c r="B624" s="24"/>
      <c r="C624" s="24"/>
      <c r="D624" s="24"/>
      <c r="E624" s="24"/>
    </row>
    <row r="625">
      <c r="A625" s="23" t="s">
        <v>471</v>
      </c>
      <c r="B625" s="32" t="s">
        <v>1019</v>
      </c>
      <c r="C625" s="32" t="s">
        <v>984</v>
      </c>
      <c r="D625" s="32"/>
      <c r="E625" s="32" t="s">
        <v>984</v>
      </c>
    </row>
    <row r="626">
      <c r="A626" s="22" t="s">
        <v>178</v>
      </c>
      <c r="B626" s="24" t="s">
        <v>1138</v>
      </c>
      <c r="C626" s="24" t="s">
        <v>1135</v>
      </c>
      <c r="D626" s="18"/>
      <c r="E626" s="18"/>
    </row>
    <row r="627">
      <c r="A627" s="22" t="s">
        <v>103</v>
      </c>
      <c r="B627" s="24"/>
      <c r="D627" s="24" t="s">
        <v>1137</v>
      </c>
    </row>
    <row r="630">
      <c r="A630" s="19" t="s">
        <v>50</v>
      </c>
      <c r="B630" s="29">
        <v>46329.0</v>
      </c>
    </row>
    <row r="631">
      <c r="B631" s="21" t="s">
        <v>4</v>
      </c>
      <c r="C631" s="21" t="s">
        <v>5</v>
      </c>
      <c r="D631" s="21" t="s">
        <v>6</v>
      </c>
      <c r="E631" s="21" t="s">
        <v>7</v>
      </c>
    </row>
    <row r="632">
      <c r="A632" s="22" t="s">
        <v>91</v>
      </c>
      <c r="B632" s="24">
        <v>84.6</v>
      </c>
      <c r="C632" s="24">
        <v>83.5</v>
      </c>
      <c r="D632" s="24">
        <v>89.5</v>
      </c>
      <c r="E632" s="24">
        <v>87.3</v>
      </c>
    </row>
    <row r="633">
      <c r="A633" s="22" t="s">
        <v>92</v>
      </c>
      <c r="B633" s="24">
        <v>17.0</v>
      </c>
      <c r="C633" s="24">
        <v>19.0</v>
      </c>
      <c r="D633" s="24">
        <v>71.0</v>
      </c>
      <c r="E633" s="24">
        <v>19.0</v>
      </c>
    </row>
    <row r="634">
      <c r="A634" s="22" t="s">
        <v>93</v>
      </c>
      <c r="B634" s="24">
        <f>B617-B246</f>
        <v>18437</v>
      </c>
      <c r="C634" s="24">
        <f t="shared" ref="C634:E634" si="110">C617-C633</f>
        <v>19315</v>
      </c>
      <c r="D634" s="24">
        <f t="shared" si="110"/>
        <v>18779</v>
      </c>
      <c r="E634" s="24">
        <f t="shared" si="110"/>
        <v>19526</v>
      </c>
    </row>
    <row r="635">
      <c r="A635" s="22" t="s">
        <v>94</v>
      </c>
      <c r="B635" s="23">
        <f t="shared" ref="B635:E635" si="111">B641*30</f>
        <v>0</v>
      </c>
      <c r="C635" s="23">
        <f t="shared" si="111"/>
        <v>0</v>
      </c>
      <c r="D635" s="23">
        <f t="shared" si="111"/>
        <v>0</v>
      </c>
      <c r="E635" s="23">
        <f t="shared" si="111"/>
        <v>0</v>
      </c>
    </row>
    <row r="636">
      <c r="A636" s="22" t="s">
        <v>95</v>
      </c>
      <c r="B636" s="24">
        <v>0.0</v>
      </c>
      <c r="C636" s="24">
        <v>0.0</v>
      </c>
      <c r="D636" s="24">
        <v>0.0</v>
      </c>
      <c r="E636" s="24">
        <v>0.0</v>
      </c>
    </row>
    <row r="637">
      <c r="A637" s="22" t="s">
        <v>96</v>
      </c>
      <c r="B637" s="24">
        <v>0.0</v>
      </c>
      <c r="C637" s="24">
        <v>0.0</v>
      </c>
      <c r="D637" s="24">
        <v>0.0</v>
      </c>
      <c r="E637" s="24">
        <v>0.0</v>
      </c>
    </row>
    <row r="638">
      <c r="A638" s="22" t="s">
        <v>111</v>
      </c>
      <c r="B638" s="24">
        <v>140.0</v>
      </c>
      <c r="C638" s="24">
        <v>140.0</v>
      </c>
      <c r="D638" s="24">
        <v>140.0</v>
      </c>
      <c r="E638" s="24">
        <v>140.0</v>
      </c>
    </row>
    <row r="639">
      <c r="A639" s="22" t="s">
        <v>98</v>
      </c>
      <c r="B639" s="24">
        <v>0.0</v>
      </c>
      <c r="C639" s="24">
        <v>0.0</v>
      </c>
      <c r="D639" s="24">
        <v>0.0</v>
      </c>
      <c r="E639" s="24">
        <v>0.0</v>
      </c>
    </row>
    <row r="640">
      <c r="A640" s="22" t="s">
        <v>112</v>
      </c>
      <c r="B640" s="26">
        <f t="shared" ref="B640:E640" si="112">round(((B635/B634)*100),2)</f>
        <v>0</v>
      </c>
      <c r="C640" s="26">
        <f t="shared" si="112"/>
        <v>0</v>
      </c>
      <c r="D640" s="26">
        <f t="shared" si="112"/>
        <v>0</v>
      </c>
      <c r="E640" s="26">
        <f t="shared" si="112"/>
        <v>0</v>
      </c>
    </row>
    <row r="641">
      <c r="A641" s="22" t="s">
        <v>100</v>
      </c>
      <c r="B641" s="24"/>
      <c r="C641" s="24"/>
      <c r="D641" s="24"/>
      <c r="E641" s="24"/>
    </row>
    <row r="642">
      <c r="A642" s="23" t="s">
        <v>471</v>
      </c>
      <c r="B642" s="32" t="s">
        <v>1141</v>
      </c>
      <c r="C642" s="32" t="s">
        <v>1142</v>
      </c>
      <c r="D642" s="32" t="s">
        <v>1143</v>
      </c>
      <c r="E642" s="32" t="s">
        <v>984</v>
      </c>
    </row>
    <row r="643">
      <c r="A643" s="22" t="s">
        <v>178</v>
      </c>
      <c r="B643" s="24" t="s">
        <v>1138</v>
      </c>
      <c r="C643" s="24" t="s">
        <v>1144</v>
      </c>
      <c r="D643" s="18"/>
      <c r="E643" s="18"/>
    </row>
    <row r="644">
      <c r="A644" s="22" t="s">
        <v>103</v>
      </c>
      <c r="B644" s="24"/>
      <c r="D644" s="24" t="s">
        <v>1145</v>
      </c>
    </row>
    <row r="647">
      <c r="A647" s="19" t="s">
        <v>50</v>
      </c>
      <c r="B647" s="29">
        <v>46359.0</v>
      </c>
    </row>
    <row r="648">
      <c r="B648" s="21" t="s">
        <v>4</v>
      </c>
      <c r="C648" s="21" t="s">
        <v>5</v>
      </c>
      <c r="D648" s="21" t="s">
        <v>6</v>
      </c>
      <c r="E648" s="21" t="s">
        <v>7</v>
      </c>
    </row>
    <row r="649">
      <c r="A649" s="22" t="s">
        <v>91</v>
      </c>
      <c r="B649" s="24">
        <v>84.7</v>
      </c>
      <c r="C649" s="24">
        <v>83.6</v>
      </c>
      <c r="D649" s="24">
        <v>89.6</v>
      </c>
      <c r="E649" s="24">
        <v>87.4</v>
      </c>
    </row>
    <row r="650">
      <c r="A650" s="22" t="s">
        <v>92</v>
      </c>
      <c r="B650" s="24">
        <v>10.0</v>
      </c>
      <c r="C650" s="24">
        <v>15.0</v>
      </c>
      <c r="D650" s="24">
        <v>34.0</v>
      </c>
      <c r="E650" s="24">
        <v>13.0</v>
      </c>
    </row>
    <row r="651">
      <c r="A651" s="22" t="s">
        <v>93</v>
      </c>
      <c r="B651" s="24">
        <f>B634-B263-5</f>
        <v>18411</v>
      </c>
      <c r="C651" s="24">
        <f>C634-C650-65</f>
        <v>19235</v>
      </c>
      <c r="D651" s="24">
        <f>D634-D65-4</f>
        <v>18775</v>
      </c>
      <c r="E651" s="24">
        <f>E634-E650</f>
        <v>19513</v>
      </c>
    </row>
    <row r="652">
      <c r="A652" s="22" t="s">
        <v>94</v>
      </c>
      <c r="B652" s="23">
        <f t="shared" ref="B652:E652" si="113">B658*30</f>
        <v>0</v>
      </c>
      <c r="C652" s="23">
        <f t="shared" si="113"/>
        <v>0</v>
      </c>
      <c r="D652" s="23">
        <f t="shared" si="113"/>
        <v>0</v>
      </c>
      <c r="E652" s="23">
        <f t="shared" si="113"/>
        <v>0</v>
      </c>
    </row>
    <row r="653">
      <c r="A653" s="22" t="s">
        <v>95</v>
      </c>
      <c r="B653" s="24">
        <v>0.0</v>
      </c>
      <c r="C653" s="24">
        <v>0.0</v>
      </c>
      <c r="D653" s="24">
        <v>0.0</v>
      </c>
      <c r="E653" s="24">
        <v>0.0</v>
      </c>
    </row>
    <row r="654">
      <c r="A654" s="22" t="s">
        <v>96</v>
      </c>
      <c r="B654" s="24">
        <v>0.0</v>
      </c>
      <c r="C654" s="24">
        <v>0.0</v>
      </c>
      <c r="D654" s="24">
        <v>0.0</v>
      </c>
      <c r="E654" s="24">
        <v>0.0</v>
      </c>
    </row>
    <row r="655">
      <c r="A655" s="22" t="s">
        <v>111</v>
      </c>
      <c r="B655" s="24"/>
      <c r="C655" s="24"/>
      <c r="D655" s="24"/>
      <c r="E655" s="24"/>
    </row>
    <row r="656">
      <c r="A656" s="22" t="s">
        <v>98</v>
      </c>
      <c r="B656" s="24">
        <v>0.0</v>
      </c>
      <c r="C656" s="24">
        <v>0.0</v>
      </c>
      <c r="D656" s="24">
        <v>0.0</v>
      </c>
      <c r="E656" s="24">
        <v>0.0</v>
      </c>
    </row>
    <row r="657">
      <c r="A657" s="22" t="s">
        <v>112</v>
      </c>
      <c r="B657" s="26">
        <f t="shared" ref="B657:E657" si="114">round(((B652/B651)*100),2)</f>
        <v>0</v>
      </c>
      <c r="C657" s="26">
        <f t="shared" si="114"/>
        <v>0</v>
      </c>
      <c r="D657" s="26">
        <f t="shared" si="114"/>
        <v>0</v>
      </c>
      <c r="E657" s="26">
        <f t="shared" si="114"/>
        <v>0</v>
      </c>
    </row>
    <row r="658">
      <c r="A658" s="22" t="s">
        <v>100</v>
      </c>
      <c r="B658" s="24"/>
      <c r="C658" s="24"/>
      <c r="D658" s="24"/>
      <c r="E658" s="24"/>
    </row>
    <row r="659">
      <c r="A659" s="23" t="s">
        <v>471</v>
      </c>
      <c r="B659" s="32" t="s">
        <v>1146</v>
      </c>
      <c r="C659" s="32" t="s">
        <v>1147</v>
      </c>
      <c r="D659" s="32" t="s">
        <v>1148</v>
      </c>
      <c r="E659" s="32" t="s">
        <v>984</v>
      </c>
    </row>
    <row r="660">
      <c r="A660" s="22" t="s">
        <v>178</v>
      </c>
      <c r="B660" s="24" t="s">
        <v>1138</v>
      </c>
      <c r="C660" s="24" t="s">
        <v>1149</v>
      </c>
      <c r="D660" s="18"/>
      <c r="E660" s="18"/>
    </row>
    <row r="661">
      <c r="A661" s="22" t="s">
        <v>103</v>
      </c>
      <c r="B661" s="24"/>
      <c r="D661" s="24" t="s">
        <v>1145</v>
      </c>
    </row>
    <row r="664">
      <c r="A664" s="19" t="s">
        <v>50</v>
      </c>
      <c r="B664" s="20" t="s">
        <v>1150</v>
      </c>
    </row>
    <row r="665">
      <c r="B665" s="21" t="s">
        <v>4</v>
      </c>
      <c r="C665" s="21" t="s">
        <v>5</v>
      </c>
      <c r="D665" s="21" t="s">
        <v>6</v>
      </c>
      <c r="E665" s="21" t="s">
        <v>7</v>
      </c>
    </row>
    <row r="666">
      <c r="A666" s="22" t="s">
        <v>91</v>
      </c>
      <c r="B666" s="24">
        <v>85.1</v>
      </c>
      <c r="C666" s="24">
        <v>83.7</v>
      </c>
      <c r="D666" s="24">
        <v>89.7</v>
      </c>
      <c r="E666" s="24">
        <v>87.5</v>
      </c>
    </row>
    <row r="667">
      <c r="A667" s="22" t="s">
        <v>92</v>
      </c>
      <c r="B667" s="24">
        <v>8.0</v>
      </c>
      <c r="C667" s="24">
        <v>7.0</v>
      </c>
      <c r="D667" s="24">
        <v>9.0</v>
      </c>
      <c r="E667" s="24">
        <v>8.0</v>
      </c>
    </row>
    <row r="668">
      <c r="A668" s="22" t="s">
        <v>93</v>
      </c>
      <c r="B668" s="24">
        <f>B651-B280</f>
        <v>18379</v>
      </c>
      <c r="C668" s="24">
        <f>C651-C667-6</f>
        <v>19222</v>
      </c>
      <c r="D668" s="24">
        <f>D651-D82-46</f>
        <v>18729</v>
      </c>
      <c r="E668" s="24">
        <f>E651-E667</f>
        <v>19505</v>
      </c>
    </row>
    <row r="669">
      <c r="A669" s="22" t="s">
        <v>94</v>
      </c>
      <c r="B669" s="23">
        <f t="shared" ref="B669:E669" si="115">B675*30</f>
        <v>0</v>
      </c>
      <c r="C669" s="23">
        <f t="shared" si="115"/>
        <v>0</v>
      </c>
      <c r="D669" s="23">
        <f t="shared" si="115"/>
        <v>0</v>
      </c>
      <c r="E669" s="23">
        <f t="shared" si="115"/>
        <v>0</v>
      </c>
    </row>
    <row r="670">
      <c r="A670" s="22" t="s">
        <v>95</v>
      </c>
      <c r="B670" s="24">
        <v>0.0</v>
      </c>
      <c r="C670" s="24">
        <v>0.0</v>
      </c>
      <c r="D670" s="24">
        <v>0.0</v>
      </c>
      <c r="E670" s="24">
        <v>0.0</v>
      </c>
    </row>
    <row r="671">
      <c r="A671" s="22" t="s">
        <v>96</v>
      </c>
      <c r="B671" s="24">
        <v>0.0</v>
      </c>
      <c r="C671" s="24">
        <v>0.0</v>
      </c>
      <c r="D671" s="24">
        <v>0.0</v>
      </c>
      <c r="E671" s="24">
        <v>0.0</v>
      </c>
    </row>
    <row r="672">
      <c r="A672" s="22" t="s">
        <v>111</v>
      </c>
      <c r="B672" s="24"/>
      <c r="C672" s="24"/>
      <c r="D672" s="24"/>
      <c r="E672" s="24"/>
    </row>
    <row r="673">
      <c r="A673" s="22" t="s">
        <v>98</v>
      </c>
      <c r="B673" s="24">
        <v>0.0</v>
      </c>
      <c r="C673" s="24">
        <v>0.0</v>
      </c>
      <c r="D673" s="24">
        <v>0.0</v>
      </c>
      <c r="E673" s="24">
        <v>0.0</v>
      </c>
    </row>
    <row r="674">
      <c r="A674" s="22" t="s">
        <v>112</v>
      </c>
      <c r="B674" s="26">
        <f t="shared" ref="B674:E674" si="116">round(((B669/B668)*100),2)</f>
        <v>0</v>
      </c>
      <c r="C674" s="26">
        <f t="shared" si="116"/>
        <v>0</v>
      </c>
      <c r="D674" s="26">
        <f t="shared" si="116"/>
        <v>0</v>
      </c>
      <c r="E674" s="26">
        <f t="shared" si="116"/>
        <v>0</v>
      </c>
    </row>
    <row r="675">
      <c r="A675" s="22" t="s">
        <v>100</v>
      </c>
      <c r="B675" s="24"/>
      <c r="C675" s="24"/>
      <c r="D675" s="24"/>
      <c r="E675" s="24"/>
    </row>
    <row r="676">
      <c r="A676" s="23" t="s">
        <v>471</v>
      </c>
      <c r="B676" s="32" t="s">
        <v>1146</v>
      </c>
      <c r="C676" s="32" t="s">
        <v>1151</v>
      </c>
      <c r="D676" s="32" t="s">
        <v>1152</v>
      </c>
      <c r="E676" s="32" t="s">
        <v>984</v>
      </c>
    </row>
    <row r="677">
      <c r="A677" s="22" t="s">
        <v>178</v>
      </c>
      <c r="B677" s="24" t="s">
        <v>1138</v>
      </c>
      <c r="C677" s="24" t="s">
        <v>1153</v>
      </c>
      <c r="D677" s="18"/>
      <c r="E677" s="18"/>
    </row>
    <row r="678">
      <c r="A678" s="22" t="s">
        <v>103</v>
      </c>
      <c r="B678" s="24"/>
      <c r="D678" s="24" t="s">
        <v>1145</v>
      </c>
    </row>
    <row r="681">
      <c r="A681" s="19" t="s">
        <v>50</v>
      </c>
      <c r="B681" s="20" t="s">
        <v>1154</v>
      </c>
    </row>
    <row r="682">
      <c r="B682" s="21" t="s">
        <v>4</v>
      </c>
      <c r="C682" s="21" t="s">
        <v>5</v>
      </c>
      <c r="D682" s="21" t="s">
        <v>6</v>
      </c>
      <c r="E682" s="21" t="s">
        <v>7</v>
      </c>
    </row>
    <row r="683">
      <c r="A683" s="22" t="s">
        <v>91</v>
      </c>
      <c r="B683" s="24">
        <v>85.2</v>
      </c>
      <c r="C683" s="24">
        <v>84.1</v>
      </c>
      <c r="D683" s="24">
        <v>90.1</v>
      </c>
      <c r="E683" s="24">
        <v>87.6</v>
      </c>
    </row>
    <row r="684">
      <c r="A684" s="22" t="s">
        <v>92</v>
      </c>
      <c r="B684" s="24">
        <v>10.0</v>
      </c>
      <c r="C684" s="24">
        <v>8.0</v>
      </c>
      <c r="D684" s="24">
        <v>7.0</v>
      </c>
      <c r="E684" s="24">
        <v>4.0</v>
      </c>
    </row>
    <row r="685">
      <c r="A685" s="22" t="s">
        <v>93</v>
      </c>
      <c r="B685" s="24">
        <f>B668-B297</f>
        <v>18347</v>
      </c>
      <c r="C685" s="24">
        <f>C668-C684-10</f>
        <v>19204</v>
      </c>
      <c r="D685" s="24">
        <f>D668-D99-20</f>
        <v>18709</v>
      </c>
      <c r="E685" s="24">
        <f>E668-E684</f>
        <v>19501</v>
      </c>
    </row>
    <row r="686">
      <c r="A686" s="22" t="s">
        <v>94</v>
      </c>
      <c r="B686" s="23">
        <f t="shared" ref="B686:E686" si="117">B692*30</f>
        <v>0</v>
      </c>
      <c r="C686" s="23">
        <f t="shared" si="117"/>
        <v>0</v>
      </c>
      <c r="D686" s="23">
        <f t="shared" si="117"/>
        <v>0</v>
      </c>
      <c r="E686" s="23">
        <f t="shared" si="117"/>
        <v>0</v>
      </c>
    </row>
    <row r="687">
      <c r="A687" s="22" t="s">
        <v>95</v>
      </c>
      <c r="B687" s="24">
        <v>0.0</v>
      </c>
      <c r="C687" s="24">
        <v>0.0</v>
      </c>
      <c r="D687" s="24">
        <v>0.0</v>
      </c>
      <c r="E687" s="24">
        <v>0.0</v>
      </c>
    </row>
    <row r="688">
      <c r="A688" s="22" t="s">
        <v>96</v>
      </c>
      <c r="B688" s="24">
        <v>0.0</v>
      </c>
      <c r="C688" s="24">
        <v>0.0</v>
      </c>
      <c r="D688" s="24">
        <v>0.0</v>
      </c>
      <c r="E688" s="24">
        <v>0.0</v>
      </c>
    </row>
    <row r="689">
      <c r="A689" s="22" t="s">
        <v>111</v>
      </c>
      <c r="B689" s="24"/>
      <c r="C689" s="24"/>
      <c r="D689" s="24"/>
      <c r="E689" s="24"/>
    </row>
    <row r="690">
      <c r="A690" s="22" t="s">
        <v>98</v>
      </c>
      <c r="B690" s="24">
        <v>0.0</v>
      </c>
      <c r="C690" s="24">
        <v>0.0</v>
      </c>
      <c r="D690" s="24">
        <v>0.0</v>
      </c>
      <c r="E690" s="24">
        <v>0.0</v>
      </c>
    </row>
    <row r="691">
      <c r="A691" s="22" t="s">
        <v>112</v>
      </c>
      <c r="B691" s="26">
        <f t="shared" ref="B691:E691" si="118">round(((B686/B685)*100),2)</f>
        <v>0</v>
      </c>
      <c r="C691" s="26">
        <f t="shared" si="118"/>
        <v>0</v>
      </c>
      <c r="D691" s="26">
        <f t="shared" si="118"/>
        <v>0</v>
      </c>
      <c r="E691" s="26">
        <f t="shared" si="118"/>
        <v>0</v>
      </c>
    </row>
    <row r="692">
      <c r="A692" s="22" t="s">
        <v>100</v>
      </c>
      <c r="B692" s="24"/>
      <c r="C692" s="24"/>
      <c r="D692" s="24"/>
      <c r="E692" s="24"/>
    </row>
    <row r="693">
      <c r="A693" s="23" t="s">
        <v>471</v>
      </c>
      <c r="B693" s="32" t="s">
        <v>1146</v>
      </c>
      <c r="C693" s="32" t="s">
        <v>1155</v>
      </c>
      <c r="D693" s="32" t="s">
        <v>1156</v>
      </c>
      <c r="E693" s="32" t="s">
        <v>984</v>
      </c>
    </row>
    <row r="694">
      <c r="A694" s="22" t="s">
        <v>178</v>
      </c>
      <c r="B694" s="24" t="s">
        <v>1138</v>
      </c>
      <c r="C694" s="24" t="s">
        <v>1157</v>
      </c>
      <c r="D694" s="18"/>
      <c r="E694" s="18"/>
    </row>
    <row r="695">
      <c r="A695" s="22" t="s">
        <v>103</v>
      </c>
      <c r="B695" s="24"/>
      <c r="D695" s="24" t="s">
        <v>1145</v>
      </c>
    </row>
    <row r="698">
      <c r="A698" s="19" t="s">
        <v>50</v>
      </c>
      <c r="B698" s="20" t="s">
        <v>1158</v>
      </c>
    </row>
    <row r="699">
      <c r="B699" s="21" t="s">
        <v>4</v>
      </c>
      <c r="C699" s="21" t="s">
        <v>5</v>
      </c>
      <c r="D699" s="21" t="s">
        <v>6</v>
      </c>
      <c r="E699" s="21" t="s">
        <v>7</v>
      </c>
    </row>
    <row r="700">
      <c r="A700" s="22" t="s">
        <v>91</v>
      </c>
      <c r="B700" s="24">
        <v>85.3</v>
      </c>
      <c r="C700" s="24">
        <v>84.2</v>
      </c>
      <c r="D700" s="24">
        <v>90.2</v>
      </c>
      <c r="E700" s="24">
        <v>87.7</v>
      </c>
    </row>
    <row r="701">
      <c r="A701" s="22" t="s">
        <v>92</v>
      </c>
      <c r="B701" s="24">
        <v>6.0</v>
      </c>
      <c r="C701" s="24">
        <v>6.0</v>
      </c>
      <c r="D701" s="24">
        <v>7.0</v>
      </c>
      <c r="E701" s="24">
        <v>4.0</v>
      </c>
    </row>
    <row r="702">
      <c r="A702" s="22" t="s">
        <v>93</v>
      </c>
      <c r="B702" s="24">
        <f>B685-B314</f>
        <v>18319</v>
      </c>
      <c r="C702" s="24">
        <f>C685-C701</f>
        <v>19198</v>
      </c>
      <c r="D702" s="24">
        <f>D685-D116-3448</f>
        <v>15261</v>
      </c>
      <c r="E702" s="24">
        <f>E685-E701+3448</f>
        <v>22945</v>
      </c>
    </row>
    <row r="703">
      <c r="A703" s="22" t="s">
        <v>94</v>
      </c>
      <c r="B703" s="23">
        <f t="shared" ref="B703:E703" si="119">B709*30</f>
        <v>0</v>
      </c>
      <c r="C703" s="23">
        <f t="shared" si="119"/>
        <v>0</v>
      </c>
      <c r="D703" s="23">
        <f t="shared" si="119"/>
        <v>0</v>
      </c>
      <c r="E703" s="23">
        <f t="shared" si="119"/>
        <v>0</v>
      </c>
    </row>
    <row r="704">
      <c r="A704" s="22" t="s">
        <v>95</v>
      </c>
      <c r="B704" s="24">
        <v>0.0</v>
      </c>
      <c r="C704" s="24">
        <v>0.0</v>
      </c>
      <c r="D704" s="24">
        <v>0.0</v>
      </c>
      <c r="E704" s="24">
        <v>0.0</v>
      </c>
    </row>
    <row r="705">
      <c r="A705" s="22" t="s">
        <v>96</v>
      </c>
      <c r="B705" s="24">
        <v>0.0</v>
      </c>
      <c r="C705" s="24">
        <v>0.0</v>
      </c>
      <c r="D705" s="24">
        <v>0.0</v>
      </c>
      <c r="E705" s="24">
        <v>0.0</v>
      </c>
    </row>
    <row r="706">
      <c r="A706" s="22" t="s">
        <v>111</v>
      </c>
      <c r="B706" s="24"/>
      <c r="C706" s="24"/>
      <c r="D706" s="24"/>
      <c r="E706" s="24"/>
    </row>
    <row r="707">
      <c r="A707" s="22" t="s">
        <v>98</v>
      </c>
      <c r="B707" s="24">
        <v>0.0</v>
      </c>
      <c r="C707" s="24">
        <v>0.0</v>
      </c>
      <c r="D707" s="24">
        <v>0.0</v>
      </c>
      <c r="E707" s="24">
        <v>0.0</v>
      </c>
    </row>
    <row r="708">
      <c r="A708" s="22" t="s">
        <v>112</v>
      </c>
      <c r="B708" s="26">
        <f t="shared" ref="B708:E708" si="120">round(((B703/B702)*100),2)</f>
        <v>0</v>
      </c>
      <c r="C708" s="26">
        <f t="shared" si="120"/>
        <v>0</v>
      </c>
      <c r="D708" s="26">
        <f t="shared" si="120"/>
        <v>0</v>
      </c>
      <c r="E708" s="26">
        <f t="shared" si="120"/>
        <v>0</v>
      </c>
    </row>
    <row r="709">
      <c r="A709" s="22" t="s">
        <v>100</v>
      </c>
      <c r="B709" s="24"/>
      <c r="C709" s="24"/>
      <c r="D709" s="24"/>
      <c r="E709" s="24"/>
    </row>
    <row r="710">
      <c r="A710" s="24" t="s">
        <v>1159</v>
      </c>
      <c r="B710" s="32" t="s">
        <v>1146</v>
      </c>
      <c r="C710" s="32" t="s">
        <v>1155</v>
      </c>
      <c r="D710" s="32" t="s">
        <v>1160</v>
      </c>
      <c r="E710" s="32" t="s">
        <v>1161</v>
      </c>
    </row>
    <row r="711">
      <c r="A711" s="22" t="s">
        <v>178</v>
      </c>
      <c r="B711" s="24" t="s">
        <v>1138</v>
      </c>
      <c r="C711" s="24" t="s">
        <v>1135</v>
      </c>
      <c r="D711" s="18"/>
      <c r="E711" s="18"/>
    </row>
    <row r="712">
      <c r="A712" s="22" t="s">
        <v>103</v>
      </c>
      <c r="B712" s="24"/>
      <c r="D712" s="24" t="s">
        <v>1145</v>
      </c>
    </row>
    <row r="715">
      <c r="A715" s="19" t="s">
        <v>50</v>
      </c>
      <c r="B715" s="20" t="s">
        <v>1162</v>
      </c>
    </row>
    <row r="716">
      <c r="B716" s="21" t="s">
        <v>4</v>
      </c>
      <c r="C716" s="21" t="s">
        <v>5</v>
      </c>
      <c r="D716" s="21" t="s">
        <v>6</v>
      </c>
      <c r="E716" s="21" t="s">
        <v>7</v>
      </c>
    </row>
    <row r="717">
      <c r="A717" s="22" t="s">
        <v>91</v>
      </c>
      <c r="B717" s="24">
        <v>85.4</v>
      </c>
      <c r="C717" s="24">
        <v>84.3</v>
      </c>
      <c r="D717" s="24">
        <v>90.3</v>
      </c>
      <c r="E717" s="24">
        <v>88.1</v>
      </c>
    </row>
    <row r="718">
      <c r="A718" s="22" t="s">
        <v>92</v>
      </c>
      <c r="B718" s="24">
        <v>3.0</v>
      </c>
      <c r="C718" s="24">
        <v>8.0</v>
      </c>
      <c r="D718" s="24">
        <v>3.0</v>
      </c>
      <c r="E718" s="24">
        <v>6.0</v>
      </c>
    </row>
    <row r="719">
      <c r="A719" s="22" t="s">
        <v>93</v>
      </c>
      <c r="B719" s="24">
        <f>B702-B331+4418</f>
        <v>22697</v>
      </c>
      <c r="C719" s="24">
        <f>C702-C718</f>
        <v>19190</v>
      </c>
      <c r="D719" s="24">
        <f>D702-D133-4418</f>
        <v>10843</v>
      </c>
      <c r="E719" s="24">
        <f>E702-E718</f>
        <v>22939</v>
      </c>
    </row>
    <row r="720">
      <c r="A720" s="22" t="s">
        <v>94</v>
      </c>
      <c r="B720" s="23">
        <f t="shared" ref="B720:E720" si="121">B726*30</f>
        <v>0</v>
      </c>
      <c r="C720" s="23">
        <f t="shared" si="121"/>
        <v>0</v>
      </c>
      <c r="D720" s="23">
        <f t="shared" si="121"/>
        <v>0</v>
      </c>
      <c r="E720" s="23">
        <f t="shared" si="121"/>
        <v>0</v>
      </c>
    </row>
    <row r="721">
      <c r="A721" s="22" t="s">
        <v>95</v>
      </c>
      <c r="B721" s="24">
        <v>0.0</v>
      </c>
      <c r="C721" s="24">
        <v>0.0</v>
      </c>
      <c r="D721" s="24">
        <v>0.0</v>
      </c>
      <c r="E721" s="24">
        <v>0.0</v>
      </c>
    </row>
    <row r="722">
      <c r="A722" s="22" t="s">
        <v>96</v>
      </c>
      <c r="B722" s="24">
        <v>0.0</v>
      </c>
      <c r="C722" s="24">
        <v>0.0</v>
      </c>
      <c r="D722" s="24">
        <v>0.0</v>
      </c>
      <c r="E722" s="24">
        <v>0.0</v>
      </c>
    </row>
    <row r="723">
      <c r="A723" s="22" t="s">
        <v>111</v>
      </c>
      <c r="B723" s="24"/>
      <c r="C723" s="24"/>
      <c r="D723" s="24"/>
      <c r="E723" s="24"/>
    </row>
    <row r="724">
      <c r="A724" s="22" t="s">
        <v>98</v>
      </c>
      <c r="B724" s="24">
        <v>0.0</v>
      </c>
      <c r="C724" s="24">
        <v>0.0</v>
      </c>
      <c r="D724" s="24">
        <v>0.0</v>
      </c>
      <c r="E724" s="24">
        <v>0.0</v>
      </c>
    </row>
    <row r="725">
      <c r="A725" s="22" t="s">
        <v>112</v>
      </c>
      <c r="B725" s="26">
        <f t="shared" ref="B725:E725" si="122">round(((B720/B719)*100),2)</f>
        <v>0</v>
      </c>
      <c r="C725" s="26">
        <f t="shared" si="122"/>
        <v>0</v>
      </c>
      <c r="D725" s="26">
        <f t="shared" si="122"/>
        <v>0</v>
      </c>
      <c r="E725" s="26">
        <f t="shared" si="122"/>
        <v>0</v>
      </c>
    </row>
    <row r="726">
      <c r="A726" s="22" t="s">
        <v>100</v>
      </c>
      <c r="B726" s="24"/>
      <c r="C726" s="24"/>
      <c r="D726" s="24"/>
      <c r="E726" s="24"/>
    </row>
    <row r="727">
      <c r="A727" s="24" t="s">
        <v>1159</v>
      </c>
      <c r="B727" s="32" t="s">
        <v>1163</v>
      </c>
      <c r="C727" s="32" t="s">
        <v>1155</v>
      </c>
      <c r="D727" s="32" t="s">
        <v>1164</v>
      </c>
      <c r="E727" s="32" t="s">
        <v>1020</v>
      </c>
    </row>
    <row r="728">
      <c r="A728" s="22" t="s">
        <v>178</v>
      </c>
      <c r="B728" s="24" t="s">
        <v>1138</v>
      </c>
      <c r="C728" s="24" t="s">
        <v>1085</v>
      </c>
      <c r="D728" s="18"/>
      <c r="E728" s="18"/>
    </row>
    <row r="729">
      <c r="A729" s="22" t="s">
        <v>103</v>
      </c>
      <c r="B729" s="24"/>
      <c r="D729" s="24" t="s">
        <v>1145</v>
      </c>
    </row>
    <row r="732">
      <c r="A732" s="19" t="s">
        <v>50</v>
      </c>
      <c r="B732" s="20" t="s">
        <v>1165</v>
      </c>
    </row>
    <row r="733">
      <c r="B733" s="21" t="s">
        <v>4</v>
      </c>
      <c r="C733" s="21" t="s">
        <v>5</v>
      </c>
      <c r="D733" s="21" t="s">
        <v>6</v>
      </c>
      <c r="E733" s="21" t="s">
        <v>7</v>
      </c>
    </row>
    <row r="734">
      <c r="A734" s="22" t="s">
        <v>91</v>
      </c>
      <c r="B734" s="24">
        <v>85.5</v>
      </c>
      <c r="C734" s="24">
        <v>84.4</v>
      </c>
      <c r="D734" s="24">
        <v>90.4</v>
      </c>
      <c r="E734" s="24">
        <v>88.2</v>
      </c>
    </row>
    <row r="735">
      <c r="A735" s="22" t="s">
        <v>92</v>
      </c>
      <c r="B735" s="24">
        <v>5.0</v>
      </c>
      <c r="C735" s="24">
        <v>9.0</v>
      </c>
      <c r="D735" s="24">
        <v>2.0</v>
      </c>
      <c r="E735" s="24">
        <v>3.0</v>
      </c>
    </row>
    <row r="736">
      <c r="A736" s="22" t="s">
        <v>93</v>
      </c>
      <c r="B736" s="24">
        <f>B719-B348</f>
        <v>22660</v>
      </c>
      <c r="C736" s="24">
        <f>C719-C735+3468</f>
        <v>22649</v>
      </c>
      <c r="D736" s="24">
        <f>D719-D150-3468</f>
        <v>7375</v>
      </c>
      <c r="E736" s="24">
        <f>E719-E735</f>
        <v>22936</v>
      </c>
    </row>
    <row r="737">
      <c r="A737" s="22" t="s">
        <v>94</v>
      </c>
      <c r="B737" s="23">
        <f t="shared" ref="B737:E737" si="123">B743*30</f>
        <v>0</v>
      </c>
      <c r="C737" s="23">
        <f t="shared" si="123"/>
        <v>0</v>
      </c>
      <c r="D737" s="23">
        <f t="shared" si="123"/>
        <v>0</v>
      </c>
      <c r="E737" s="23">
        <f t="shared" si="123"/>
        <v>0</v>
      </c>
    </row>
    <row r="738">
      <c r="A738" s="22" t="s">
        <v>95</v>
      </c>
      <c r="B738" s="24">
        <v>0.0</v>
      </c>
      <c r="C738" s="24">
        <v>0.0</v>
      </c>
      <c r="D738" s="24">
        <v>0.0</v>
      </c>
      <c r="E738" s="24">
        <v>0.0</v>
      </c>
    </row>
    <row r="739">
      <c r="A739" s="22" t="s">
        <v>96</v>
      </c>
      <c r="B739" s="24">
        <v>0.0</v>
      </c>
      <c r="C739" s="24">
        <v>0.0</v>
      </c>
      <c r="D739" s="24">
        <v>0.0</v>
      </c>
      <c r="E739" s="24">
        <v>0.0</v>
      </c>
    </row>
    <row r="740">
      <c r="A740" s="22" t="s">
        <v>111</v>
      </c>
      <c r="B740" s="24"/>
      <c r="C740" s="24"/>
      <c r="D740" s="24"/>
      <c r="E740" s="24"/>
    </row>
    <row r="741">
      <c r="A741" s="22" t="s">
        <v>98</v>
      </c>
      <c r="B741" s="24">
        <v>0.0</v>
      </c>
      <c r="C741" s="24">
        <v>0.0</v>
      </c>
      <c r="D741" s="24">
        <v>0.0</v>
      </c>
      <c r="E741" s="24">
        <v>0.0</v>
      </c>
    </row>
    <row r="742">
      <c r="A742" s="22" t="s">
        <v>112</v>
      </c>
      <c r="B742" s="26">
        <f t="shared" ref="B742:E742" si="124">round(((B737/B736)*100),2)</f>
        <v>0</v>
      </c>
      <c r="C742" s="26">
        <f t="shared" si="124"/>
        <v>0</v>
      </c>
      <c r="D742" s="26">
        <f t="shared" si="124"/>
        <v>0</v>
      </c>
      <c r="E742" s="26">
        <f t="shared" si="124"/>
        <v>0</v>
      </c>
    </row>
    <row r="743">
      <c r="A743" s="22" t="s">
        <v>100</v>
      </c>
      <c r="B743" s="24"/>
      <c r="C743" s="24"/>
      <c r="D743" s="24"/>
      <c r="E743" s="24"/>
    </row>
    <row r="744">
      <c r="A744" s="24" t="s">
        <v>1159</v>
      </c>
      <c r="B744" s="32" t="s">
        <v>1166</v>
      </c>
      <c r="C744" s="32" t="s">
        <v>1167</v>
      </c>
      <c r="D744" s="32" t="s">
        <v>1168</v>
      </c>
      <c r="E744" s="32" t="s">
        <v>1020</v>
      </c>
    </row>
    <row r="745">
      <c r="A745" s="22" t="s">
        <v>178</v>
      </c>
      <c r="B745" s="24" t="s">
        <v>1138</v>
      </c>
      <c r="C745" s="24" t="s">
        <v>1085</v>
      </c>
      <c r="D745" s="18"/>
      <c r="E745" s="18"/>
    </row>
    <row r="746">
      <c r="A746" s="22" t="s">
        <v>103</v>
      </c>
      <c r="B746" s="24"/>
      <c r="D746" s="24" t="s">
        <v>1145</v>
      </c>
    </row>
    <row r="749">
      <c r="A749" s="19" t="s">
        <v>50</v>
      </c>
      <c r="B749" s="20" t="s">
        <v>1169</v>
      </c>
    </row>
    <row r="750">
      <c r="B750" s="21" t="s">
        <v>4</v>
      </c>
      <c r="C750" s="21" t="s">
        <v>5</v>
      </c>
      <c r="D750" s="21" t="s">
        <v>6</v>
      </c>
      <c r="E750" s="21" t="s">
        <v>7</v>
      </c>
    </row>
    <row r="751">
      <c r="A751" s="22" t="s">
        <v>91</v>
      </c>
      <c r="B751" s="24">
        <v>85.6</v>
      </c>
      <c r="C751" s="24">
        <v>84.5</v>
      </c>
      <c r="D751" s="24">
        <v>90.5</v>
      </c>
      <c r="E751" s="24">
        <v>88.3</v>
      </c>
    </row>
    <row r="752">
      <c r="A752" s="22" t="s">
        <v>92</v>
      </c>
      <c r="B752" s="24">
        <v>4.0</v>
      </c>
      <c r="C752" s="24">
        <v>7.0</v>
      </c>
      <c r="D752" s="24">
        <v>2.0</v>
      </c>
      <c r="E752" s="24">
        <v>5.0</v>
      </c>
    </row>
    <row r="753">
      <c r="A753" s="22" t="s">
        <v>93</v>
      </c>
      <c r="B753" s="24">
        <f>B736-B365</f>
        <v>22636</v>
      </c>
      <c r="C753" s="24">
        <f>C736-C752</f>
        <v>22642</v>
      </c>
      <c r="D753" s="24">
        <f>D736-D167</f>
        <v>7375</v>
      </c>
      <c r="E753" s="24">
        <f>E736-E752</f>
        <v>22931</v>
      </c>
    </row>
    <row r="754">
      <c r="A754" s="22" t="s">
        <v>94</v>
      </c>
      <c r="B754" s="23">
        <f t="shared" ref="B754:E754" si="125">B760*30</f>
        <v>30</v>
      </c>
      <c r="C754" s="23">
        <f t="shared" si="125"/>
        <v>30</v>
      </c>
      <c r="D754" s="23">
        <f t="shared" si="125"/>
        <v>0</v>
      </c>
      <c r="E754" s="23">
        <f t="shared" si="125"/>
        <v>30</v>
      </c>
    </row>
    <row r="755">
      <c r="A755" s="22" t="s">
        <v>95</v>
      </c>
      <c r="B755" s="24">
        <v>0.0</v>
      </c>
      <c r="C755" s="24">
        <v>0.0</v>
      </c>
      <c r="D755" s="24">
        <v>0.0</v>
      </c>
      <c r="E755" s="24">
        <v>0.0</v>
      </c>
    </row>
    <row r="756">
      <c r="A756" s="22" t="s">
        <v>96</v>
      </c>
      <c r="B756" s="24">
        <v>0.0</v>
      </c>
      <c r="C756" s="24">
        <v>0.0</v>
      </c>
      <c r="D756" s="24">
        <v>0.0</v>
      </c>
      <c r="E756" s="24">
        <v>0.0</v>
      </c>
    </row>
    <row r="757">
      <c r="A757" s="22" t="s">
        <v>111</v>
      </c>
      <c r="B757" s="24"/>
      <c r="C757" s="24"/>
      <c r="D757" s="24"/>
      <c r="E757" s="24"/>
    </row>
    <row r="758">
      <c r="A758" s="22" t="s">
        <v>98</v>
      </c>
      <c r="B758" s="24">
        <v>0.0</v>
      </c>
      <c r="C758" s="24">
        <v>0.0</v>
      </c>
      <c r="D758" s="24">
        <v>0.0</v>
      </c>
      <c r="E758" s="24">
        <v>0.0</v>
      </c>
    </row>
    <row r="759">
      <c r="A759" s="22" t="s">
        <v>112</v>
      </c>
      <c r="B759" s="26">
        <f t="shared" ref="B759:E759" si="126">round(((B754/B753)*100),2)</f>
        <v>0.13</v>
      </c>
      <c r="C759" s="26">
        <f t="shared" si="126"/>
        <v>0.13</v>
      </c>
      <c r="D759" s="26">
        <f t="shared" si="126"/>
        <v>0</v>
      </c>
      <c r="E759" s="26">
        <f t="shared" si="126"/>
        <v>0.13</v>
      </c>
    </row>
    <row r="760">
      <c r="A760" s="22" t="s">
        <v>100</v>
      </c>
      <c r="B760" s="24">
        <v>1.0</v>
      </c>
      <c r="C760" s="24">
        <v>1.0</v>
      </c>
      <c r="D760" s="24"/>
      <c r="E760" s="24">
        <v>1.0</v>
      </c>
    </row>
    <row r="761">
      <c r="A761" s="24" t="s">
        <v>1159</v>
      </c>
      <c r="B761" s="32" t="s">
        <v>1170</v>
      </c>
      <c r="C761" s="32" t="s">
        <v>1171</v>
      </c>
      <c r="D761" s="32" t="s">
        <v>1172</v>
      </c>
      <c r="E761" s="32" t="s">
        <v>1173</v>
      </c>
    </row>
    <row r="762">
      <c r="A762" s="22" t="s">
        <v>178</v>
      </c>
      <c r="B762" s="24" t="s">
        <v>1138</v>
      </c>
      <c r="C762" s="24" t="s">
        <v>1174</v>
      </c>
      <c r="D762" s="18"/>
      <c r="E762" s="18"/>
    </row>
    <row r="763">
      <c r="A763" s="22" t="s">
        <v>103</v>
      </c>
      <c r="B763" s="24"/>
      <c r="D763" s="24" t="s">
        <v>1175</v>
      </c>
    </row>
    <row r="766">
      <c r="A766" s="19" t="s">
        <v>50</v>
      </c>
      <c r="B766" s="20" t="s">
        <v>1176</v>
      </c>
    </row>
    <row r="767">
      <c r="B767" s="21" t="s">
        <v>4</v>
      </c>
      <c r="C767" s="21" t="s">
        <v>5</v>
      </c>
      <c r="D767" s="21" t="s">
        <v>6</v>
      </c>
      <c r="E767" s="21" t="s">
        <v>7</v>
      </c>
    </row>
    <row r="768">
      <c r="A768" s="22" t="s">
        <v>91</v>
      </c>
      <c r="B768" s="24">
        <v>85.7</v>
      </c>
      <c r="C768" s="24">
        <v>84.6</v>
      </c>
      <c r="D768" s="24">
        <v>90.6</v>
      </c>
      <c r="E768" s="24">
        <v>88.4</v>
      </c>
    </row>
    <row r="769">
      <c r="A769" s="22" t="s">
        <v>92</v>
      </c>
      <c r="B769" s="24">
        <v>5.0</v>
      </c>
      <c r="C769" s="24">
        <v>2.0</v>
      </c>
      <c r="D769" s="24">
        <v>0.0</v>
      </c>
      <c r="E769" s="24">
        <v>7.0</v>
      </c>
    </row>
    <row r="770">
      <c r="A770" s="22" t="s">
        <v>93</v>
      </c>
      <c r="B770" s="24">
        <f>B753-B769-11</f>
        <v>22620</v>
      </c>
      <c r="C770" s="24">
        <f>C753-C769-16</f>
        <v>22624</v>
      </c>
      <c r="D770" s="24">
        <f>D753-D184-25</f>
        <v>7350</v>
      </c>
      <c r="E770" s="24">
        <f>E753-E769-15</f>
        <v>22909</v>
      </c>
    </row>
    <row r="771">
      <c r="A771" s="22" t="s">
        <v>94</v>
      </c>
      <c r="B771" s="23">
        <f t="shared" ref="B771:E771" si="127">B777*30</f>
        <v>210</v>
      </c>
      <c r="C771" s="23">
        <f t="shared" si="127"/>
        <v>210</v>
      </c>
      <c r="D771" s="23">
        <f t="shared" si="127"/>
        <v>0</v>
      </c>
      <c r="E771" s="23">
        <f t="shared" si="127"/>
        <v>240</v>
      </c>
    </row>
    <row r="772">
      <c r="A772" s="22" t="s">
        <v>95</v>
      </c>
      <c r="B772" s="24">
        <v>0.0</v>
      </c>
      <c r="C772" s="24">
        <v>0.0</v>
      </c>
      <c r="D772" s="24">
        <v>0.0</v>
      </c>
      <c r="E772" s="24">
        <v>0.0</v>
      </c>
    </row>
    <row r="773">
      <c r="A773" s="22" t="s">
        <v>96</v>
      </c>
      <c r="B773" s="24">
        <v>0.0</v>
      </c>
      <c r="C773" s="24">
        <v>0.0</v>
      </c>
      <c r="D773" s="24">
        <v>0.0</v>
      </c>
      <c r="E773" s="24">
        <v>0.0</v>
      </c>
    </row>
    <row r="774">
      <c r="A774" s="22" t="s">
        <v>111</v>
      </c>
      <c r="B774" s="24">
        <v>90.0</v>
      </c>
      <c r="C774" s="24">
        <v>90.0</v>
      </c>
      <c r="D774" s="24">
        <v>30.0</v>
      </c>
      <c r="E774" s="24">
        <v>90.0</v>
      </c>
    </row>
    <row r="775">
      <c r="A775" s="22" t="s">
        <v>98</v>
      </c>
      <c r="B775" s="24">
        <v>0.0</v>
      </c>
      <c r="C775" s="24">
        <v>0.0</v>
      </c>
      <c r="D775" s="24">
        <v>0.0</v>
      </c>
      <c r="E775" s="24">
        <v>0.0</v>
      </c>
    </row>
    <row r="776">
      <c r="A776" s="22" t="s">
        <v>112</v>
      </c>
      <c r="B776" s="26">
        <f t="shared" ref="B776:E776" si="128">round(((B771/B770)*100),2)</f>
        <v>0.93</v>
      </c>
      <c r="C776" s="26">
        <f t="shared" si="128"/>
        <v>0.93</v>
      </c>
      <c r="D776" s="26">
        <f t="shared" si="128"/>
        <v>0</v>
      </c>
      <c r="E776" s="26">
        <f t="shared" si="128"/>
        <v>1.05</v>
      </c>
    </row>
    <row r="777">
      <c r="A777" s="22" t="s">
        <v>100</v>
      </c>
      <c r="B777" s="24">
        <v>7.0</v>
      </c>
      <c r="C777" s="24">
        <v>7.0</v>
      </c>
      <c r="D777" s="24"/>
      <c r="E777" s="24">
        <v>8.0</v>
      </c>
    </row>
    <row r="778">
      <c r="A778" s="24" t="s">
        <v>1159</v>
      </c>
      <c r="B778" s="32" t="s">
        <v>984</v>
      </c>
      <c r="C778" s="32" t="s">
        <v>1177</v>
      </c>
      <c r="D778" s="32" t="s">
        <v>1178</v>
      </c>
      <c r="E778" s="32" t="s">
        <v>1179</v>
      </c>
    </row>
    <row r="779">
      <c r="A779" s="22" t="s">
        <v>178</v>
      </c>
      <c r="B779" s="24" t="s">
        <v>1180</v>
      </c>
      <c r="C779" s="24" t="s">
        <v>1181</v>
      </c>
      <c r="D779" s="18"/>
      <c r="E779" s="18"/>
    </row>
    <row r="780">
      <c r="A780" s="22" t="s">
        <v>103</v>
      </c>
      <c r="B780" s="24"/>
      <c r="D780" s="24" t="s">
        <v>1182</v>
      </c>
    </row>
    <row r="783">
      <c r="A783" s="19" t="s">
        <v>50</v>
      </c>
      <c r="B783" s="20" t="s">
        <v>1183</v>
      </c>
    </row>
    <row r="784">
      <c r="B784" s="21" t="s">
        <v>4</v>
      </c>
      <c r="C784" s="21" t="s">
        <v>5</v>
      </c>
      <c r="D784" s="21" t="s">
        <v>6</v>
      </c>
      <c r="E784" s="21" t="s">
        <v>7</v>
      </c>
    </row>
    <row r="785">
      <c r="A785" s="22" t="s">
        <v>91</v>
      </c>
      <c r="B785" s="24">
        <v>86.1</v>
      </c>
      <c r="C785" s="24">
        <v>84.7</v>
      </c>
      <c r="D785" s="24">
        <v>90.7</v>
      </c>
      <c r="E785" s="24">
        <v>88.5</v>
      </c>
    </row>
    <row r="786">
      <c r="A786" s="22" t="s">
        <v>92</v>
      </c>
      <c r="B786" s="24">
        <v>3.0</v>
      </c>
      <c r="C786" s="24">
        <v>2.0</v>
      </c>
      <c r="D786" s="24">
        <v>2.0</v>
      </c>
      <c r="E786" s="24">
        <v>8.0</v>
      </c>
    </row>
    <row r="787">
      <c r="A787" s="22" t="s">
        <v>93</v>
      </c>
      <c r="B787" s="24">
        <f>B770-B786</f>
        <v>22617</v>
      </c>
      <c r="C787" s="24">
        <f>C770-C786-5</f>
        <v>22617</v>
      </c>
      <c r="D787" s="24">
        <f>D770-D201</f>
        <v>7350</v>
      </c>
      <c r="E787" s="24">
        <f>E770-E786-3</f>
        <v>22898</v>
      </c>
    </row>
    <row r="788">
      <c r="A788" s="22" t="s">
        <v>94</v>
      </c>
      <c r="B788" s="23">
        <f t="shared" ref="B788:E788" si="129">B794*30</f>
        <v>480</v>
      </c>
      <c r="C788" s="23">
        <f t="shared" si="129"/>
        <v>810</v>
      </c>
      <c r="D788" s="23">
        <f t="shared" si="129"/>
        <v>30</v>
      </c>
      <c r="E788" s="23">
        <f t="shared" si="129"/>
        <v>630</v>
      </c>
    </row>
    <row r="789">
      <c r="A789" s="22" t="s">
        <v>95</v>
      </c>
      <c r="B789" s="24">
        <v>0.0</v>
      </c>
      <c r="C789" s="24">
        <v>0.0</v>
      </c>
      <c r="D789" s="24">
        <v>0.0</v>
      </c>
      <c r="E789" s="24">
        <v>6.0</v>
      </c>
    </row>
    <row r="790">
      <c r="A790" s="22" t="s">
        <v>96</v>
      </c>
      <c r="B790" s="24">
        <v>0.0</v>
      </c>
      <c r="C790" s="24">
        <v>0.0</v>
      </c>
      <c r="D790" s="24">
        <v>0.0</v>
      </c>
      <c r="E790" s="24">
        <v>1.0</v>
      </c>
    </row>
    <row r="791">
      <c r="A791" s="22" t="s">
        <v>111</v>
      </c>
      <c r="B791" s="24">
        <v>90.0</v>
      </c>
      <c r="C791" s="24">
        <v>90.0</v>
      </c>
      <c r="D791" s="24">
        <v>25.0</v>
      </c>
      <c r="E791" s="24">
        <v>90.0</v>
      </c>
    </row>
    <row r="792">
      <c r="A792" s="22" t="s">
        <v>98</v>
      </c>
      <c r="B792" s="24" t="s">
        <v>1184</v>
      </c>
      <c r="C792" s="24" t="s">
        <v>1185</v>
      </c>
      <c r="D792" s="24">
        <v>0.0</v>
      </c>
      <c r="E792" s="24" t="s">
        <v>1125</v>
      </c>
    </row>
    <row r="793">
      <c r="A793" s="22" t="s">
        <v>112</v>
      </c>
      <c r="B793" s="26">
        <f t="shared" ref="B793:E793" si="130">round(((B788/B787)*100),2)</f>
        <v>2.12</v>
      </c>
      <c r="C793" s="26">
        <f t="shared" si="130"/>
        <v>3.58</v>
      </c>
      <c r="D793" s="26">
        <f t="shared" si="130"/>
        <v>0.41</v>
      </c>
      <c r="E793" s="26">
        <f t="shared" si="130"/>
        <v>2.75</v>
      </c>
    </row>
    <row r="794">
      <c r="A794" s="22" t="s">
        <v>100</v>
      </c>
      <c r="B794" s="24">
        <v>16.0</v>
      </c>
      <c r="C794" s="24">
        <v>27.0</v>
      </c>
      <c r="D794" s="24">
        <v>1.0</v>
      </c>
      <c r="E794" s="24">
        <v>21.0</v>
      </c>
    </row>
    <row r="795">
      <c r="A795" s="24" t="s">
        <v>1159</v>
      </c>
      <c r="B795" s="32" t="s">
        <v>984</v>
      </c>
      <c r="C795" s="32" t="s">
        <v>132</v>
      </c>
      <c r="D795" s="32" t="s">
        <v>1178</v>
      </c>
      <c r="E795" s="32" t="s">
        <v>1186</v>
      </c>
    </row>
    <row r="796">
      <c r="A796" s="22" t="s">
        <v>178</v>
      </c>
      <c r="B796" s="24" t="s">
        <v>1187</v>
      </c>
      <c r="C796" s="24" t="s">
        <v>1076</v>
      </c>
      <c r="D796" s="18"/>
      <c r="E796" s="18"/>
    </row>
    <row r="797">
      <c r="A797" s="22" t="s">
        <v>103</v>
      </c>
      <c r="B797" s="24"/>
      <c r="D797" s="24" t="s">
        <v>1188</v>
      </c>
    </row>
    <row r="800">
      <c r="A800" s="19" t="s">
        <v>50</v>
      </c>
      <c r="B800" s="20" t="s">
        <v>1189</v>
      </c>
    </row>
    <row r="801">
      <c r="B801" s="21" t="s">
        <v>4</v>
      </c>
      <c r="C801" s="21" t="s">
        <v>5</v>
      </c>
      <c r="D801" s="21" t="s">
        <v>6</v>
      </c>
      <c r="E801" s="21" t="s">
        <v>7</v>
      </c>
    </row>
    <row r="802">
      <c r="A802" s="22" t="s">
        <v>91</v>
      </c>
      <c r="B802" s="24">
        <v>86.2</v>
      </c>
      <c r="C802" s="24">
        <v>85.1</v>
      </c>
      <c r="D802" s="24">
        <v>91.1</v>
      </c>
      <c r="E802" s="24">
        <v>88.6</v>
      </c>
    </row>
    <row r="803">
      <c r="A803" s="22" t="s">
        <v>92</v>
      </c>
      <c r="B803" s="24">
        <v>5.0</v>
      </c>
      <c r="C803" s="24">
        <v>2.0</v>
      </c>
      <c r="D803" s="24">
        <v>2.0</v>
      </c>
      <c r="E803" s="24">
        <v>9.0</v>
      </c>
    </row>
    <row r="804">
      <c r="A804" s="22" t="s">
        <v>93</v>
      </c>
      <c r="B804" s="24">
        <f t="shared" ref="B804:C804" si="131">B787-B803</f>
        <v>22612</v>
      </c>
      <c r="C804" s="24">
        <f t="shared" si="131"/>
        <v>22615</v>
      </c>
      <c r="D804" s="24">
        <f>D787-D218</f>
        <v>7350</v>
      </c>
      <c r="E804" s="24">
        <f>E787-E803-9</f>
        <v>22880</v>
      </c>
    </row>
    <row r="805">
      <c r="A805" s="22" t="s">
        <v>94</v>
      </c>
      <c r="B805" s="23">
        <f t="shared" ref="B805:E805" si="132">B811*30</f>
        <v>1050</v>
      </c>
      <c r="C805" s="23">
        <f t="shared" si="132"/>
        <v>1800</v>
      </c>
      <c r="D805" s="23">
        <f t="shared" si="132"/>
        <v>60</v>
      </c>
      <c r="E805" s="23">
        <f t="shared" si="132"/>
        <v>1080</v>
      </c>
    </row>
    <row r="806">
      <c r="A806" s="22" t="s">
        <v>95</v>
      </c>
      <c r="B806" s="24">
        <v>3.0</v>
      </c>
      <c r="C806" s="24">
        <v>0.0</v>
      </c>
      <c r="D806" s="24">
        <v>0.0</v>
      </c>
      <c r="E806" s="24"/>
    </row>
    <row r="807">
      <c r="A807" s="22" t="s">
        <v>96</v>
      </c>
      <c r="B807" s="24">
        <v>1.0</v>
      </c>
      <c r="C807" s="24">
        <v>0.0</v>
      </c>
      <c r="D807" s="24">
        <v>0.0</v>
      </c>
      <c r="E807" s="24"/>
    </row>
    <row r="808">
      <c r="A808" s="22" t="s">
        <v>111</v>
      </c>
      <c r="B808" s="24">
        <v>90.0</v>
      </c>
      <c r="C808" s="24">
        <v>90.0</v>
      </c>
      <c r="D808" s="24">
        <v>30.0</v>
      </c>
      <c r="E808" s="24">
        <v>90.0</v>
      </c>
    </row>
    <row r="809">
      <c r="A809" s="22" t="s">
        <v>98</v>
      </c>
      <c r="B809" s="24"/>
      <c r="C809" s="24"/>
      <c r="D809" s="24">
        <v>0.0</v>
      </c>
      <c r="E809" s="24"/>
    </row>
    <row r="810">
      <c r="A810" s="22" t="s">
        <v>112</v>
      </c>
      <c r="B810" s="26">
        <f t="shared" ref="B810:E810" si="133">round(((B805/B804)*100),2)</f>
        <v>4.64</v>
      </c>
      <c r="C810" s="26">
        <f t="shared" si="133"/>
        <v>7.96</v>
      </c>
      <c r="D810" s="26">
        <f t="shared" si="133"/>
        <v>0.82</v>
      </c>
      <c r="E810" s="26">
        <f t="shared" si="133"/>
        <v>4.72</v>
      </c>
    </row>
    <row r="811">
      <c r="A811" s="22" t="s">
        <v>100</v>
      </c>
      <c r="B811" s="24">
        <v>35.0</v>
      </c>
      <c r="C811" s="24">
        <v>60.0</v>
      </c>
      <c r="D811" s="24">
        <v>2.0</v>
      </c>
      <c r="E811" s="24">
        <v>36.0</v>
      </c>
    </row>
    <row r="812">
      <c r="A812" s="24" t="s">
        <v>1159</v>
      </c>
      <c r="B812" s="32" t="s">
        <v>984</v>
      </c>
      <c r="C812" s="32" t="s">
        <v>132</v>
      </c>
      <c r="D812" s="32" t="s">
        <v>1178</v>
      </c>
      <c r="E812" s="32" t="s">
        <v>983</v>
      </c>
    </row>
    <row r="813">
      <c r="A813" s="22" t="s">
        <v>178</v>
      </c>
      <c r="B813" s="24" t="s">
        <v>1190</v>
      </c>
      <c r="C813" s="24" t="s">
        <v>1076</v>
      </c>
      <c r="D813" s="18"/>
      <c r="E813" s="18"/>
    </row>
    <row r="814">
      <c r="A814" s="22" t="s">
        <v>103</v>
      </c>
      <c r="B814" s="24"/>
      <c r="D814" s="24" t="s">
        <v>1191</v>
      </c>
    </row>
    <row r="817">
      <c r="A817" s="19" t="s">
        <v>50</v>
      </c>
      <c r="B817" s="20" t="s">
        <v>1192</v>
      </c>
    </row>
    <row r="818">
      <c r="B818" s="21" t="s">
        <v>4</v>
      </c>
      <c r="C818" s="21" t="s">
        <v>5</v>
      </c>
      <c r="D818" s="21" t="s">
        <v>6</v>
      </c>
      <c r="E818" s="21" t="s">
        <v>7</v>
      </c>
    </row>
    <row r="819">
      <c r="A819" s="22" t="s">
        <v>91</v>
      </c>
      <c r="B819" s="24">
        <v>86.3</v>
      </c>
      <c r="C819" s="24">
        <v>85.2</v>
      </c>
      <c r="D819" s="24">
        <v>91.2</v>
      </c>
      <c r="E819" s="24">
        <v>88.7</v>
      </c>
    </row>
    <row r="820">
      <c r="A820" s="22" t="s">
        <v>92</v>
      </c>
      <c r="B820" s="24">
        <v>2.0</v>
      </c>
      <c r="C820" s="24">
        <v>3.0</v>
      </c>
      <c r="D820" s="24">
        <v>2.0</v>
      </c>
      <c r="E820" s="24">
        <v>6.0</v>
      </c>
    </row>
    <row r="821">
      <c r="A821" s="22" t="s">
        <v>93</v>
      </c>
      <c r="B821" s="24">
        <f t="shared" ref="B821:C821" si="134">B804-B820</f>
        <v>22610</v>
      </c>
      <c r="C821" s="24">
        <f t="shared" si="134"/>
        <v>22612</v>
      </c>
      <c r="D821" s="24">
        <f>D804-D235</f>
        <v>7350</v>
      </c>
      <c r="E821" s="24">
        <f>E804-E820</f>
        <v>22874</v>
      </c>
    </row>
    <row r="822">
      <c r="A822" s="22" t="s">
        <v>94</v>
      </c>
      <c r="B822" s="23">
        <f t="shared" ref="B822:E822" si="135">B828*30</f>
        <v>1650</v>
      </c>
      <c r="C822" s="23">
        <f t="shared" si="135"/>
        <v>3030</v>
      </c>
      <c r="D822" s="23">
        <f t="shared" si="135"/>
        <v>120</v>
      </c>
      <c r="E822" s="23">
        <f t="shared" si="135"/>
        <v>1860</v>
      </c>
    </row>
    <row r="823">
      <c r="A823" s="22" t="s">
        <v>95</v>
      </c>
      <c r="B823" s="24">
        <v>18.0</v>
      </c>
      <c r="C823" s="24">
        <v>6.0</v>
      </c>
      <c r="D823" s="24">
        <v>8.0</v>
      </c>
      <c r="E823" s="24">
        <v>14.0</v>
      </c>
    </row>
    <row r="824">
      <c r="A824" s="22" t="s">
        <v>96</v>
      </c>
      <c r="B824" s="24">
        <v>2.0</v>
      </c>
      <c r="C824" s="24">
        <v>2.0</v>
      </c>
      <c r="D824" s="24">
        <v>2.0</v>
      </c>
      <c r="E824" s="24">
        <v>3.0</v>
      </c>
    </row>
    <row r="825">
      <c r="A825" s="22" t="s">
        <v>111</v>
      </c>
      <c r="B825" s="24">
        <v>90.0</v>
      </c>
      <c r="C825" s="24">
        <v>90.0</v>
      </c>
      <c r="D825" s="24">
        <v>30.0</v>
      </c>
      <c r="E825" s="24">
        <v>90.0</v>
      </c>
    </row>
    <row r="826">
      <c r="A826" s="22" t="s">
        <v>98</v>
      </c>
      <c r="B826" s="24"/>
      <c r="C826" s="24"/>
      <c r="D826" s="24">
        <v>0.0</v>
      </c>
      <c r="E826" s="24">
        <v>0.0</v>
      </c>
    </row>
    <row r="827">
      <c r="A827" s="22" t="s">
        <v>112</v>
      </c>
      <c r="B827" s="26">
        <f t="shared" ref="B827:E827" si="136">round(((B822/B821)*100),2)</f>
        <v>7.3</v>
      </c>
      <c r="C827" s="26">
        <f t="shared" si="136"/>
        <v>13.4</v>
      </c>
      <c r="D827" s="26">
        <f t="shared" si="136"/>
        <v>1.63</v>
      </c>
      <c r="E827" s="26">
        <f t="shared" si="136"/>
        <v>8.13</v>
      </c>
    </row>
    <row r="828">
      <c r="A828" s="22" t="s">
        <v>100</v>
      </c>
      <c r="B828" s="24">
        <v>55.0</v>
      </c>
      <c r="C828" s="24">
        <v>101.0</v>
      </c>
      <c r="D828" s="24">
        <v>4.0</v>
      </c>
      <c r="E828" s="24">
        <v>62.0</v>
      </c>
    </row>
    <row r="829">
      <c r="A829" s="24" t="s">
        <v>1159</v>
      </c>
      <c r="B829" s="32" t="s">
        <v>984</v>
      </c>
      <c r="C829" s="32" t="s">
        <v>132</v>
      </c>
      <c r="D829" s="32" t="s">
        <v>1178</v>
      </c>
      <c r="E829" s="32" t="s">
        <v>983</v>
      </c>
    </row>
    <row r="830">
      <c r="A830" s="22" t="s">
        <v>178</v>
      </c>
      <c r="B830" s="24" t="s">
        <v>1193</v>
      </c>
      <c r="C830" s="24" t="s">
        <v>1194</v>
      </c>
      <c r="D830" s="18"/>
      <c r="E830" s="18"/>
    </row>
    <row r="831">
      <c r="A831" s="22" t="s">
        <v>103</v>
      </c>
      <c r="B831" s="24"/>
      <c r="D831" s="24" t="s">
        <v>1195</v>
      </c>
    </row>
    <row r="834">
      <c r="A834" s="19" t="s">
        <v>50</v>
      </c>
      <c r="B834" s="20" t="s">
        <v>1196</v>
      </c>
    </row>
    <row r="835">
      <c r="B835" s="21" t="s">
        <v>4</v>
      </c>
      <c r="C835" s="21" t="s">
        <v>5</v>
      </c>
      <c r="D835" s="21" t="s">
        <v>6</v>
      </c>
      <c r="E835" s="21" t="s">
        <v>7</v>
      </c>
    </row>
    <row r="836">
      <c r="A836" s="22" t="s">
        <v>91</v>
      </c>
      <c r="B836" s="24">
        <v>86.4</v>
      </c>
      <c r="C836" s="24">
        <v>85.3</v>
      </c>
      <c r="D836" s="24">
        <v>91.3</v>
      </c>
      <c r="E836" s="24">
        <v>89.1</v>
      </c>
    </row>
    <row r="837">
      <c r="A837" s="22" t="s">
        <v>92</v>
      </c>
      <c r="B837" s="24">
        <v>4.0</v>
      </c>
      <c r="C837" s="24">
        <v>8.0</v>
      </c>
      <c r="D837" s="24">
        <v>2.0</v>
      </c>
      <c r="E837" s="24">
        <v>7.0</v>
      </c>
    </row>
    <row r="838">
      <c r="A838" s="22" t="s">
        <v>93</v>
      </c>
      <c r="B838" s="24">
        <f t="shared" ref="B838:C838" si="137">B821-B837</f>
        <v>22606</v>
      </c>
      <c r="C838" s="24">
        <f t="shared" si="137"/>
        <v>22604</v>
      </c>
      <c r="D838" s="24">
        <f>D821-D252</f>
        <v>7350</v>
      </c>
      <c r="E838" s="24">
        <f>E821-E837</f>
        <v>22867</v>
      </c>
    </row>
    <row r="839">
      <c r="A839" s="22" t="s">
        <v>94</v>
      </c>
      <c r="B839" s="23">
        <f t="shared" ref="B839:E839" si="138">B845*30</f>
        <v>2220</v>
      </c>
      <c r="C839" s="23">
        <f t="shared" si="138"/>
        <v>4020</v>
      </c>
      <c r="D839" s="23">
        <f t="shared" si="138"/>
        <v>240</v>
      </c>
      <c r="E839" s="23">
        <f t="shared" si="138"/>
        <v>2220</v>
      </c>
    </row>
    <row r="840">
      <c r="A840" s="22" t="s">
        <v>95</v>
      </c>
      <c r="B840" s="24">
        <v>13.0</v>
      </c>
      <c r="C840" s="24">
        <v>14.0</v>
      </c>
      <c r="D840" s="24">
        <v>0.0</v>
      </c>
      <c r="E840" s="24">
        <v>13.0</v>
      </c>
    </row>
    <row r="841">
      <c r="A841" s="22" t="s">
        <v>96</v>
      </c>
      <c r="B841" s="24">
        <v>3.0</v>
      </c>
      <c r="C841" s="24">
        <v>4.0</v>
      </c>
      <c r="D841" s="24">
        <v>2.0</v>
      </c>
      <c r="E841" s="24">
        <v>3.0</v>
      </c>
    </row>
    <row r="842">
      <c r="A842" s="22" t="s">
        <v>111</v>
      </c>
      <c r="B842" s="24">
        <v>90.0</v>
      </c>
      <c r="C842" s="24">
        <v>90.0</v>
      </c>
      <c r="D842" s="24">
        <v>30.0</v>
      </c>
      <c r="E842" s="24">
        <v>90.0</v>
      </c>
    </row>
    <row r="843">
      <c r="A843" s="22" t="s">
        <v>98</v>
      </c>
      <c r="B843" s="24" t="s">
        <v>1131</v>
      </c>
      <c r="C843" s="24" t="s">
        <v>1197</v>
      </c>
      <c r="D843" s="24">
        <v>0.0</v>
      </c>
      <c r="E843" s="24">
        <v>0.0</v>
      </c>
    </row>
    <row r="844">
      <c r="A844" s="22" t="s">
        <v>112</v>
      </c>
      <c r="B844" s="26">
        <f t="shared" ref="B844:E844" si="139">round(((B839/B838)*100),2)</f>
        <v>9.82</v>
      </c>
      <c r="C844" s="26">
        <f t="shared" si="139"/>
        <v>17.78</v>
      </c>
      <c r="D844" s="26">
        <f t="shared" si="139"/>
        <v>3.27</v>
      </c>
      <c r="E844" s="26">
        <f t="shared" si="139"/>
        <v>9.71</v>
      </c>
    </row>
    <row r="845">
      <c r="A845" s="22" t="s">
        <v>100</v>
      </c>
      <c r="B845" s="24">
        <v>74.0</v>
      </c>
      <c r="C845" s="24">
        <v>134.0</v>
      </c>
      <c r="D845" s="24">
        <v>8.0</v>
      </c>
      <c r="E845" s="24">
        <v>74.0</v>
      </c>
    </row>
    <row r="846">
      <c r="A846" s="24" t="s">
        <v>1159</v>
      </c>
      <c r="B846" s="32" t="s">
        <v>984</v>
      </c>
      <c r="C846" s="32" t="s">
        <v>132</v>
      </c>
      <c r="D846" s="32" t="s">
        <v>1178</v>
      </c>
      <c r="E846" s="32" t="s">
        <v>983</v>
      </c>
    </row>
    <row r="847">
      <c r="A847" s="22" t="s">
        <v>178</v>
      </c>
      <c r="B847" s="24" t="s">
        <v>1180</v>
      </c>
      <c r="C847" s="24" t="s">
        <v>1093</v>
      </c>
      <c r="D847" s="18"/>
      <c r="E847" s="18"/>
    </row>
    <row r="848">
      <c r="A848" s="22" t="s">
        <v>103</v>
      </c>
      <c r="B848" s="24"/>
      <c r="D848" s="24" t="s">
        <v>1198</v>
      </c>
    </row>
    <row r="851">
      <c r="A851" s="19" t="s">
        <v>50</v>
      </c>
      <c r="B851" s="20" t="s">
        <v>1199</v>
      </c>
    </row>
    <row r="852">
      <c r="B852" s="21" t="s">
        <v>4</v>
      </c>
      <c r="C852" s="21" t="s">
        <v>5</v>
      </c>
      <c r="D852" s="21" t="s">
        <v>6</v>
      </c>
      <c r="E852" s="21" t="s">
        <v>7</v>
      </c>
    </row>
    <row r="853">
      <c r="A853" s="22" t="s">
        <v>91</v>
      </c>
      <c r="B853" s="24">
        <v>86.5</v>
      </c>
      <c r="C853" s="24">
        <v>85.4</v>
      </c>
      <c r="D853" s="24">
        <v>91.4</v>
      </c>
      <c r="E853" s="24">
        <v>89.2</v>
      </c>
    </row>
    <row r="854">
      <c r="A854" s="22" t="s">
        <v>92</v>
      </c>
      <c r="B854" s="24">
        <v>1.0</v>
      </c>
      <c r="C854" s="24">
        <v>2.0</v>
      </c>
      <c r="D854" s="24">
        <v>0.0</v>
      </c>
      <c r="E854" s="24">
        <v>1.0</v>
      </c>
    </row>
    <row r="855">
      <c r="A855" s="22" t="s">
        <v>93</v>
      </c>
      <c r="B855" s="24">
        <f t="shared" ref="B855:C855" si="140">B838-B854</f>
        <v>22605</v>
      </c>
      <c r="C855" s="24">
        <f t="shared" si="140"/>
        <v>22602</v>
      </c>
      <c r="D855" s="24">
        <f>D838-D269</f>
        <v>7350</v>
      </c>
      <c r="E855" s="24">
        <f>E838-E854</f>
        <v>22866</v>
      </c>
    </row>
    <row r="856">
      <c r="A856" s="22" t="s">
        <v>94</v>
      </c>
      <c r="B856" s="23">
        <f t="shared" ref="B856:E856" si="141">B862*30</f>
        <v>3000</v>
      </c>
      <c r="C856" s="23">
        <f t="shared" si="141"/>
        <v>5310</v>
      </c>
      <c r="D856" s="23">
        <f t="shared" si="141"/>
        <v>330</v>
      </c>
      <c r="E856" s="23">
        <f t="shared" si="141"/>
        <v>2850</v>
      </c>
    </row>
    <row r="857">
      <c r="A857" s="22" t="s">
        <v>95</v>
      </c>
      <c r="B857" s="24">
        <v>12.0</v>
      </c>
      <c r="C857" s="24">
        <v>20.0</v>
      </c>
      <c r="D857" s="24">
        <v>3.0</v>
      </c>
      <c r="E857" s="24">
        <v>14.0</v>
      </c>
    </row>
    <row r="858">
      <c r="A858" s="22" t="s">
        <v>96</v>
      </c>
      <c r="B858" s="24">
        <v>0.0</v>
      </c>
      <c r="C858" s="24">
        <v>9.0</v>
      </c>
      <c r="D858" s="24">
        <v>2.0</v>
      </c>
      <c r="E858" s="24">
        <v>2.0</v>
      </c>
    </row>
    <row r="859">
      <c r="A859" s="22" t="s">
        <v>111</v>
      </c>
      <c r="B859" s="24">
        <v>130.0</v>
      </c>
      <c r="C859" s="24">
        <v>130.0</v>
      </c>
      <c r="D859" s="24">
        <v>40.0</v>
      </c>
      <c r="E859" s="24">
        <v>130.0</v>
      </c>
    </row>
    <row r="860">
      <c r="A860" s="22" t="s">
        <v>98</v>
      </c>
      <c r="B860" s="24" t="s">
        <v>1119</v>
      </c>
      <c r="C860" s="24" t="s">
        <v>1120</v>
      </c>
      <c r="D860" s="24">
        <v>0.0</v>
      </c>
      <c r="E860" s="24">
        <v>0.0</v>
      </c>
    </row>
    <row r="861">
      <c r="A861" s="22" t="s">
        <v>112</v>
      </c>
      <c r="B861" s="26">
        <f t="shared" ref="B861:E861" si="142">round(((B856/B855)*100),2)</f>
        <v>13.27</v>
      </c>
      <c r="C861" s="26">
        <f t="shared" si="142"/>
        <v>23.49</v>
      </c>
      <c r="D861" s="26">
        <f t="shared" si="142"/>
        <v>4.49</v>
      </c>
      <c r="E861" s="26">
        <f t="shared" si="142"/>
        <v>12.46</v>
      </c>
    </row>
    <row r="862">
      <c r="A862" s="22" t="s">
        <v>100</v>
      </c>
      <c r="B862" s="24">
        <v>100.0</v>
      </c>
      <c r="C862" s="24">
        <v>177.0</v>
      </c>
      <c r="D862" s="24">
        <v>11.0</v>
      </c>
      <c r="E862" s="24">
        <v>95.0</v>
      </c>
    </row>
    <row r="863">
      <c r="A863" s="24" t="s">
        <v>1159</v>
      </c>
      <c r="B863" s="32" t="s">
        <v>984</v>
      </c>
      <c r="C863" s="32" t="s">
        <v>132</v>
      </c>
      <c r="D863" s="32" t="s">
        <v>1178</v>
      </c>
      <c r="E863" s="32" t="s">
        <v>983</v>
      </c>
    </row>
    <row r="864">
      <c r="A864" s="22" t="s">
        <v>178</v>
      </c>
      <c r="B864" s="24" t="s">
        <v>1200</v>
      </c>
      <c r="C864" s="24" t="s">
        <v>905</v>
      </c>
      <c r="D864" s="18"/>
      <c r="E864" s="18"/>
    </row>
    <row r="865">
      <c r="A865" s="22" t="s">
        <v>103</v>
      </c>
      <c r="B865" s="24"/>
      <c r="D865" s="24" t="s">
        <v>1201</v>
      </c>
    </row>
    <row r="868">
      <c r="A868" s="19" t="s">
        <v>50</v>
      </c>
      <c r="B868" s="20" t="s">
        <v>1202</v>
      </c>
    </row>
    <row r="869">
      <c r="B869" s="21" t="s">
        <v>4</v>
      </c>
      <c r="C869" s="21" t="s">
        <v>5</v>
      </c>
      <c r="D869" s="21" t="s">
        <v>6</v>
      </c>
      <c r="E869" s="21" t="s">
        <v>7</v>
      </c>
    </row>
    <row r="870">
      <c r="A870" s="22" t="s">
        <v>91</v>
      </c>
      <c r="B870" s="24">
        <v>86.6</v>
      </c>
      <c r="C870" s="24">
        <v>85.5</v>
      </c>
      <c r="D870" s="24">
        <v>91.5</v>
      </c>
      <c r="E870" s="24">
        <v>89.3</v>
      </c>
    </row>
    <row r="871">
      <c r="A871" s="22" t="s">
        <v>92</v>
      </c>
      <c r="B871" s="24">
        <v>2.0</v>
      </c>
      <c r="C871" s="24">
        <v>3.0</v>
      </c>
      <c r="D871" s="24">
        <v>0.0</v>
      </c>
      <c r="E871" s="24">
        <v>3.0</v>
      </c>
    </row>
    <row r="872">
      <c r="A872" s="22" t="s">
        <v>93</v>
      </c>
      <c r="B872" s="24">
        <f t="shared" ref="B872:C872" si="143">B855-B871</f>
        <v>22603</v>
      </c>
      <c r="C872" s="24">
        <f t="shared" si="143"/>
        <v>22599</v>
      </c>
      <c r="D872" s="24">
        <f>D855-D286</f>
        <v>7350</v>
      </c>
      <c r="E872" s="24">
        <f>E855-E871</f>
        <v>22863</v>
      </c>
    </row>
    <row r="873">
      <c r="A873" s="22" t="s">
        <v>94</v>
      </c>
      <c r="B873" s="23">
        <f t="shared" ref="B873:E873" si="144">B879*30</f>
        <v>4320</v>
      </c>
      <c r="C873" s="23">
        <f t="shared" si="144"/>
        <v>6390</v>
      </c>
      <c r="D873" s="23">
        <f t="shared" si="144"/>
        <v>480</v>
      </c>
      <c r="E873" s="23">
        <f t="shared" si="144"/>
        <v>4110</v>
      </c>
    </row>
    <row r="874">
      <c r="A874" s="22" t="s">
        <v>95</v>
      </c>
      <c r="B874" s="24">
        <v>25.0</v>
      </c>
      <c r="C874" s="24">
        <v>18.0</v>
      </c>
      <c r="D874" s="24">
        <v>4.0</v>
      </c>
      <c r="E874" s="24">
        <v>13.0</v>
      </c>
    </row>
    <row r="875">
      <c r="A875" s="22" t="s">
        <v>96</v>
      </c>
      <c r="B875" s="24">
        <v>5.0</v>
      </c>
      <c r="C875" s="24">
        <v>28.0</v>
      </c>
      <c r="D875" s="24">
        <v>0.0</v>
      </c>
      <c r="E875" s="24">
        <v>3.0</v>
      </c>
    </row>
    <row r="876">
      <c r="A876" s="22" t="s">
        <v>111</v>
      </c>
      <c r="B876" s="24">
        <v>130.0</v>
      </c>
      <c r="C876" s="24">
        <v>130.0</v>
      </c>
      <c r="D876" s="24">
        <v>40.0</v>
      </c>
      <c r="E876" s="24">
        <v>130.0</v>
      </c>
    </row>
    <row r="877">
      <c r="A877" s="22" t="s">
        <v>98</v>
      </c>
      <c r="B877" s="24" t="s">
        <v>1203</v>
      </c>
      <c r="C877" s="24" t="s">
        <v>1204</v>
      </c>
      <c r="D877" s="24">
        <v>0.0</v>
      </c>
      <c r="E877" s="24">
        <v>0.0</v>
      </c>
    </row>
    <row r="878">
      <c r="A878" s="22" t="s">
        <v>112</v>
      </c>
      <c r="B878" s="26">
        <f t="shared" ref="B878:E878" si="145">round(((B873/B872)*100),2)</f>
        <v>19.11</v>
      </c>
      <c r="C878" s="26">
        <f t="shared" si="145"/>
        <v>28.28</v>
      </c>
      <c r="D878" s="26">
        <f t="shared" si="145"/>
        <v>6.53</v>
      </c>
      <c r="E878" s="26">
        <f t="shared" si="145"/>
        <v>17.98</v>
      </c>
    </row>
    <row r="879">
      <c r="A879" s="22" t="s">
        <v>100</v>
      </c>
      <c r="B879" s="24">
        <v>144.0</v>
      </c>
      <c r="C879" s="24">
        <v>213.0</v>
      </c>
      <c r="D879" s="24">
        <v>16.0</v>
      </c>
      <c r="E879" s="24">
        <v>137.0</v>
      </c>
    </row>
    <row r="880">
      <c r="A880" s="24" t="s">
        <v>1159</v>
      </c>
      <c r="B880" s="32" t="s">
        <v>984</v>
      </c>
      <c r="C880" s="32" t="s">
        <v>132</v>
      </c>
      <c r="D880" s="32" t="s">
        <v>1178</v>
      </c>
      <c r="E880" s="32" t="s">
        <v>983</v>
      </c>
    </row>
    <row r="881">
      <c r="A881" s="22" t="s">
        <v>178</v>
      </c>
      <c r="B881" s="24" t="s">
        <v>1200</v>
      </c>
      <c r="C881" s="24" t="s">
        <v>1122</v>
      </c>
      <c r="D881" s="18"/>
      <c r="E881" s="18"/>
    </row>
    <row r="882">
      <c r="A882" s="22" t="s">
        <v>103</v>
      </c>
      <c r="B882" s="24"/>
      <c r="D882" s="24" t="s">
        <v>1205</v>
      </c>
    </row>
    <row r="885">
      <c r="A885" s="19" t="s">
        <v>50</v>
      </c>
      <c r="B885" s="20" t="s">
        <v>1206</v>
      </c>
    </row>
    <row r="886">
      <c r="B886" s="21" t="s">
        <v>4</v>
      </c>
      <c r="C886" s="21" t="s">
        <v>5</v>
      </c>
      <c r="D886" s="21" t="s">
        <v>6</v>
      </c>
      <c r="E886" s="21" t="s">
        <v>7</v>
      </c>
    </row>
    <row r="887">
      <c r="A887" s="22" t="s">
        <v>91</v>
      </c>
      <c r="B887" s="24">
        <v>86.7</v>
      </c>
      <c r="C887" s="24">
        <v>85.6</v>
      </c>
      <c r="D887" s="24">
        <v>91.6</v>
      </c>
      <c r="E887" s="24">
        <v>89.4</v>
      </c>
    </row>
    <row r="888">
      <c r="A888" s="22" t="s">
        <v>92</v>
      </c>
      <c r="B888" s="24">
        <v>0.0</v>
      </c>
      <c r="C888" s="24">
        <v>3.0</v>
      </c>
      <c r="D888" s="24">
        <v>1.0</v>
      </c>
      <c r="E888" s="24">
        <v>3.0</v>
      </c>
    </row>
    <row r="889">
      <c r="A889" s="22" t="s">
        <v>93</v>
      </c>
      <c r="B889" s="24">
        <f t="shared" ref="B889:C889" si="146">B872-B888</f>
        <v>22603</v>
      </c>
      <c r="C889" s="24">
        <f t="shared" si="146"/>
        <v>22596</v>
      </c>
      <c r="D889" s="24">
        <f>D872-D303</f>
        <v>7350</v>
      </c>
      <c r="E889" s="24">
        <f>E872-E888</f>
        <v>22860</v>
      </c>
    </row>
    <row r="890">
      <c r="A890" s="22" t="s">
        <v>94</v>
      </c>
      <c r="B890" s="23">
        <f t="shared" ref="B890:E890" si="147">B896*30</f>
        <v>6000</v>
      </c>
      <c r="C890" s="23">
        <f t="shared" si="147"/>
        <v>7500</v>
      </c>
      <c r="D890" s="23">
        <f t="shared" si="147"/>
        <v>720</v>
      </c>
      <c r="E890" s="23">
        <f t="shared" si="147"/>
        <v>5070</v>
      </c>
    </row>
    <row r="891">
      <c r="A891" s="22" t="s">
        <v>95</v>
      </c>
      <c r="B891" s="24">
        <v>30.0</v>
      </c>
      <c r="C891" s="24">
        <v>8.0</v>
      </c>
      <c r="D891" s="24">
        <v>19.0</v>
      </c>
      <c r="E891" s="24">
        <v>22.0</v>
      </c>
    </row>
    <row r="892">
      <c r="A892" s="22" t="s">
        <v>96</v>
      </c>
      <c r="B892" s="24">
        <v>1.0</v>
      </c>
      <c r="C892" s="24">
        <v>3.0</v>
      </c>
      <c r="D892" s="24">
        <v>3.0</v>
      </c>
      <c r="E892" s="24">
        <v>3.0</v>
      </c>
    </row>
    <row r="893">
      <c r="A893" s="22" t="s">
        <v>111</v>
      </c>
      <c r="B893" s="24">
        <v>130.0</v>
      </c>
      <c r="C893" s="24">
        <v>150.0</v>
      </c>
      <c r="D893" s="24">
        <v>40.0</v>
      </c>
      <c r="E893" s="24">
        <v>130.0</v>
      </c>
    </row>
    <row r="894">
      <c r="A894" s="22" t="s">
        <v>98</v>
      </c>
      <c r="B894" s="24" t="s">
        <v>1207</v>
      </c>
      <c r="C894" s="24" t="s">
        <v>1208</v>
      </c>
      <c r="D894" s="24">
        <v>0.0</v>
      </c>
      <c r="E894" s="24" t="s">
        <v>1197</v>
      </c>
    </row>
    <row r="895">
      <c r="A895" s="22" t="s">
        <v>112</v>
      </c>
      <c r="B895" s="26">
        <f t="shared" ref="B895:E895" si="148">round(((B890/B889)*100),2)</f>
        <v>26.55</v>
      </c>
      <c r="C895" s="26">
        <f t="shared" si="148"/>
        <v>33.19</v>
      </c>
      <c r="D895" s="26">
        <f t="shared" si="148"/>
        <v>9.8</v>
      </c>
      <c r="E895" s="26">
        <f t="shared" si="148"/>
        <v>22.18</v>
      </c>
    </row>
    <row r="896">
      <c r="A896" s="22" t="s">
        <v>100</v>
      </c>
      <c r="B896" s="24">
        <v>200.0</v>
      </c>
      <c r="C896" s="24">
        <v>250.0</v>
      </c>
      <c r="D896" s="24">
        <v>24.0</v>
      </c>
      <c r="E896" s="24">
        <v>169.0</v>
      </c>
    </row>
    <row r="897">
      <c r="A897" s="24" t="s">
        <v>1159</v>
      </c>
      <c r="B897" s="32" t="s">
        <v>984</v>
      </c>
      <c r="C897" s="32" t="s">
        <v>132</v>
      </c>
      <c r="D897" s="32" t="s">
        <v>1178</v>
      </c>
      <c r="E897" s="32" t="s">
        <v>983</v>
      </c>
    </row>
    <row r="898">
      <c r="A898" s="22" t="s">
        <v>178</v>
      </c>
      <c r="B898" s="24" t="s">
        <v>1209</v>
      </c>
      <c r="C898" s="24" t="s">
        <v>1174</v>
      </c>
      <c r="D898" s="18"/>
      <c r="E898" s="18"/>
    </row>
    <row r="899">
      <c r="A899" s="22" t="s">
        <v>103</v>
      </c>
      <c r="B899" s="24" t="s">
        <v>1210</v>
      </c>
      <c r="D899" s="24" t="s">
        <v>1211</v>
      </c>
    </row>
    <row r="902">
      <c r="A902" s="19" t="s">
        <v>50</v>
      </c>
      <c r="B902" s="20" t="s">
        <v>1212</v>
      </c>
    </row>
    <row r="903">
      <c r="B903" s="21" t="s">
        <v>4</v>
      </c>
      <c r="C903" s="21" t="s">
        <v>5</v>
      </c>
      <c r="D903" s="21" t="s">
        <v>6</v>
      </c>
      <c r="E903" s="21" t="s">
        <v>7</v>
      </c>
    </row>
    <row r="904">
      <c r="A904" s="22" t="s">
        <v>91</v>
      </c>
      <c r="B904" s="24">
        <v>87.1</v>
      </c>
      <c r="C904" s="24">
        <v>85.7</v>
      </c>
      <c r="D904" s="24">
        <v>91.7</v>
      </c>
      <c r="E904" s="24">
        <v>89.5</v>
      </c>
    </row>
    <row r="905">
      <c r="A905" s="22" t="s">
        <v>92</v>
      </c>
      <c r="B905" s="24">
        <v>3.0</v>
      </c>
      <c r="C905" s="24">
        <v>5.0</v>
      </c>
      <c r="D905" s="24">
        <v>0.0</v>
      </c>
      <c r="E905" s="24">
        <v>1.0</v>
      </c>
    </row>
    <row r="906">
      <c r="A906" s="22" t="s">
        <v>93</v>
      </c>
      <c r="B906" s="24">
        <f t="shared" ref="B906:C906" si="149">B889-B905</f>
        <v>22600</v>
      </c>
      <c r="C906" s="24">
        <f t="shared" si="149"/>
        <v>22591</v>
      </c>
      <c r="D906" s="24">
        <f>D889-D320</f>
        <v>7350</v>
      </c>
      <c r="E906" s="24">
        <f>E889-E905</f>
        <v>22859</v>
      </c>
    </row>
    <row r="907">
      <c r="A907" s="22" t="s">
        <v>94</v>
      </c>
      <c r="B907" s="23">
        <f t="shared" ref="B907:E907" si="150">B913*30</f>
        <v>7440</v>
      </c>
      <c r="C907" s="23">
        <f t="shared" si="150"/>
        <v>8970</v>
      </c>
      <c r="D907" s="23">
        <f t="shared" si="150"/>
        <v>960</v>
      </c>
      <c r="E907" s="23">
        <f t="shared" si="150"/>
        <v>6570</v>
      </c>
    </row>
    <row r="908">
      <c r="A908" s="22" t="s">
        <v>95</v>
      </c>
      <c r="B908" s="24">
        <v>36.0</v>
      </c>
      <c r="C908" s="24">
        <v>21.0</v>
      </c>
      <c r="D908" s="24">
        <v>4.0</v>
      </c>
      <c r="E908" s="24">
        <v>19.0</v>
      </c>
    </row>
    <row r="909">
      <c r="A909" s="22" t="s">
        <v>96</v>
      </c>
      <c r="B909" s="24">
        <v>2.0</v>
      </c>
      <c r="C909" s="24">
        <v>5.0</v>
      </c>
      <c r="D909" s="24">
        <v>0.0</v>
      </c>
      <c r="E909" s="24">
        <v>3.0</v>
      </c>
    </row>
    <row r="910">
      <c r="A910" s="22" t="s">
        <v>111</v>
      </c>
      <c r="B910" s="24">
        <v>130.0</v>
      </c>
      <c r="C910" s="24">
        <v>150.0</v>
      </c>
      <c r="D910" s="24">
        <v>40.0</v>
      </c>
      <c r="E910" s="24">
        <v>130.0</v>
      </c>
    </row>
    <row r="911">
      <c r="A911" s="22" t="s">
        <v>98</v>
      </c>
      <c r="B911" s="24">
        <v>1.0</v>
      </c>
      <c r="C911" s="24">
        <v>1.0</v>
      </c>
      <c r="D911" s="24">
        <v>0.0</v>
      </c>
      <c r="E911" s="24" t="s">
        <v>1207</v>
      </c>
    </row>
    <row r="912">
      <c r="A912" s="22" t="s">
        <v>112</v>
      </c>
      <c r="B912" s="26">
        <f t="shared" ref="B912:E912" si="151">round(((B907/B906)*100),2)</f>
        <v>32.92</v>
      </c>
      <c r="C912" s="26">
        <f t="shared" si="151"/>
        <v>39.71</v>
      </c>
      <c r="D912" s="26">
        <f t="shared" si="151"/>
        <v>13.06</v>
      </c>
      <c r="E912" s="26">
        <f t="shared" si="151"/>
        <v>28.74</v>
      </c>
    </row>
    <row r="913">
      <c r="A913" s="22" t="s">
        <v>100</v>
      </c>
      <c r="B913" s="24">
        <v>248.0</v>
      </c>
      <c r="C913" s="24">
        <v>299.0</v>
      </c>
      <c r="D913" s="24">
        <v>32.0</v>
      </c>
      <c r="E913" s="24">
        <v>219.0</v>
      </c>
    </row>
    <row r="914">
      <c r="A914" s="24" t="s">
        <v>1159</v>
      </c>
      <c r="B914" s="32" t="s">
        <v>984</v>
      </c>
      <c r="C914" s="32" t="s">
        <v>132</v>
      </c>
      <c r="D914" s="32" t="s">
        <v>1178</v>
      </c>
      <c r="E914" s="32" t="s">
        <v>983</v>
      </c>
    </row>
    <row r="915">
      <c r="A915" s="22" t="s">
        <v>178</v>
      </c>
      <c r="B915" s="24" t="s">
        <v>1213</v>
      </c>
      <c r="C915" s="24" t="s">
        <v>901</v>
      </c>
      <c r="D915" s="18"/>
      <c r="E915" s="18"/>
    </row>
    <row r="916">
      <c r="A916" s="22" t="s">
        <v>103</v>
      </c>
      <c r="B916" s="24"/>
      <c r="D916" s="24" t="s">
        <v>1214</v>
      </c>
    </row>
    <row r="919">
      <c r="A919" s="19" t="s">
        <v>50</v>
      </c>
      <c r="B919" s="20" t="s">
        <v>1215</v>
      </c>
    </row>
    <row r="920">
      <c r="B920" s="21" t="s">
        <v>4</v>
      </c>
      <c r="C920" s="21" t="s">
        <v>5</v>
      </c>
      <c r="D920" s="21" t="s">
        <v>6</v>
      </c>
      <c r="E920" s="21" t="s">
        <v>7</v>
      </c>
    </row>
    <row r="921">
      <c r="A921" s="22" t="s">
        <v>91</v>
      </c>
      <c r="B921" s="24">
        <v>87.2</v>
      </c>
      <c r="C921" s="24">
        <v>86.1</v>
      </c>
      <c r="D921" s="24">
        <v>92.1</v>
      </c>
      <c r="E921" s="24">
        <v>89.6</v>
      </c>
    </row>
    <row r="922">
      <c r="A922" s="22" t="s">
        <v>92</v>
      </c>
      <c r="B922" s="24">
        <v>3.0</v>
      </c>
      <c r="C922" s="24">
        <v>5.0</v>
      </c>
      <c r="D922" s="24">
        <v>0.0</v>
      </c>
      <c r="E922" s="24">
        <v>2.0</v>
      </c>
    </row>
    <row r="923">
      <c r="A923" s="22" t="s">
        <v>93</v>
      </c>
      <c r="B923" s="24">
        <f t="shared" ref="B923:C923" si="152">B906-B922</f>
        <v>22597</v>
      </c>
      <c r="C923" s="24">
        <f t="shared" si="152"/>
        <v>22586</v>
      </c>
      <c r="D923" s="24">
        <f>D906-D337</f>
        <v>7350</v>
      </c>
      <c r="E923" s="24">
        <f>E906-E922</f>
        <v>22857</v>
      </c>
    </row>
    <row r="924">
      <c r="A924" s="22" t="s">
        <v>94</v>
      </c>
      <c r="B924" s="23">
        <f t="shared" ref="B924:E924" si="153">B930*30</f>
        <v>9300</v>
      </c>
      <c r="C924" s="23">
        <f t="shared" si="153"/>
        <v>10110</v>
      </c>
      <c r="D924" s="23">
        <f t="shared" si="153"/>
        <v>1230</v>
      </c>
      <c r="E924" s="23">
        <f t="shared" si="153"/>
        <v>8190</v>
      </c>
    </row>
    <row r="925">
      <c r="A925" s="22" t="s">
        <v>95</v>
      </c>
      <c r="B925" s="24">
        <v>23.0</v>
      </c>
      <c r="C925" s="24">
        <v>24.0</v>
      </c>
      <c r="D925" s="24">
        <v>7.0</v>
      </c>
      <c r="E925" s="24">
        <v>17.0</v>
      </c>
    </row>
    <row r="926">
      <c r="A926" s="22" t="s">
        <v>96</v>
      </c>
      <c r="B926" s="24">
        <v>9.0</v>
      </c>
      <c r="C926" s="24">
        <v>6.0</v>
      </c>
      <c r="D926" s="24">
        <v>0.0</v>
      </c>
      <c r="E926" s="24">
        <v>4.0</v>
      </c>
    </row>
    <row r="927">
      <c r="A927" s="22" t="s">
        <v>111</v>
      </c>
      <c r="B927" s="24">
        <v>130.0</v>
      </c>
      <c r="C927" s="24">
        <v>150.0</v>
      </c>
      <c r="D927" s="24">
        <v>40.0</v>
      </c>
      <c r="E927" s="24">
        <v>130.0</v>
      </c>
    </row>
    <row r="928">
      <c r="A928" s="22" t="s">
        <v>98</v>
      </c>
      <c r="B928" s="24">
        <v>1.0</v>
      </c>
      <c r="C928" s="24">
        <v>1.0</v>
      </c>
      <c r="D928" s="24">
        <v>0.0</v>
      </c>
      <c r="E928" s="24" t="s">
        <v>1208</v>
      </c>
    </row>
    <row r="929">
      <c r="A929" s="22" t="s">
        <v>112</v>
      </c>
      <c r="B929" s="26">
        <f t="shared" ref="B929:E929" si="154">round(((B924/B923)*100),2)</f>
        <v>41.16</v>
      </c>
      <c r="C929" s="26">
        <f t="shared" si="154"/>
        <v>44.76</v>
      </c>
      <c r="D929" s="26">
        <f t="shared" si="154"/>
        <v>16.73</v>
      </c>
      <c r="E929" s="26">
        <f t="shared" si="154"/>
        <v>35.83</v>
      </c>
    </row>
    <row r="930">
      <c r="A930" s="22" t="s">
        <v>100</v>
      </c>
      <c r="B930" s="24">
        <v>310.0</v>
      </c>
      <c r="C930" s="24">
        <v>337.0</v>
      </c>
      <c r="D930" s="24">
        <v>41.0</v>
      </c>
      <c r="E930" s="24">
        <v>273.0</v>
      </c>
    </row>
    <row r="931">
      <c r="A931" s="24" t="s">
        <v>1159</v>
      </c>
      <c r="B931" s="32" t="s">
        <v>984</v>
      </c>
      <c r="C931" s="32" t="s">
        <v>132</v>
      </c>
      <c r="D931" s="32" t="s">
        <v>1178</v>
      </c>
      <c r="E931" s="32" t="s">
        <v>983</v>
      </c>
    </row>
    <row r="932">
      <c r="A932" s="22" t="s">
        <v>178</v>
      </c>
      <c r="B932" s="24" t="s">
        <v>1216</v>
      </c>
      <c r="C932" s="24" t="s">
        <v>909</v>
      </c>
      <c r="D932" s="18"/>
      <c r="E932" s="18"/>
    </row>
    <row r="933">
      <c r="A933" s="22" t="s">
        <v>103</v>
      </c>
      <c r="B933" s="24" t="s">
        <v>1217</v>
      </c>
      <c r="D933" s="24" t="s">
        <v>1218</v>
      </c>
    </row>
    <row r="936">
      <c r="A936" s="19" t="s">
        <v>50</v>
      </c>
      <c r="B936" s="20" t="s">
        <v>1219</v>
      </c>
    </row>
    <row r="937">
      <c r="B937" s="21" t="s">
        <v>4</v>
      </c>
      <c r="C937" s="21" t="s">
        <v>5</v>
      </c>
      <c r="D937" s="21" t="s">
        <v>6</v>
      </c>
      <c r="E937" s="21" t="s">
        <v>7</v>
      </c>
    </row>
    <row r="938">
      <c r="A938" s="22" t="s">
        <v>91</v>
      </c>
      <c r="B938" s="24">
        <v>87.3</v>
      </c>
      <c r="C938" s="24">
        <v>86.2</v>
      </c>
      <c r="D938" s="24">
        <v>92.2</v>
      </c>
      <c r="E938" s="24">
        <v>89.7</v>
      </c>
    </row>
    <row r="939">
      <c r="A939" s="22" t="s">
        <v>92</v>
      </c>
      <c r="B939" s="24">
        <v>0.0</v>
      </c>
      <c r="C939" s="24">
        <v>3.0</v>
      </c>
      <c r="D939" s="24">
        <v>0.0</v>
      </c>
      <c r="E939" s="24">
        <v>4.0</v>
      </c>
    </row>
    <row r="940">
      <c r="A940" s="22" t="s">
        <v>93</v>
      </c>
      <c r="B940" s="24">
        <f t="shared" ref="B940:C940" si="155">B923-B939</f>
        <v>22597</v>
      </c>
      <c r="C940" s="24">
        <f t="shared" si="155"/>
        <v>22583</v>
      </c>
      <c r="D940" s="24">
        <f>D923-D354</f>
        <v>7350</v>
      </c>
      <c r="E940" s="24">
        <f>E923-E939</f>
        <v>22853</v>
      </c>
    </row>
    <row r="941">
      <c r="A941" s="22" t="s">
        <v>94</v>
      </c>
      <c r="B941" s="23">
        <f t="shared" ref="B941:E941" si="156">B947*30</f>
        <v>11100</v>
      </c>
      <c r="C941" s="23">
        <f t="shared" si="156"/>
        <v>11190</v>
      </c>
      <c r="D941" s="23">
        <f t="shared" si="156"/>
        <v>1620</v>
      </c>
      <c r="E941" s="23">
        <f t="shared" si="156"/>
        <v>10200</v>
      </c>
    </row>
    <row r="942">
      <c r="A942" s="22" t="s">
        <v>95</v>
      </c>
      <c r="B942" s="24">
        <v>37.0</v>
      </c>
      <c r="C942" s="24">
        <v>8.0</v>
      </c>
      <c r="D942" s="24">
        <v>6.0</v>
      </c>
      <c r="E942" s="24">
        <v>18.0</v>
      </c>
    </row>
    <row r="943">
      <c r="A943" s="22" t="s">
        <v>96</v>
      </c>
      <c r="B943" s="24">
        <v>7.0</v>
      </c>
      <c r="C943" s="24">
        <v>4.0</v>
      </c>
      <c r="D943" s="24">
        <v>4.0</v>
      </c>
      <c r="E943" s="24">
        <v>2.0</v>
      </c>
    </row>
    <row r="944">
      <c r="A944" s="22" t="s">
        <v>111</v>
      </c>
      <c r="B944" s="24">
        <v>130.0</v>
      </c>
      <c r="C944" s="24">
        <v>150.0</v>
      </c>
      <c r="D944" s="24">
        <v>40.0</v>
      </c>
      <c r="E944" s="24">
        <v>130.0</v>
      </c>
    </row>
    <row r="945">
      <c r="A945" s="22" t="s">
        <v>98</v>
      </c>
      <c r="B945" s="24">
        <v>1.0</v>
      </c>
      <c r="C945" s="24">
        <v>1.0</v>
      </c>
      <c r="D945" s="24">
        <v>0.0</v>
      </c>
      <c r="E945" s="24">
        <v>1.0</v>
      </c>
    </row>
    <row r="946">
      <c r="A946" s="22" t="s">
        <v>112</v>
      </c>
      <c r="B946" s="26">
        <f t="shared" ref="B946:E946" si="157">round(((B941/B940)*100),2)</f>
        <v>49.12</v>
      </c>
      <c r="C946" s="26">
        <f t="shared" si="157"/>
        <v>49.55</v>
      </c>
      <c r="D946" s="26">
        <f t="shared" si="157"/>
        <v>22.04</v>
      </c>
      <c r="E946" s="26">
        <f t="shared" si="157"/>
        <v>44.63</v>
      </c>
    </row>
    <row r="947">
      <c r="A947" s="22" t="s">
        <v>100</v>
      </c>
      <c r="B947" s="24">
        <v>370.0</v>
      </c>
      <c r="C947" s="24">
        <v>373.0</v>
      </c>
      <c r="D947" s="24">
        <v>54.0</v>
      </c>
      <c r="E947" s="24">
        <v>340.0</v>
      </c>
    </row>
    <row r="948">
      <c r="A948" s="24" t="s">
        <v>1159</v>
      </c>
      <c r="B948" s="32" t="s">
        <v>984</v>
      </c>
      <c r="C948" s="32" t="s">
        <v>132</v>
      </c>
      <c r="D948" s="32" t="s">
        <v>1178</v>
      </c>
      <c r="E948" s="32" t="s">
        <v>983</v>
      </c>
    </row>
    <row r="949">
      <c r="A949" s="22" t="s">
        <v>178</v>
      </c>
      <c r="B949" s="24" t="s">
        <v>1220</v>
      </c>
      <c r="C949" s="24" t="s">
        <v>1221</v>
      </c>
      <c r="D949" s="18"/>
      <c r="E949" s="18"/>
    </row>
    <row r="950">
      <c r="A950" s="22" t="s">
        <v>103</v>
      </c>
      <c r="B950" s="24"/>
      <c r="D950" s="24" t="s">
        <v>1222</v>
      </c>
    </row>
    <row r="953">
      <c r="A953" s="19" t="s">
        <v>50</v>
      </c>
      <c r="B953" s="20" t="s">
        <v>1223</v>
      </c>
    </row>
    <row r="954">
      <c r="B954" s="21" t="s">
        <v>4</v>
      </c>
      <c r="C954" s="21" t="s">
        <v>5</v>
      </c>
      <c r="D954" s="21" t="s">
        <v>6</v>
      </c>
      <c r="E954" s="21" t="s">
        <v>7</v>
      </c>
    </row>
    <row r="955">
      <c r="A955" s="22" t="s">
        <v>91</v>
      </c>
      <c r="B955" s="24">
        <v>87.4</v>
      </c>
      <c r="C955" s="24">
        <v>86.3</v>
      </c>
      <c r="D955" s="24">
        <v>92.3</v>
      </c>
      <c r="E955" s="24">
        <v>90.1</v>
      </c>
    </row>
    <row r="956">
      <c r="A956" s="22" t="s">
        <v>92</v>
      </c>
      <c r="B956" s="24">
        <v>1.0</v>
      </c>
      <c r="C956" s="24">
        <v>1.0</v>
      </c>
      <c r="D956" s="24">
        <v>1.0</v>
      </c>
      <c r="E956" s="24">
        <v>3.0</v>
      </c>
    </row>
    <row r="957">
      <c r="A957" s="22" t="s">
        <v>93</v>
      </c>
      <c r="B957" s="24">
        <f t="shared" ref="B957:C957" si="158">B940-B956</f>
        <v>22596</v>
      </c>
      <c r="C957" s="24">
        <f t="shared" si="158"/>
        <v>22582</v>
      </c>
      <c r="D957" s="24">
        <f>D940-D371</f>
        <v>7350</v>
      </c>
      <c r="E957" s="24">
        <f>E940-E956</f>
        <v>22850</v>
      </c>
    </row>
    <row r="958">
      <c r="A958" s="22" t="s">
        <v>94</v>
      </c>
      <c r="B958" s="23">
        <f t="shared" ref="B958:E958" si="159">B964*30</f>
        <v>12780</v>
      </c>
      <c r="C958" s="23">
        <f t="shared" si="159"/>
        <v>12030</v>
      </c>
      <c r="D958" s="23">
        <f t="shared" si="159"/>
        <v>2190</v>
      </c>
      <c r="E958" s="23">
        <f t="shared" si="159"/>
        <v>11880</v>
      </c>
    </row>
    <row r="959">
      <c r="A959" s="22" t="s">
        <v>95</v>
      </c>
      <c r="B959" s="24">
        <v>49.0</v>
      </c>
      <c r="C959" s="24">
        <v>10.0</v>
      </c>
      <c r="D959" s="24">
        <v>8.0</v>
      </c>
      <c r="E959" s="24">
        <v>19.0</v>
      </c>
    </row>
    <row r="960">
      <c r="A960" s="22" t="s">
        <v>96</v>
      </c>
      <c r="B960" s="24">
        <v>6.0</v>
      </c>
      <c r="C960" s="24">
        <v>3.0</v>
      </c>
      <c r="D960" s="24">
        <v>3.0</v>
      </c>
      <c r="E960" s="24">
        <v>3.0</v>
      </c>
    </row>
    <row r="961">
      <c r="A961" s="22" t="s">
        <v>111</v>
      </c>
      <c r="B961" s="24">
        <v>130.0</v>
      </c>
      <c r="C961" s="24">
        <v>150.0</v>
      </c>
      <c r="D961" s="24">
        <v>40.0</v>
      </c>
      <c r="E961" s="24">
        <v>130.0</v>
      </c>
    </row>
    <row r="962">
      <c r="A962" s="22" t="s">
        <v>98</v>
      </c>
      <c r="B962" s="24">
        <v>1.0</v>
      </c>
      <c r="C962" s="24">
        <v>1.0</v>
      </c>
      <c r="D962" s="24" t="s">
        <v>1197</v>
      </c>
      <c r="E962" s="24">
        <v>1.0</v>
      </c>
    </row>
    <row r="963">
      <c r="A963" s="22" t="s">
        <v>112</v>
      </c>
      <c r="B963" s="26">
        <f t="shared" ref="B963:E963" si="160">round(((B958/B957)*100),2)</f>
        <v>56.56</v>
      </c>
      <c r="C963" s="26">
        <f t="shared" si="160"/>
        <v>53.27</v>
      </c>
      <c r="D963" s="26">
        <f t="shared" si="160"/>
        <v>29.8</v>
      </c>
      <c r="E963" s="26">
        <f t="shared" si="160"/>
        <v>51.99</v>
      </c>
    </row>
    <row r="964">
      <c r="A964" s="22" t="s">
        <v>100</v>
      </c>
      <c r="B964" s="24">
        <v>426.0</v>
      </c>
      <c r="C964" s="24">
        <v>401.0</v>
      </c>
      <c r="D964" s="24">
        <v>73.0</v>
      </c>
      <c r="E964" s="24">
        <v>396.0</v>
      </c>
    </row>
    <row r="965">
      <c r="A965" s="24" t="s">
        <v>1159</v>
      </c>
      <c r="B965" s="32" t="s">
        <v>984</v>
      </c>
      <c r="C965" s="32" t="s">
        <v>132</v>
      </c>
      <c r="D965" s="32" t="s">
        <v>1178</v>
      </c>
      <c r="E965" s="32" t="s">
        <v>983</v>
      </c>
    </row>
    <row r="966">
      <c r="A966" s="22" t="s">
        <v>178</v>
      </c>
      <c r="B966" s="24" t="s">
        <v>1180</v>
      </c>
      <c r="C966" s="24" t="s">
        <v>901</v>
      </c>
      <c r="D966" s="18"/>
      <c r="E966" s="18"/>
    </row>
    <row r="967">
      <c r="A967" s="22" t="s">
        <v>103</v>
      </c>
      <c r="B967" s="24"/>
      <c r="D967" s="24" t="s">
        <v>1224</v>
      </c>
    </row>
    <row r="970">
      <c r="A970" s="19" t="s">
        <v>50</v>
      </c>
      <c r="B970" s="20" t="s">
        <v>1225</v>
      </c>
    </row>
    <row r="971">
      <c r="B971" s="21" t="s">
        <v>4</v>
      </c>
      <c r="C971" s="21" t="s">
        <v>5</v>
      </c>
      <c r="D971" s="21" t="s">
        <v>6</v>
      </c>
      <c r="E971" s="21" t="s">
        <v>7</v>
      </c>
    </row>
    <row r="972">
      <c r="A972" s="22" t="s">
        <v>91</v>
      </c>
      <c r="B972" s="24">
        <v>87.5</v>
      </c>
      <c r="C972" s="24">
        <v>86.4</v>
      </c>
      <c r="D972" s="24">
        <v>92.4</v>
      </c>
      <c r="E972" s="24">
        <v>90.2</v>
      </c>
    </row>
    <row r="973">
      <c r="A973" s="22" t="s">
        <v>92</v>
      </c>
      <c r="B973" s="24">
        <v>4.0</v>
      </c>
      <c r="C973" s="24">
        <v>3.0</v>
      </c>
      <c r="D973" s="24">
        <v>2.0</v>
      </c>
      <c r="E973" s="24">
        <v>8.0</v>
      </c>
    </row>
    <row r="974">
      <c r="A974" s="22" t="s">
        <v>93</v>
      </c>
      <c r="B974" s="24">
        <f t="shared" ref="B974:C974" si="161">B957-B973</f>
        <v>22592</v>
      </c>
      <c r="C974" s="24">
        <f t="shared" si="161"/>
        <v>22579</v>
      </c>
      <c r="D974" s="24">
        <f>D957-D388</f>
        <v>7350</v>
      </c>
      <c r="E974" s="24">
        <f>E957-E973</f>
        <v>22842</v>
      </c>
    </row>
    <row r="975">
      <c r="A975" s="22" t="s">
        <v>94</v>
      </c>
      <c r="B975" s="23">
        <f t="shared" ref="B975:E975" si="162">B981*30</f>
        <v>13890</v>
      </c>
      <c r="C975" s="23">
        <f t="shared" si="162"/>
        <v>13170</v>
      </c>
      <c r="D975" s="23">
        <f t="shared" si="162"/>
        <v>2910</v>
      </c>
      <c r="E975" s="23">
        <f t="shared" si="162"/>
        <v>13110</v>
      </c>
    </row>
    <row r="976">
      <c r="A976" s="22" t="s">
        <v>95</v>
      </c>
      <c r="B976" s="24">
        <v>36.0</v>
      </c>
      <c r="C976" s="24">
        <v>17.0</v>
      </c>
      <c r="D976" s="24">
        <v>15.0</v>
      </c>
      <c r="E976" s="24">
        <v>16.0</v>
      </c>
    </row>
    <row r="977">
      <c r="A977" s="22" t="s">
        <v>96</v>
      </c>
      <c r="B977" s="24">
        <v>4.0</v>
      </c>
      <c r="C977" s="24">
        <v>5.0</v>
      </c>
      <c r="D977" s="24">
        <v>9.0</v>
      </c>
      <c r="E977" s="24">
        <v>1.0</v>
      </c>
    </row>
    <row r="978">
      <c r="A978" s="22" t="s">
        <v>111</v>
      </c>
      <c r="B978" s="24">
        <v>150.0</v>
      </c>
      <c r="C978" s="24">
        <v>150.0</v>
      </c>
      <c r="D978" s="24">
        <v>50.0</v>
      </c>
      <c r="E978" s="24">
        <v>150.0</v>
      </c>
    </row>
    <row r="979">
      <c r="A979" s="22" t="s">
        <v>98</v>
      </c>
      <c r="B979" s="24">
        <v>3.0</v>
      </c>
      <c r="C979" s="24">
        <v>1.0</v>
      </c>
      <c r="D979" s="24" t="s">
        <v>1207</v>
      </c>
      <c r="E979" s="24">
        <v>2.0</v>
      </c>
    </row>
    <row r="980">
      <c r="A980" s="22" t="s">
        <v>112</v>
      </c>
      <c r="B980" s="26">
        <f t="shared" ref="B980:E980" si="163">round(((B975/B974)*100),2)</f>
        <v>61.48</v>
      </c>
      <c r="C980" s="26">
        <f t="shared" si="163"/>
        <v>58.33</v>
      </c>
      <c r="D980" s="26">
        <f t="shared" si="163"/>
        <v>39.59</v>
      </c>
      <c r="E980" s="26">
        <f t="shared" si="163"/>
        <v>57.39</v>
      </c>
    </row>
    <row r="981">
      <c r="A981" s="22" t="s">
        <v>100</v>
      </c>
      <c r="B981" s="24">
        <v>463.0</v>
      </c>
      <c r="C981" s="24">
        <v>439.0</v>
      </c>
      <c r="D981" s="24">
        <v>97.0</v>
      </c>
      <c r="E981" s="24">
        <v>437.0</v>
      </c>
    </row>
    <row r="982">
      <c r="A982" s="24" t="s">
        <v>1159</v>
      </c>
      <c r="B982" s="32" t="s">
        <v>984</v>
      </c>
      <c r="C982" s="32" t="s">
        <v>132</v>
      </c>
      <c r="D982" s="32" t="s">
        <v>1178</v>
      </c>
      <c r="E982" s="32" t="s">
        <v>983</v>
      </c>
    </row>
    <row r="983">
      <c r="A983" s="22" t="s">
        <v>178</v>
      </c>
      <c r="B983" s="24" t="s">
        <v>1138</v>
      </c>
      <c r="C983" s="24" t="s">
        <v>1226</v>
      </c>
      <c r="D983" s="18"/>
      <c r="E983" s="18"/>
    </row>
    <row r="984">
      <c r="A984" s="22" t="s">
        <v>103</v>
      </c>
      <c r="B984" s="24" t="s">
        <v>1227</v>
      </c>
      <c r="D984" s="24" t="s">
        <v>1228</v>
      </c>
    </row>
    <row r="987">
      <c r="A987" s="19" t="s">
        <v>50</v>
      </c>
      <c r="B987" s="29">
        <v>46026.0</v>
      </c>
    </row>
    <row r="988">
      <c r="B988" s="21" t="s">
        <v>4</v>
      </c>
      <c r="C988" s="21" t="s">
        <v>5</v>
      </c>
      <c r="D988" s="21" t="s">
        <v>6</v>
      </c>
      <c r="E988" s="21" t="s">
        <v>7</v>
      </c>
    </row>
    <row r="989">
      <c r="A989" s="22" t="s">
        <v>91</v>
      </c>
      <c r="B989" s="24">
        <v>87.6</v>
      </c>
      <c r="C989" s="24">
        <v>86.5</v>
      </c>
      <c r="D989" s="24">
        <v>92.5</v>
      </c>
      <c r="E989" s="24">
        <v>90.3</v>
      </c>
    </row>
    <row r="990">
      <c r="A990" s="22" t="s">
        <v>92</v>
      </c>
      <c r="B990" s="24">
        <v>1.0</v>
      </c>
      <c r="C990" s="24">
        <v>6.0</v>
      </c>
      <c r="D990" s="24">
        <v>0.0</v>
      </c>
      <c r="E990" s="24">
        <v>7.0</v>
      </c>
    </row>
    <row r="991">
      <c r="A991" s="22" t="s">
        <v>93</v>
      </c>
      <c r="B991" s="24">
        <f t="shared" ref="B991:C991" si="164">B974-B990</f>
        <v>22591</v>
      </c>
      <c r="C991" s="24">
        <f t="shared" si="164"/>
        <v>22573</v>
      </c>
      <c r="D991" s="24">
        <f>D974-D405</f>
        <v>7350</v>
      </c>
      <c r="E991" s="24">
        <f>E974-E990</f>
        <v>22835</v>
      </c>
    </row>
    <row r="992">
      <c r="A992" s="22" t="s">
        <v>94</v>
      </c>
      <c r="B992" s="23">
        <f t="shared" ref="B992:E992" si="165">B998*30</f>
        <v>14910</v>
      </c>
      <c r="C992" s="23">
        <f t="shared" si="165"/>
        <v>14100</v>
      </c>
      <c r="D992" s="23">
        <f t="shared" si="165"/>
        <v>3870</v>
      </c>
      <c r="E992" s="23">
        <f t="shared" si="165"/>
        <v>13890</v>
      </c>
    </row>
    <row r="993">
      <c r="A993" s="22" t="s">
        <v>95</v>
      </c>
      <c r="B993" s="24">
        <v>35.0</v>
      </c>
      <c r="C993" s="24">
        <v>25.0</v>
      </c>
      <c r="D993" s="24">
        <v>10.0</v>
      </c>
      <c r="E993" s="24">
        <v>40.0</v>
      </c>
    </row>
    <row r="994">
      <c r="A994" s="22" t="s">
        <v>96</v>
      </c>
      <c r="B994" s="24">
        <v>3.0</v>
      </c>
      <c r="C994" s="24">
        <v>5.0</v>
      </c>
      <c r="D994" s="24">
        <v>9.0</v>
      </c>
      <c r="E994" s="24">
        <v>6.0</v>
      </c>
    </row>
    <row r="995">
      <c r="A995" s="22" t="s">
        <v>111</v>
      </c>
      <c r="B995" s="24">
        <v>150.0</v>
      </c>
      <c r="C995" s="24">
        <v>150.0</v>
      </c>
      <c r="D995" s="24">
        <v>50.0</v>
      </c>
      <c r="E995" s="24">
        <v>150.0</v>
      </c>
    </row>
    <row r="996">
      <c r="A996" s="22" t="s">
        <v>98</v>
      </c>
      <c r="B996" s="24">
        <v>3.0</v>
      </c>
      <c r="C996" s="24">
        <v>2.0</v>
      </c>
      <c r="D996" s="24" t="s">
        <v>1207</v>
      </c>
      <c r="E996" s="24">
        <v>2.0</v>
      </c>
    </row>
    <row r="997">
      <c r="A997" s="22" t="s">
        <v>112</v>
      </c>
      <c r="B997" s="26">
        <f t="shared" ref="B997:E997" si="166">round(((B992/B991)*100),2)</f>
        <v>66</v>
      </c>
      <c r="C997" s="26">
        <f t="shared" si="166"/>
        <v>62.46</v>
      </c>
      <c r="D997" s="26">
        <f t="shared" si="166"/>
        <v>52.65</v>
      </c>
      <c r="E997" s="26">
        <f t="shared" si="166"/>
        <v>60.83</v>
      </c>
    </row>
    <row r="998">
      <c r="A998" s="22" t="s">
        <v>100</v>
      </c>
      <c r="B998" s="24">
        <v>497.0</v>
      </c>
      <c r="C998" s="24">
        <v>470.0</v>
      </c>
      <c r="D998" s="24">
        <v>129.0</v>
      </c>
      <c r="E998" s="24">
        <v>463.0</v>
      </c>
    </row>
    <row r="999">
      <c r="A999" s="24" t="s">
        <v>1159</v>
      </c>
      <c r="B999" s="32" t="s">
        <v>984</v>
      </c>
      <c r="C999" s="32" t="s">
        <v>132</v>
      </c>
      <c r="D999" s="32" t="s">
        <v>1178</v>
      </c>
      <c r="E999" s="32" t="s">
        <v>983</v>
      </c>
    </row>
    <row r="1000">
      <c r="A1000" s="22" t="s">
        <v>178</v>
      </c>
      <c r="B1000" s="24" t="s">
        <v>1138</v>
      </c>
      <c r="C1000" s="24" t="s">
        <v>1194</v>
      </c>
      <c r="D1000" s="18"/>
      <c r="E1000" s="18"/>
    </row>
    <row r="1001">
      <c r="A1001" s="22" t="s">
        <v>103</v>
      </c>
      <c r="B1001" s="24"/>
      <c r="D1001" s="24" t="s">
        <v>1229</v>
      </c>
    </row>
  </sheetData>
  <mergeCells count="236">
    <mergeCell ref="A596:A597"/>
    <mergeCell ref="B596:E596"/>
    <mergeCell ref="B610:C610"/>
    <mergeCell ref="D610:E610"/>
    <mergeCell ref="A613:A614"/>
    <mergeCell ref="B613:E613"/>
    <mergeCell ref="D627:E627"/>
    <mergeCell ref="B627:C627"/>
    <mergeCell ref="A630:A631"/>
    <mergeCell ref="B630:E630"/>
    <mergeCell ref="B644:C644"/>
    <mergeCell ref="D644:E644"/>
    <mergeCell ref="A647:A648"/>
    <mergeCell ref="B647:E647"/>
    <mergeCell ref="B661:C661"/>
    <mergeCell ref="D661:E661"/>
    <mergeCell ref="A664:A665"/>
    <mergeCell ref="B664:E664"/>
    <mergeCell ref="D678:E678"/>
    <mergeCell ref="A681:A682"/>
    <mergeCell ref="B681:E681"/>
    <mergeCell ref="B678:C678"/>
    <mergeCell ref="B695:C695"/>
    <mergeCell ref="D695:E695"/>
    <mergeCell ref="A698:A699"/>
    <mergeCell ref="B698:E698"/>
    <mergeCell ref="B712:C712"/>
    <mergeCell ref="D712:E712"/>
    <mergeCell ref="A715:A716"/>
    <mergeCell ref="B715:E715"/>
    <mergeCell ref="B729:C729"/>
    <mergeCell ref="D729:E729"/>
    <mergeCell ref="A732:A733"/>
    <mergeCell ref="B732:E732"/>
    <mergeCell ref="D746:E746"/>
    <mergeCell ref="B746:C746"/>
    <mergeCell ref="A749:A750"/>
    <mergeCell ref="B749:E749"/>
    <mergeCell ref="B763:C763"/>
    <mergeCell ref="D763:E763"/>
    <mergeCell ref="A766:A767"/>
    <mergeCell ref="B766:E766"/>
    <mergeCell ref="B780:C780"/>
    <mergeCell ref="D780:E780"/>
    <mergeCell ref="A783:A784"/>
    <mergeCell ref="B783:E783"/>
    <mergeCell ref="D797:E797"/>
    <mergeCell ref="A800:A801"/>
    <mergeCell ref="B800:E800"/>
    <mergeCell ref="B797:C797"/>
    <mergeCell ref="B814:C814"/>
    <mergeCell ref="D814:E814"/>
    <mergeCell ref="A817:A818"/>
    <mergeCell ref="B817:E817"/>
    <mergeCell ref="B831:C831"/>
    <mergeCell ref="D831:E831"/>
    <mergeCell ref="A834:A835"/>
    <mergeCell ref="B834:E834"/>
    <mergeCell ref="B848:C848"/>
    <mergeCell ref="D848:E848"/>
    <mergeCell ref="A851:A852"/>
    <mergeCell ref="B851:E851"/>
    <mergeCell ref="D865:E865"/>
    <mergeCell ref="B865:C865"/>
    <mergeCell ref="A868:A869"/>
    <mergeCell ref="B868:E868"/>
    <mergeCell ref="B882:C882"/>
    <mergeCell ref="D882:E882"/>
    <mergeCell ref="A885:A886"/>
    <mergeCell ref="B885:E885"/>
    <mergeCell ref="B899:C899"/>
    <mergeCell ref="D899:E899"/>
    <mergeCell ref="A902:A903"/>
    <mergeCell ref="B902:E902"/>
    <mergeCell ref="D916:E916"/>
    <mergeCell ref="A919:A920"/>
    <mergeCell ref="B919:E919"/>
    <mergeCell ref="B916:C916"/>
    <mergeCell ref="B933:C933"/>
    <mergeCell ref="D933:E933"/>
    <mergeCell ref="A936:A937"/>
    <mergeCell ref="B936:E936"/>
    <mergeCell ref="B950:C950"/>
    <mergeCell ref="D950:E950"/>
    <mergeCell ref="A1:A2"/>
    <mergeCell ref="B1:E1"/>
    <mergeCell ref="B15:C15"/>
    <mergeCell ref="D15:E15"/>
    <mergeCell ref="A18:A19"/>
    <mergeCell ref="B18:E18"/>
    <mergeCell ref="D32:E32"/>
    <mergeCell ref="B32:C32"/>
    <mergeCell ref="A35:A36"/>
    <mergeCell ref="B35:E35"/>
    <mergeCell ref="B49:C49"/>
    <mergeCell ref="D49:E49"/>
    <mergeCell ref="A52:A53"/>
    <mergeCell ref="B52:E52"/>
    <mergeCell ref="B66:C66"/>
    <mergeCell ref="D66:E66"/>
    <mergeCell ref="A69:A70"/>
    <mergeCell ref="B69:E69"/>
    <mergeCell ref="D83:E83"/>
    <mergeCell ref="A86:A87"/>
    <mergeCell ref="B86:E86"/>
    <mergeCell ref="B83:C83"/>
    <mergeCell ref="B100:C100"/>
    <mergeCell ref="D100:E100"/>
    <mergeCell ref="A103:A104"/>
    <mergeCell ref="B103:E103"/>
    <mergeCell ref="B117:C117"/>
    <mergeCell ref="D117:E117"/>
    <mergeCell ref="A120:A121"/>
    <mergeCell ref="B120:E120"/>
    <mergeCell ref="B134:C134"/>
    <mergeCell ref="D134:E134"/>
    <mergeCell ref="A137:A138"/>
    <mergeCell ref="B137:E137"/>
    <mergeCell ref="D151:E151"/>
    <mergeCell ref="B151:C151"/>
    <mergeCell ref="A154:A155"/>
    <mergeCell ref="B154:E154"/>
    <mergeCell ref="B168:C168"/>
    <mergeCell ref="D168:E168"/>
    <mergeCell ref="A171:A172"/>
    <mergeCell ref="B171:E171"/>
    <mergeCell ref="B984:C984"/>
    <mergeCell ref="A987:A988"/>
    <mergeCell ref="B987:E987"/>
    <mergeCell ref="B1001:C1001"/>
    <mergeCell ref="D1001:E1001"/>
    <mergeCell ref="A953:A954"/>
    <mergeCell ref="B953:E953"/>
    <mergeCell ref="B967:C967"/>
    <mergeCell ref="D967:E967"/>
    <mergeCell ref="A970:A971"/>
    <mergeCell ref="B970:E970"/>
    <mergeCell ref="D984:E984"/>
    <mergeCell ref="B185:C185"/>
    <mergeCell ref="D185:E185"/>
    <mergeCell ref="A188:A189"/>
    <mergeCell ref="B188:E188"/>
    <mergeCell ref="D202:E202"/>
    <mergeCell ref="A205:A206"/>
    <mergeCell ref="B205:E205"/>
    <mergeCell ref="B202:C202"/>
    <mergeCell ref="B219:C219"/>
    <mergeCell ref="D219:E219"/>
    <mergeCell ref="A222:A223"/>
    <mergeCell ref="B222:E222"/>
    <mergeCell ref="B236:C236"/>
    <mergeCell ref="D236:E236"/>
    <mergeCell ref="A239:A240"/>
    <mergeCell ref="B239:E239"/>
    <mergeCell ref="B253:C253"/>
    <mergeCell ref="D253:E253"/>
    <mergeCell ref="A256:A257"/>
    <mergeCell ref="B256:E256"/>
    <mergeCell ref="D270:E270"/>
    <mergeCell ref="B270:C270"/>
    <mergeCell ref="A273:A274"/>
    <mergeCell ref="B273:E273"/>
    <mergeCell ref="B287:C287"/>
    <mergeCell ref="D287:E287"/>
    <mergeCell ref="A290:A291"/>
    <mergeCell ref="B290:E290"/>
    <mergeCell ref="B304:C304"/>
    <mergeCell ref="D304:E304"/>
    <mergeCell ref="A307:A308"/>
    <mergeCell ref="B307:E307"/>
    <mergeCell ref="D321:E321"/>
    <mergeCell ref="A324:A325"/>
    <mergeCell ref="B324:E324"/>
    <mergeCell ref="B321:C321"/>
    <mergeCell ref="B338:C338"/>
    <mergeCell ref="D338:E338"/>
    <mergeCell ref="A341:A342"/>
    <mergeCell ref="B341:E341"/>
    <mergeCell ref="B355:C355"/>
    <mergeCell ref="D355:E355"/>
    <mergeCell ref="A358:A359"/>
    <mergeCell ref="B358:E358"/>
    <mergeCell ref="B372:C372"/>
    <mergeCell ref="D372:E372"/>
    <mergeCell ref="A375:A376"/>
    <mergeCell ref="B375:E375"/>
    <mergeCell ref="D389:E389"/>
    <mergeCell ref="B389:C389"/>
    <mergeCell ref="A392:A393"/>
    <mergeCell ref="B392:E392"/>
    <mergeCell ref="B406:C406"/>
    <mergeCell ref="D406:E406"/>
    <mergeCell ref="A409:A410"/>
    <mergeCell ref="B409:E409"/>
    <mergeCell ref="B423:C423"/>
    <mergeCell ref="D423:E423"/>
    <mergeCell ref="A426:A427"/>
    <mergeCell ref="B426:E426"/>
    <mergeCell ref="D440:E440"/>
    <mergeCell ref="A443:A444"/>
    <mergeCell ref="B443:E443"/>
    <mergeCell ref="B440:C440"/>
    <mergeCell ref="B457:C457"/>
    <mergeCell ref="D457:E457"/>
    <mergeCell ref="A460:A461"/>
    <mergeCell ref="B460:E460"/>
    <mergeCell ref="B474:C474"/>
    <mergeCell ref="D474:E474"/>
    <mergeCell ref="A477:A478"/>
    <mergeCell ref="B477:E477"/>
    <mergeCell ref="B491:C491"/>
    <mergeCell ref="D491:E491"/>
    <mergeCell ref="A494:A495"/>
    <mergeCell ref="B494:E494"/>
    <mergeCell ref="D508:E508"/>
    <mergeCell ref="B508:C508"/>
    <mergeCell ref="A511:A512"/>
    <mergeCell ref="B511:E511"/>
    <mergeCell ref="B525:C525"/>
    <mergeCell ref="D525:E525"/>
    <mergeCell ref="A528:A529"/>
    <mergeCell ref="B528:E528"/>
    <mergeCell ref="B542:C542"/>
    <mergeCell ref="D542:E542"/>
    <mergeCell ref="A545:A546"/>
    <mergeCell ref="B545:E545"/>
    <mergeCell ref="D559:E559"/>
    <mergeCell ref="A562:A563"/>
    <mergeCell ref="B562:E562"/>
    <mergeCell ref="B559:C559"/>
    <mergeCell ref="B576:C576"/>
    <mergeCell ref="D576:E576"/>
    <mergeCell ref="A579:A580"/>
    <mergeCell ref="B579:E579"/>
    <mergeCell ref="B593:C593"/>
    <mergeCell ref="D593:E59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</cols>
  <sheetData>
    <row r="1">
      <c r="A1" s="19" t="s">
        <v>50</v>
      </c>
      <c r="B1" s="29">
        <v>46026.0</v>
      </c>
    </row>
    <row r="2">
      <c r="B2" s="21" t="s">
        <v>4</v>
      </c>
      <c r="C2" s="21" t="s">
        <v>5</v>
      </c>
      <c r="D2" s="21" t="s">
        <v>6</v>
      </c>
      <c r="E2" s="21" t="s">
        <v>7</v>
      </c>
    </row>
    <row r="3">
      <c r="A3" s="22" t="s">
        <v>91</v>
      </c>
      <c r="B3" s="24">
        <v>87.6</v>
      </c>
      <c r="C3" s="24">
        <v>86.5</v>
      </c>
      <c r="D3" s="24">
        <v>92.5</v>
      </c>
      <c r="E3" s="24">
        <v>90.3</v>
      </c>
    </row>
    <row r="4">
      <c r="A4" s="22" t="s">
        <v>92</v>
      </c>
      <c r="B4" s="24">
        <v>1.0</v>
      </c>
      <c r="C4" s="24">
        <v>6.0</v>
      </c>
      <c r="D4" s="24">
        <v>0.0</v>
      </c>
      <c r="E4" s="24">
        <v>7.0</v>
      </c>
    </row>
    <row r="5">
      <c r="A5" s="22" t="s">
        <v>93</v>
      </c>
      <c r="B5" s="24">
        <f>22592-B4</f>
        <v>22591</v>
      </c>
      <c r="C5" s="24">
        <f>22585-C4</f>
        <v>22579</v>
      </c>
      <c r="D5" s="24">
        <f>7350-D4</f>
        <v>7350</v>
      </c>
      <c r="E5" s="24">
        <f>22842-E4</f>
        <v>22835</v>
      </c>
    </row>
    <row r="6">
      <c r="A6" s="22" t="s">
        <v>94</v>
      </c>
      <c r="B6" s="23">
        <f t="shared" ref="B6:E6" si="1">B12*30</f>
        <v>14910</v>
      </c>
      <c r="C6" s="23">
        <f t="shared" si="1"/>
        <v>14100</v>
      </c>
      <c r="D6" s="23">
        <f t="shared" si="1"/>
        <v>3870</v>
      </c>
      <c r="E6" s="23">
        <f t="shared" si="1"/>
        <v>13890</v>
      </c>
    </row>
    <row r="7">
      <c r="A7" s="22" t="s">
        <v>95</v>
      </c>
      <c r="B7" s="24">
        <v>35.0</v>
      </c>
      <c r="C7" s="24">
        <v>25.0</v>
      </c>
      <c r="D7" s="24">
        <v>10.0</v>
      </c>
      <c r="E7" s="24">
        <v>40.0</v>
      </c>
    </row>
    <row r="8">
      <c r="A8" s="22" t="s">
        <v>96</v>
      </c>
      <c r="B8" s="24">
        <v>3.0</v>
      </c>
      <c r="C8" s="24">
        <v>5.0</v>
      </c>
      <c r="D8" s="24">
        <v>9.0</v>
      </c>
      <c r="E8" s="24">
        <v>6.0</v>
      </c>
    </row>
    <row r="9">
      <c r="A9" s="22" t="s">
        <v>111</v>
      </c>
      <c r="B9" s="24">
        <v>150.0</v>
      </c>
      <c r="C9" s="24">
        <v>150.0</v>
      </c>
      <c r="D9" s="24">
        <v>50.0</v>
      </c>
      <c r="E9" s="24">
        <v>150.0</v>
      </c>
    </row>
    <row r="10">
      <c r="A10" s="22" t="s">
        <v>98</v>
      </c>
      <c r="B10" s="24">
        <v>3.0</v>
      </c>
      <c r="C10" s="24">
        <v>2.0</v>
      </c>
      <c r="D10" s="24" t="s">
        <v>1207</v>
      </c>
      <c r="E10" s="24">
        <v>2.0</v>
      </c>
    </row>
    <row r="11">
      <c r="A11" s="22" t="s">
        <v>112</v>
      </c>
      <c r="B11" s="26">
        <f t="shared" ref="B11:E11" si="2">round(((B6/B5)*100),2)</f>
        <v>66</v>
      </c>
      <c r="C11" s="26">
        <f t="shared" si="2"/>
        <v>62.45</v>
      </c>
      <c r="D11" s="26">
        <f t="shared" si="2"/>
        <v>52.65</v>
      </c>
      <c r="E11" s="26">
        <f t="shared" si="2"/>
        <v>60.83</v>
      </c>
    </row>
    <row r="12">
      <c r="A12" s="22" t="s">
        <v>100</v>
      </c>
      <c r="B12" s="24">
        <v>497.0</v>
      </c>
      <c r="C12" s="24">
        <v>470.0</v>
      </c>
      <c r="D12" s="24">
        <v>129.0</v>
      </c>
      <c r="E12" s="24">
        <v>463.0</v>
      </c>
    </row>
    <row r="13">
      <c r="A13" s="24" t="s">
        <v>1159</v>
      </c>
      <c r="B13" s="32" t="s">
        <v>984</v>
      </c>
      <c r="C13" s="32" t="s">
        <v>132</v>
      </c>
      <c r="D13" s="32" t="s">
        <v>1178</v>
      </c>
      <c r="E13" s="32" t="s">
        <v>983</v>
      </c>
    </row>
    <row r="14">
      <c r="A14" s="22" t="s">
        <v>178</v>
      </c>
      <c r="B14" s="24" t="s">
        <v>1138</v>
      </c>
      <c r="C14" s="24" t="s">
        <v>1194</v>
      </c>
      <c r="D14" s="18"/>
      <c r="E14" s="18"/>
    </row>
    <row r="15">
      <c r="A15" s="22" t="s">
        <v>103</v>
      </c>
      <c r="B15" s="24"/>
      <c r="D15" s="24" t="s">
        <v>1229</v>
      </c>
    </row>
    <row r="18">
      <c r="A18" s="19" t="s">
        <v>50</v>
      </c>
      <c r="B18" s="29">
        <v>46057.0</v>
      </c>
    </row>
    <row r="19">
      <c r="B19" s="21" t="s">
        <v>4</v>
      </c>
      <c r="C19" s="21" t="s">
        <v>5</v>
      </c>
      <c r="D19" s="21" t="s">
        <v>6</v>
      </c>
      <c r="E19" s="21" t="s">
        <v>7</v>
      </c>
    </row>
    <row r="20">
      <c r="A20" s="22" t="s">
        <v>91</v>
      </c>
      <c r="B20" s="24">
        <v>87.7</v>
      </c>
      <c r="C20" s="24">
        <v>86.6</v>
      </c>
      <c r="D20" s="24">
        <v>92.6</v>
      </c>
      <c r="E20" s="24">
        <v>90.4</v>
      </c>
    </row>
    <row r="21">
      <c r="A21" s="22" t="s">
        <v>92</v>
      </c>
      <c r="B21" s="24">
        <v>2.0</v>
      </c>
      <c r="C21" s="24">
        <v>5.0</v>
      </c>
      <c r="D21" s="24">
        <v>0.0</v>
      </c>
      <c r="E21" s="24">
        <v>16.0</v>
      </c>
    </row>
    <row r="22">
      <c r="A22" s="22" t="s">
        <v>93</v>
      </c>
      <c r="B22" s="24">
        <f t="shared" ref="B22:E22" si="3">B5-B21</f>
        <v>22589</v>
      </c>
      <c r="C22" s="24">
        <f t="shared" si="3"/>
        <v>22574</v>
      </c>
      <c r="D22" s="24">
        <f t="shared" si="3"/>
        <v>7350</v>
      </c>
      <c r="E22" s="24">
        <f t="shared" si="3"/>
        <v>22819</v>
      </c>
    </row>
    <row r="23">
      <c r="A23" s="22" t="s">
        <v>94</v>
      </c>
      <c r="B23" s="23">
        <f t="shared" ref="B23:E23" si="4">B29*30</f>
        <v>15990</v>
      </c>
      <c r="C23" s="23">
        <f t="shared" si="4"/>
        <v>15180</v>
      </c>
      <c r="D23" s="23">
        <f t="shared" si="4"/>
        <v>4590</v>
      </c>
      <c r="E23" s="23">
        <f t="shared" si="4"/>
        <v>13920</v>
      </c>
    </row>
    <row r="24">
      <c r="A24" s="22" t="s">
        <v>95</v>
      </c>
      <c r="B24" s="24">
        <v>34.0</v>
      </c>
      <c r="C24" s="24">
        <v>14.0</v>
      </c>
      <c r="D24" s="24">
        <v>24.0</v>
      </c>
      <c r="E24" s="24">
        <v>17.0</v>
      </c>
    </row>
    <row r="25">
      <c r="A25" s="22" t="s">
        <v>96</v>
      </c>
      <c r="B25" s="24">
        <v>3.0</v>
      </c>
      <c r="C25" s="24">
        <v>9.0</v>
      </c>
      <c r="D25" s="24">
        <v>4.0</v>
      </c>
      <c r="E25" s="24">
        <v>0.0</v>
      </c>
    </row>
    <row r="26">
      <c r="A26" s="22" t="s">
        <v>111</v>
      </c>
      <c r="B26" s="24">
        <v>80.0</v>
      </c>
      <c r="C26" s="24">
        <v>80.0</v>
      </c>
      <c r="D26" s="24">
        <v>50.0</v>
      </c>
      <c r="E26" s="24">
        <v>80.0</v>
      </c>
    </row>
    <row r="27">
      <c r="A27" s="22" t="s">
        <v>98</v>
      </c>
      <c r="B27" s="24">
        <v>3.0</v>
      </c>
      <c r="C27" s="24">
        <v>2.0</v>
      </c>
      <c r="D27" s="24" t="s">
        <v>1230</v>
      </c>
      <c r="E27" s="24">
        <v>3.0</v>
      </c>
    </row>
    <row r="28">
      <c r="A28" s="22" t="s">
        <v>112</v>
      </c>
      <c r="B28" s="26">
        <f t="shared" ref="B28:E28" si="5">round(((B23/B22)*100),2)</f>
        <v>70.79</v>
      </c>
      <c r="C28" s="26">
        <f t="shared" si="5"/>
        <v>67.25</v>
      </c>
      <c r="D28" s="26">
        <f t="shared" si="5"/>
        <v>62.45</v>
      </c>
      <c r="E28" s="26">
        <f t="shared" si="5"/>
        <v>61</v>
      </c>
    </row>
    <row r="29">
      <c r="A29" s="22" t="s">
        <v>100</v>
      </c>
      <c r="B29" s="24">
        <v>533.0</v>
      </c>
      <c r="C29" s="24">
        <v>506.0</v>
      </c>
      <c r="D29" s="24">
        <v>153.0</v>
      </c>
      <c r="E29" s="24">
        <v>464.0</v>
      </c>
    </row>
    <row r="30">
      <c r="A30" s="24" t="s">
        <v>1159</v>
      </c>
      <c r="B30" s="32" t="s">
        <v>984</v>
      </c>
      <c r="C30" s="32" t="s">
        <v>1231</v>
      </c>
      <c r="D30" s="32" t="s">
        <v>1178</v>
      </c>
      <c r="E30" s="32" t="s">
        <v>983</v>
      </c>
    </row>
    <row r="31">
      <c r="A31" s="22" t="s">
        <v>178</v>
      </c>
      <c r="B31" s="24" t="s">
        <v>1014</v>
      </c>
      <c r="C31" s="24" t="s">
        <v>1232</v>
      </c>
      <c r="D31" s="18"/>
      <c r="E31" s="18"/>
    </row>
    <row r="32">
      <c r="A32" s="22" t="s">
        <v>103</v>
      </c>
      <c r="B32" s="24"/>
      <c r="D32" s="24" t="s">
        <v>1233</v>
      </c>
    </row>
    <row r="35">
      <c r="A35" s="19" t="s">
        <v>50</v>
      </c>
      <c r="B35" s="29">
        <v>46085.0</v>
      </c>
    </row>
    <row r="36">
      <c r="B36" s="21" t="s">
        <v>4</v>
      </c>
      <c r="C36" s="21" t="s">
        <v>5</v>
      </c>
      <c r="D36" s="21" t="s">
        <v>6</v>
      </c>
      <c r="E36" s="21" t="s">
        <v>7</v>
      </c>
    </row>
    <row r="37">
      <c r="A37" s="22" t="s">
        <v>91</v>
      </c>
      <c r="B37" s="24">
        <v>88.1</v>
      </c>
      <c r="C37" s="24">
        <v>86.7</v>
      </c>
      <c r="D37" s="24">
        <v>92.7</v>
      </c>
      <c r="E37" s="24">
        <v>90.5</v>
      </c>
    </row>
    <row r="38">
      <c r="A38" s="22" t="s">
        <v>92</v>
      </c>
      <c r="B38" s="24">
        <v>5.0</v>
      </c>
      <c r="C38" s="24">
        <v>8.0</v>
      </c>
      <c r="D38" s="24">
        <v>0.0</v>
      </c>
      <c r="E38" s="24">
        <v>10.0</v>
      </c>
    </row>
    <row r="39">
      <c r="A39" s="22" t="s">
        <v>93</v>
      </c>
      <c r="B39" s="24">
        <f>B22-B38</f>
        <v>22584</v>
      </c>
      <c r="C39" s="24">
        <f>C22-C38-9</f>
        <v>22557</v>
      </c>
      <c r="D39" s="24">
        <f t="shared" ref="D39:E39" si="6">D22-D38</f>
        <v>7350</v>
      </c>
      <c r="E39" s="24">
        <f t="shared" si="6"/>
        <v>22809</v>
      </c>
    </row>
    <row r="40">
      <c r="A40" s="22" t="s">
        <v>94</v>
      </c>
      <c r="B40" s="23">
        <f t="shared" ref="B40:E40" si="7">B46*30</f>
        <v>15870</v>
      </c>
      <c r="C40" s="23">
        <f t="shared" si="7"/>
        <v>15060</v>
      </c>
      <c r="D40" s="23">
        <f t="shared" si="7"/>
        <v>1980</v>
      </c>
      <c r="E40" s="23">
        <f t="shared" si="7"/>
        <v>13320</v>
      </c>
    </row>
    <row r="41">
      <c r="A41" s="22" t="s">
        <v>95</v>
      </c>
      <c r="B41" s="24">
        <v>30.0</v>
      </c>
      <c r="C41" s="24">
        <v>15.0</v>
      </c>
      <c r="D41" s="24">
        <v>15.0</v>
      </c>
      <c r="E41" s="24">
        <v>27.0</v>
      </c>
    </row>
    <row r="42">
      <c r="A42" s="22" t="s">
        <v>96</v>
      </c>
      <c r="B42" s="24">
        <v>6.0</v>
      </c>
      <c r="C42" s="24">
        <v>5.0</v>
      </c>
      <c r="D42" s="24">
        <v>2.0</v>
      </c>
      <c r="E42" s="24">
        <v>4.0</v>
      </c>
    </row>
    <row r="43">
      <c r="A43" s="22" t="s">
        <v>111</v>
      </c>
      <c r="B43" s="24"/>
      <c r="C43" s="24"/>
      <c r="D43" s="24"/>
      <c r="E43" s="24"/>
    </row>
    <row r="44">
      <c r="A44" s="22" t="s">
        <v>98</v>
      </c>
      <c r="B44" s="24">
        <v>4.0</v>
      </c>
      <c r="C44" s="24">
        <v>3.0</v>
      </c>
      <c r="D44" s="24" t="s">
        <v>1120</v>
      </c>
      <c r="E44" s="24">
        <v>2.0</v>
      </c>
    </row>
    <row r="45">
      <c r="A45" s="22" t="s">
        <v>112</v>
      </c>
      <c r="B45" s="26">
        <f t="shared" ref="B45:E45" si="8">round(((B40/B39)*100),2)</f>
        <v>70.27</v>
      </c>
      <c r="C45" s="26">
        <f t="shared" si="8"/>
        <v>66.76</v>
      </c>
      <c r="D45" s="26">
        <f t="shared" si="8"/>
        <v>26.94</v>
      </c>
      <c r="E45" s="26">
        <f t="shared" si="8"/>
        <v>58.4</v>
      </c>
    </row>
    <row r="46">
      <c r="A46" s="22" t="s">
        <v>100</v>
      </c>
      <c r="B46" s="24">
        <v>529.0</v>
      </c>
      <c r="C46" s="24">
        <v>502.0</v>
      </c>
      <c r="D46" s="24">
        <v>66.0</v>
      </c>
      <c r="E46" s="24">
        <v>444.0</v>
      </c>
    </row>
    <row r="47">
      <c r="A47" s="24" t="s">
        <v>1159</v>
      </c>
      <c r="B47" s="32" t="s">
        <v>984</v>
      </c>
      <c r="C47" s="32" t="s">
        <v>132</v>
      </c>
      <c r="D47" s="32" t="s">
        <v>1178</v>
      </c>
      <c r="E47" s="32" t="s">
        <v>983</v>
      </c>
    </row>
    <row r="48">
      <c r="A48" s="22" t="s">
        <v>178</v>
      </c>
      <c r="B48" s="24" t="s">
        <v>1014</v>
      </c>
      <c r="C48" s="24" t="s">
        <v>1232</v>
      </c>
      <c r="D48" s="18"/>
      <c r="E48" s="18"/>
    </row>
    <row r="49">
      <c r="A49" s="22" t="s">
        <v>103</v>
      </c>
      <c r="B49" s="24" t="s">
        <v>1234</v>
      </c>
      <c r="D49" s="24" t="s">
        <v>1235</v>
      </c>
    </row>
    <row r="52">
      <c r="A52" s="19" t="s">
        <v>50</v>
      </c>
      <c r="B52" s="29">
        <v>46116.0</v>
      </c>
    </row>
    <row r="53">
      <c r="B53" s="21" t="s">
        <v>4</v>
      </c>
      <c r="C53" s="21" t="s">
        <v>5</v>
      </c>
      <c r="D53" s="21" t="s">
        <v>6</v>
      </c>
      <c r="E53" s="21" t="s">
        <v>7</v>
      </c>
    </row>
    <row r="54">
      <c r="A54" s="22" t="s">
        <v>91</v>
      </c>
      <c r="B54" s="24">
        <v>88.2</v>
      </c>
      <c r="C54" s="24">
        <v>87.1</v>
      </c>
      <c r="D54" s="24">
        <v>93.1</v>
      </c>
      <c r="E54" s="24">
        <v>90.6</v>
      </c>
    </row>
    <row r="55">
      <c r="A55" s="22" t="s">
        <v>92</v>
      </c>
      <c r="B55" s="24">
        <v>3.0</v>
      </c>
      <c r="C55" s="24">
        <v>1.0</v>
      </c>
      <c r="D55" s="24">
        <v>0.0</v>
      </c>
      <c r="E55" s="24">
        <v>7.0</v>
      </c>
    </row>
    <row r="56">
      <c r="A56" s="22" t="s">
        <v>93</v>
      </c>
      <c r="B56" s="24">
        <f>B39-B55</f>
        <v>22581</v>
      </c>
      <c r="C56" s="24">
        <f>C39-C55-9</f>
        <v>22547</v>
      </c>
      <c r="D56" s="24">
        <f t="shared" ref="D56:E56" si="9">D39-D55</f>
        <v>7350</v>
      </c>
      <c r="E56" s="24">
        <f t="shared" si="9"/>
        <v>22802</v>
      </c>
    </row>
    <row r="57">
      <c r="A57" s="22" t="s">
        <v>94</v>
      </c>
      <c r="B57" s="23">
        <f t="shared" ref="B57:E57" si="10">B63*30</f>
        <v>16740</v>
      </c>
      <c r="C57" s="23">
        <f t="shared" si="10"/>
        <v>15960</v>
      </c>
      <c r="D57" s="23">
        <f t="shared" si="10"/>
        <v>3630</v>
      </c>
      <c r="E57" s="23">
        <f t="shared" si="10"/>
        <v>13110</v>
      </c>
    </row>
    <row r="58">
      <c r="A58" s="22" t="s">
        <v>95</v>
      </c>
      <c r="B58" s="24">
        <v>20.0</v>
      </c>
      <c r="C58" s="24">
        <v>18.0</v>
      </c>
      <c r="D58" s="24">
        <v>5.0</v>
      </c>
      <c r="E58" s="24">
        <v>18.0</v>
      </c>
    </row>
    <row r="59">
      <c r="A59" s="22" t="s">
        <v>96</v>
      </c>
      <c r="B59" s="24">
        <v>3.0</v>
      </c>
      <c r="C59" s="24">
        <v>7.0</v>
      </c>
      <c r="D59" s="24">
        <v>6.0</v>
      </c>
      <c r="E59" s="24">
        <v>6.0</v>
      </c>
    </row>
    <row r="60">
      <c r="A60" s="22" t="s">
        <v>111</v>
      </c>
      <c r="B60" s="24"/>
      <c r="C60" s="24"/>
      <c r="D60" s="24"/>
      <c r="E60" s="24"/>
    </row>
    <row r="61">
      <c r="A61" s="22" t="s">
        <v>98</v>
      </c>
      <c r="B61" s="24">
        <v>4.0</v>
      </c>
      <c r="C61" s="24">
        <v>4.0</v>
      </c>
      <c r="D61" s="24">
        <v>1.0</v>
      </c>
      <c r="E61" s="24">
        <v>2.0</v>
      </c>
    </row>
    <row r="62">
      <c r="A62" s="22" t="s">
        <v>112</v>
      </c>
      <c r="B62" s="26">
        <f t="shared" ref="B62:E62" si="11">round(((B57/B56)*100),2)</f>
        <v>74.13</v>
      </c>
      <c r="C62" s="26">
        <f t="shared" si="11"/>
        <v>70.79</v>
      </c>
      <c r="D62" s="26">
        <f t="shared" si="11"/>
        <v>49.39</v>
      </c>
      <c r="E62" s="26">
        <f t="shared" si="11"/>
        <v>57.49</v>
      </c>
    </row>
    <row r="63">
      <c r="A63" s="22" t="s">
        <v>100</v>
      </c>
      <c r="B63" s="24">
        <v>558.0</v>
      </c>
      <c r="C63" s="24">
        <v>532.0</v>
      </c>
      <c r="D63" s="24">
        <v>121.0</v>
      </c>
      <c r="E63" s="24">
        <v>437.0</v>
      </c>
    </row>
    <row r="64">
      <c r="A64" s="24" t="s">
        <v>1159</v>
      </c>
      <c r="B64" s="32" t="s">
        <v>984</v>
      </c>
      <c r="C64" s="32" t="s">
        <v>132</v>
      </c>
      <c r="D64" s="32" t="s">
        <v>1178</v>
      </c>
      <c r="E64" s="32" t="s">
        <v>983</v>
      </c>
    </row>
    <row r="65">
      <c r="A65" s="22" t="s">
        <v>178</v>
      </c>
      <c r="B65" s="24" t="s">
        <v>1014</v>
      </c>
      <c r="C65" s="24" t="s">
        <v>1232</v>
      </c>
      <c r="D65" s="18"/>
      <c r="E65" s="18"/>
    </row>
    <row r="66">
      <c r="A66" s="22" t="s">
        <v>103</v>
      </c>
      <c r="B66" s="24"/>
      <c r="D66" s="24" t="s">
        <v>1236</v>
      </c>
    </row>
    <row r="69">
      <c r="A69" s="19" t="s">
        <v>50</v>
      </c>
      <c r="B69" s="29">
        <v>46146.0</v>
      </c>
    </row>
    <row r="70">
      <c r="B70" s="21" t="s">
        <v>4</v>
      </c>
      <c r="C70" s="21" t="s">
        <v>5</v>
      </c>
      <c r="D70" s="21" t="s">
        <v>6</v>
      </c>
      <c r="E70" s="21" t="s">
        <v>7</v>
      </c>
    </row>
    <row r="71">
      <c r="A71" s="22" t="s">
        <v>91</v>
      </c>
      <c r="B71" s="24">
        <v>88.3</v>
      </c>
      <c r="C71" s="24">
        <v>87.2</v>
      </c>
      <c r="D71" s="24">
        <v>93.2</v>
      </c>
      <c r="E71" s="24">
        <v>90.7</v>
      </c>
    </row>
    <row r="72">
      <c r="A72" s="22" t="s">
        <v>92</v>
      </c>
      <c r="B72" s="24">
        <v>4.0</v>
      </c>
      <c r="C72" s="24">
        <v>12.0</v>
      </c>
      <c r="D72" s="24">
        <v>1.0</v>
      </c>
      <c r="E72" s="24">
        <v>6.0</v>
      </c>
    </row>
    <row r="73">
      <c r="A73" s="22" t="s">
        <v>93</v>
      </c>
      <c r="B73" s="24">
        <f t="shared" ref="B73:E73" si="12">B56-B72</f>
        <v>22577</v>
      </c>
      <c r="C73" s="24">
        <f t="shared" si="12"/>
        <v>22535</v>
      </c>
      <c r="D73" s="24">
        <f t="shared" si="12"/>
        <v>7349</v>
      </c>
      <c r="E73" s="24">
        <f t="shared" si="12"/>
        <v>22796</v>
      </c>
    </row>
    <row r="74">
      <c r="A74" s="22" t="s">
        <v>94</v>
      </c>
      <c r="B74" s="23">
        <f t="shared" ref="B74:E74" si="13">B80*30</f>
        <v>16830</v>
      </c>
      <c r="C74" s="23">
        <f t="shared" si="13"/>
        <v>17190</v>
      </c>
      <c r="D74" s="23">
        <f t="shared" si="13"/>
        <v>5220</v>
      </c>
      <c r="E74" s="23">
        <f t="shared" si="13"/>
        <v>13260</v>
      </c>
    </row>
    <row r="75">
      <c r="A75" s="22" t="s">
        <v>95</v>
      </c>
      <c r="B75" s="24">
        <v>31.0</v>
      </c>
      <c r="C75" s="24">
        <v>15.0</v>
      </c>
      <c r="D75" s="24">
        <v>15.0</v>
      </c>
      <c r="E75" s="24">
        <v>25.0</v>
      </c>
    </row>
    <row r="76">
      <c r="A76" s="22" t="s">
        <v>96</v>
      </c>
      <c r="B76" s="24">
        <v>3.0</v>
      </c>
      <c r="C76" s="24">
        <v>5.0</v>
      </c>
      <c r="D76" s="24">
        <v>15.0</v>
      </c>
      <c r="E76" s="24">
        <v>5.0</v>
      </c>
    </row>
    <row r="77">
      <c r="A77" s="22" t="s">
        <v>111</v>
      </c>
      <c r="B77" s="24"/>
      <c r="C77" s="24"/>
      <c r="D77" s="24"/>
      <c r="E77" s="24"/>
    </row>
    <row r="78">
      <c r="A78" s="22" t="s">
        <v>98</v>
      </c>
      <c r="B78" s="24">
        <v>4.0</v>
      </c>
      <c r="C78" s="24">
        <v>4.0</v>
      </c>
      <c r="D78" s="24">
        <v>2.0</v>
      </c>
      <c r="E78" s="24">
        <v>2.0</v>
      </c>
    </row>
    <row r="79">
      <c r="A79" s="22" t="s">
        <v>112</v>
      </c>
      <c r="B79" s="26">
        <f t="shared" ref="B79:E79" si="14">round(((B74/B73)*100),2)</f>
        <v>74.54</v>
      </c>
      <c r="C79" s="26">
        <f t="shared" si="14"/>
        <v>76.28</v>
      </c>
      <c r="D79" s="26">
        <f t="shared" si="14"/>
        <v>71.03</v>
      </c>
      <c r="E79" s="26">
        <f t="shared" si="14"/>
        <v>58.17</v>
      </c>
    </row>
    <row r="80">
      <c r="A80" s="22" t="s">
        <v>100</v>
      </c>
      <c r="B80" s="24">
        <v>561.0</v>
      </c>
      <c r="C80" s="24">
        <v>573.0</v>
      </c>
      <c r="D80" s="24">
        <v>174.0</v>
      </c>
      <c r="E80" s="24">
        <v>442.0</v>
      </c>
    </row>
    <row r="81">
      <c r="A81" s="24" t="s">
        <v>1159</v>
      </c>
      <c r="B81" s="32" t="s">
        <v>984</v>
      </c>
      <c r="C81" s="32" t="s">
        <v>132</v>
      </c>
      <c r="D81" s="32" t="s">
        <v>1178</v>
      </c>
      <c r="E81" s="32" t="s">
        <v>983</v>
      </c>
    </row>
    <row r="82">
      <c r="A82" s="22" t="s">
        <v>178</v>
      </c>
      <c r="B82" s="24" t="s">
        <v>1014</v>
      </c>
      <c r="C82" s="24" t="s">
        <v>1232</v>
      </c>
      <c r="D82" s="18"/>
      <c r="E82" s="18"/>
    </row>
    <row r="83">
      <c r="A83" s="22" t="s">
        <v>103</v>
      </c>
      <c r="B83" s="24" t="s">
        <v>1237</v>
      </c>
      <c r="D83" s="24" t="s">
        <v>1238</v>
      </c>
    </row>
    <row r="86">
      <c r="A86" s="19" t="s">
        <v>50</v>
      </c>
      <c r="B86" s="29">
        <v>46177.0</v>
      </c>
    </row>
    <row r="87">
      <c r="B87" s="21" t="s">
        <v>4</v>
      </c>
      <c r="C87" s="21" t="s">
        <v>5</v>
      </c>
      <c r="D87" s="21" t="s">
        <v>6</v>
      </c>
      <c r="E87" s="21" t="s">
        <v>7</v>
      </c>
    </row>
    <row r="88">
      <c r="A88" s="22" t="s">
        <v>91</v>
      </c>
      <c r="B88" s="24">
        <v>88.4</v>
      </c>
      <c r="C88" s="24">
        <v>87.3</v>
      </c>
      <c r="D88" s="24">
        <v>93.3</v>
      </c>
      <c r="E88" s="24">
        <v>91.1</v>
      </c>
    </row>
    <row r="89">
      <c r="A89" s="22" t="s">
        <v>92</v>
      </c>
      <c r="B89" s="24">
        <v>2.0</v>
      </c>
      <c r="C89" s="24">
        <v>5.0</v>
      </c>
      <c r="D89" s="24">
        <v>3.0</v>
      </c>
      <c r="E89" s="24">
        <v>3.0</v>
      </c>
    </row>
    <row r="90">
      <c r="A90" s="22" t="s">
        <v>93</v>
      </c>
      <c r="B90" s="24">
        <f t="shared" ref="B90:E90" si="15">B73-B89</f>
        <v>22575</v>
      </c>
      <c r="C90" s="24">
        <f t="shared" si="15"/>
        <v>22530</v>
      </c>
      <c r="D90" s="24">
        <f t="shared" si="15"/>
        <v>7346</v>
      </c>
      <c r="E90" s="24">
        <f t="shared" si="15"/>
        <v>22793</v>
      </c>
    </row>
    <row r="91">
      <c r="A91" s="22" t="s">
        <v>94</v>
      </c>
      <c r="B91" s="23">
        <f t="shared" ref="B91:E91" si="16">B97*30</f>
        <v>16890</v>
      </c>
      <c r="C91" s="23">
        <f t="shared" si="16"/>
        <v>16500</v>
      </c>
      <c r="D91" s="23">
        <f t="shared" si="16"/>
        <v>5790</v>
      </c>
      <c r="E91" s="23">
        <f t="shared" si="16"/>
        <v>12600</v>
      </c>
    </row>
    <row r="92">
      <c r="A92" s="22" t="s">
        <v>95</v>
      </c>
      <c r="B92" s="24">
        <v>30.0</v>
      </c>
      <c r="C92" s="24">
        <v>15.0</v>
      </c>
      <c r="D92" s="24">
        <v>12.0</v>
      </c>
      <c r="E92" s="24">
        <v>12.0</v>
      </c>
    </row>
    <row r="93">
      <c r="A93" s="22" t="s">
        <v>96</v>
      </c>
      <c r="B93" s="24">
        <v>2.0</v>
      </c>
      <c r="C93" s="24">
        <v>2.0</v>
      </c>
      <c r="D93" s="24">
        <v>13.0</v>
      </c>
      <c r="E93" s="24">
        <v>10.0</v>
      </c>
    </row>
    <row r="94">
      <c r="A94" s="22" t="s">
        <v>111</v>
      </c>
      <c r="B94" s="24"/>
      <c r="C94" s="24"/>
      <c r="D94" s="24"/>
      <c r="E94" s="24"/>
    </row>
    <row r="95">
      <c r="A95" s="22" t="s">
        <v>98</v>
      </c>
      <c r="B95" s="24">
        <v>3.0</v>
      </c>
      <c r="C95" s="24">
        <v>2.0</v>
      </c>
      <c r="D95" s="24">
        <v>1.0</v>
      </c>
      <c r="E95" s="24">
        <v>1.0</v>
      </c>
    </row>
    <row r="96">
      <c r="A96" s="22" t="s">
        <v>112</v>
      </c>
      <c r="B96" s="26">
        <f t="shared" ref="B96:E96" si="17">round(((B91/B90)*100),2)</f>
        <v>74.82</v>
      </c>
      <c r="C96" s="26">
        <f t="shared" si="17"/>
        <v>73.24</v>
      </c>
      <c r="D96" s="26">
        <f t="shared" si="17"/>
        <v>78.82</v>
      </c>
      <c r="E96" s="26">
        <f t="shared" si="17"/>
        <v>55.28</v>
      </c>
    </row>
    <row r="97">
      <c r="A97" s="22" t="s">
        <v>100</v>
      </c>
      <c r="B97" s="24">
        <v>563.0</v>
      </c>
      <c r="C97" s="24">
        <v>550.0</v>
      </c>
      <c r="D97" s="24">
        <v>193.0</v>
      </c>
      <c r="E97" s="24">
        <v>420.0</v>
      </c>
    </row>
    <row r="98">
      <c r="A98" s="24" t="s">
        <v>1159</v>
      </c>
      <c r="B98" s="32" t="s">
        <v>984</v>
      </c>
      <c r="C98" s="32" t="s">
        <v>132</v>
      </c>
      <c r="D98" s="32" t="s">
        <v>1178</v>
      </c>
      <c r="E98" s="32" t="s">
        <v>983</v>
      </c>
    </row>
    <row r="99">
      <c r="A99" s="22" t="s">
        <v>178</v>
      </c>
      <c r="B99" s="24" t="s">
        <v>1014</v>
      </c>
      <c r="C99" s="24" t="s">
        <v>1232</v>
      </c>
      <c r="D99" s="18"/>
      <c r="E99" s="18"/>
    </row>
    <row r="100">
      <c r="A100" s="22" t="s">
        <v>103</v>
      </c>
      <c r="B100" s="24"/>
      <c r="D100" s="24" t="s">
        <v>1239</v>
      </c>
    </row>
    <row r="103">
      <c r="A103" s="19" t="s">
        <v>50</v>
      </c>
      <c r="B103" s="29">
        <v>46207.0</v>
      </c>
    </row>
    <row r="104">
      <c r="B104" s="21" t="s">
        <v>4</v>
      </c>
      <c r="C104" s="21" t="s">
        <v>5</v>
      </c>
      <c r="D104" s="21" t="s">
        <v>6</v>
      </c>
      <c r="E104" s="21" t="s">
        <v>7</v>
      </c>
    </row>
    <row r="105">
      <c r="A105" s="22" t="s">
        <v>91</v>
      </c>
      <c r="B105" s="24">
        <v>88.5</v>
      </c>
      <c r="C105" s="24">
        <v>87.4</v>
      </c>
      <c r="D105" s="24">
        <v>93.4</v>
      </c>
      <c r="E105" s="24">
        <v>91.2</v>
      </c>
    </row>
    <row r="106">
      <c r="A106" s="22" t="s">
        <v>92</v>
      </c>
      <c r="B106" s="24">
        <v>4.0</v>
      </c>
      <c r="C106" s="24">
        <v>4.0</v>
      </c>
      <c r="D106" s="24">
        <v>0.0</v>
      </c>
      <c r="E106" s="24">
        <v>0.0</v>
      </c>
    </row>
    <row r="107">
      <c r="A107" s="22" t="s">
        <v>93</v>
      </c>
      <c r="B107" s="24">
        <f t="shared" ref="B107:E107" si="18">B90-B106</f>
        <v>22571</v>
      </c>
      <c r="C107" s="24">
        <f t="shared" si="18"/>
        <v>22526</v>
      </c>
      <c r="D107" s="24">
        <f t="shared" si="18"/>
        <v>7346</v>
      </c>
      <c r="E107" s="24">
        <f t="shared" si="18"/>
        <v>22793</v>
      </c>
    </row>
    <row r="108">
      <c r="A108" s="22" t="s">
        <v>94</v>
      </c>
      <c r="B108" s="23">
        <f t="shared" ref="B108:E108" si="19">B114*30</f>
        <v>16890</v>
      </c>
      <c r="C108" s="23">
        <f t="shared" si="19"/>
        <v>17070</v>
      </c>
      <c r="D108" s="23">
        <f t="shared" si="19"/>
        <v>5850</v>
      </c>
      <c r="E108" s="23">
        <f t="shared" si="19"/>
        <v>12570</v>
      </c>
    </row>
    <row r="109">
      <c r="A109" s="22" t="s">
        <v>95</v>
      </c>
      <c r="B109" s="24">
        <v>20.0</v>
      </c>
      <c r="C109" s="24">
        <v>14.0</v>
      </c>
      <c r="D109" s="24">
        <v>10.0</v>
      </c>
      <c r="E109" s="24">
        <v>15.0</v>
      </c>
    </row>
    <row r="110">
      <c r="A110" s="22" t="s">
        <v>96</v>
      </c>
      <c r="B110" s="24">
        <v>0.0</v>
      </c>
      <c r="C110" s="24">
        <v>2.0</v>
      </c>
      <c r="D110" s="24">
        <v>7.0</v>
      </c>
      <c r="E110" s="24">
        <v>20.0</v>
      </c>
    </row>
    <row r="111">
      <c r="A111" s="22" t="s">
        <v>111</v>
      </c>
      <c r="B111" s="24"/>
      <c r="C111" s="24"/>
      <c r="D111" s="24"/>
      <c r="E111" s="24"/>
    </row>
    <row r="112">
      <c r="A112" s="22" t="s">
        <v>98</v>
      </c>
      <c r="B112" s="24">
        <v>3.0</v>
      </c>
      <c r="C112" s="24">
        <v>2.0</v>
      </c>
      <c r="D112" s="24">
        <v>1.0</v>
      </c>
      <c r="E112" s="24">
        <v>1.0</v>
      </c>
    </row>
    <row r="113">
      <c r="A113" s="22" t="s">
        <v>112</v>
      </c>
      <c r="B113" s="26">
        <f t="shared" ref="B113:E113" si="20">round(((B108/B107)*100),2)</f>
        <v>74.83</v>
      </c>
      <c r="C113" s="26">
        <f t="shared" si="20"/>
        <v>75.78</v>
      </c>
      <c r="D113" s="26">
        <f t="shared" si="20"/>
        <v>79.64</v>
      </c>
      <c r="E113" s="26">
        <f t="shared" si="20"/>
        <v>55.15</v>
      </c>
    </row>
    <row r="114">
      <c r="A114" s="22" t="s">
        <v>100</v>
      </c>
      <c r="B114" s="24">
        <v>563.0</v>
      </c>
      <c r="C114" s="24">
        <v>569.0</v>
      </c>
      <c r="D114" s="24">
        <v>195.0</v>
      </c>
      <c r="E114" s="24">
        <v>419.0</v>
      </c>
    </row>
    <row r="115">
      <c r="A115" s="24" t="s">
        <v>1159</v>
      </c>
      <c r="B115" s="32" t="s">
        <v>984</v>
      </c>
      <c r="C115" s="32" t="s">
        <v>132</v>
      </c>
      <c r="D115" s="32" t="s">
        <v>1178</v>
      </c>
      <c r="E115" s="32" t="s">
        <v>983</v>
      </c>
    </row>
    <row r="116">
      <c r="A116" s="22" t="s">
        <v>178</v>
      </c>
      <c r="B116" s="24" t="s">
        <v>1134</v>
      </c>
      <c r="C116" s="24" t="s">
        <v>905</v>
      </c>
      <c r="D116" s="18"/>
      <c r="E116" s="18"/>
    </row>
    <row r="117">
      <c r="A117" s="22" t="s">
        <v>103</v>
      </c>
      <c r="B117" s="24" t="s">
        <v>1240</v>
      </c>
      <c r="D117" s="24" t="s">
        <v>1241</v>
      </c>
    </row>
    <row r="120">
      <c r="A120" s="19" t="s">
        <v>50</v>
      </c>
      <c r="B120" s="29">
        <v>46238.0</v>
      </c>
    </row>
    <row r="121">
      <c r="B121" s="21" t="s">
        <v>4</v>
      </c>
      <c r="C121" s="21" t="s">
        <v>5</v>
      </c>
      <c r="D121" s="21" t="s">
        <v>6</v>
      </c>
      <c r="E121" s="21" t="s">
        <v>7</v>
      </c>
    </row>
    <row r="122">
      <c r="A122" s="22" t="s">
        <v>91</v>
      </c>
      <c r="B122" s="24">
        <v>88.6</v>
      </c>
      <c r="C122" s="24">
        <v>87.5</v>
      </c>
      <c r="D122" s="24">
        <v>93.5</v>
      </c>
      <c r="E122" s="24">
        <v>91.3</v>
      </c>
    </row>
    <row r="123">
      <c r="A123" s="22" t="s">
        <v>92</v>
      </c>
      <c r="B123" s="24">
        <v>5.0</v>
      </c>
      <c r="C123" s="24">
        <v>8.0</v>
      </c>
      <c r="D123" s="24">
        <v>0.0</v>
      </c>
      <c r="E123" s="24">
        <v>7.0</v>
      </c>
    </row>
    <row r="124">
      <c r="A124" s="22" t="s">
        <v>93</v>
      </c>
      <c r="B124" s="24">
        <f t="shared" ref="B124:E124" si="21">B107-B123</f>
        <v>22566</v>
      </c>
      <c r="C124" s="24">
        <f t="shared" si="21"/>
        <v>22518</v>
      </c>
      <c r="D124" s="24">
        <f t="shared" si="21"/>
        <v>7346</v>
      </c>
      <c r="E124" s="24">
        <f t="shared" si="21"/>
        <v>22786</v>
      </c>
    </row>
    <row r="125">
      <c r="A125" s="22" t="s">
        <v>94</v>
      </c>
      <c r="B125" s="23">
        <f t="shared" ref="B125:E125" si="22">B131*30</f>
        <v>17640</v>
      </c>
      <c r="C125" s="23">
        <f t="shared" si="22"/>
        <v>17340</v>
      </c>
      <c r="D125" s="23">
        <f t="shared" si="22"/>
        <v>6000</v>
      </c>
      <c r="E125" s="23">
        <f t="shared" si="22"/>
        <v>14250</v>
      </c>
    </row>
    <row r="126">
      <c r="A126" s="22" t="s">
        <v>95</v>
      </c>
      <c r="B126" s="24">
        <v>25.0</v>
      </c>
      <c r="C126" s="24">
        <v>30.0</v>
      </c>
      <c r="D126" s="24">
        <v>15.0</v>
      </c>
      <c r="E126" s="24">
        <v>7.0</v>
      </c>
    </row>
    <row r="127">
      <c r="A127" s="22" t="s">
        <v>96</v>
      </c>
      <c r="B127" s="24">
        <v>5.0</v>
      </c>
      <c r="C127" s="24">
        <v>2.0</v>
      </c>
      <c r="D127" s="24">
        <v>14.0</v>
      </c>
      <c r="E127" s="24">
        <v>5.0</v>
      </c>
    </row>
    <row r="128">
      <c r="A128" s="22" t="s">
        <v>111</v>
      </c>
      <c r="B128" s="24">
        <v>90.0</v>
      </c>
      <c r="C128" s="24">
        <v>90.0</v>
      </c>
      <c r="D128" s="24">
        <v>30.0</v>
      </c>
      <c r="E128" s="24">
        <v>90.0</v>
      </c>
    </row>
    <row r="129">
      <c r="A129" s="22" t="s">
        <v>98</v>
      </c>
      <c r="B129" s="24">
        <v>3.0</v>
      </c>
      <c r="C129" s="24">
        <v>2.0</v>
      </c>
      <c r="D129" s="24">
        <v>2.0</v>
      </c>
      <c r="E129" s="24">
        <v>1.0</v>
      </c>
    </row>
    <row r="130">
      <c r="A130" s="22" t="s">
        <v>112</v>
      </c>
      <c r="B130" s="26">
        <f t="shared" ref="B130:E130" si="23">round(((B125/B124)*100),2)</f>
        <v>78.17</v>
      </c>
      <c r="C130" s="26">
        <f t="shared" si="23"/>
        <v>77.01</v>
      </c>
      <c r="D130" s="26">
        <f t="shared" si="23"/>
        <v>81.68</v>
      </c>
      <c r="E130" s="26">
        <f t="shared" si="23"/>
        <v>62.54</v>
      </c>
    </row>
    <row r="131">
      <c r="A131" s="22" t="s">
        <v>100</v>
      </c>
      <c r="B131" s="24">
        <v>588.0</v>
      </c>
      <c r="C131" s="24">
        <v>578.0</v>
      </c>
      <c r="D131" s="24">
        <v>200.0</v>
      </c>
      <c r="E131" s="24">
        <v>475.0</v>
      </c>
    </row>
    <row r="132">
      <c r="A132" s="24" t="s">
        <v>1159</v>
      </c>
      <c r="B132" s="32" t="s">
        <v>984</v>
      </c>
      <c r="C132" s="32" t="s">
        <v>132</v>
      </c>
      <c r="D132" s="32" t="s">
        <v>1178</v>
      </c>
      <c r="E132" s="32" t="s">
        <v>983</v>
      </c>
    </row>
    <row r="133">
      <c r="A133" s="22" t="s">
        <v>178</v>
      </c>
      <c r="B133" s="24" t="s">
        <v>1242</v>
      </c>
      <c r="C133" s="24" t="s">
        <v>901</v>
      </c>
      <c r="D133" s="18"/>
      <c r="E133" s="18"/>
    </row>
    <row r="134">
      <c r="A134" s="22" t="s">
        <v>103</v>
      </c>
      <c r="B134" s="24"/>
      <c r="D134" s="24" t="s">
        <v>1243</v>
      </c>
    </row>
    <row r="137">
      <c r="A137" s="19" t="s">
        <v>50</v>
      </c>
      <c r="B137" s="29">
        <v>46269.0</v>
      </c>
    </row>
    <row r="138">
      <c r="B138" s="21" t="s">
        <v>4</v>
      </c>
      <c r="C138" s="21" t="s">
        <v>5</v>
      </c>
      <c r="D138" s="21" t="s">
        <v>6</v>
      </c>
      <c r="E138" s="21" t="s">
        <v>7</v>
      </c>
    </row>
    <row r="139">
      <c r="A139" s="22" t="s">
        <v>91</v>
      </c>
      <c r="B139" s="24">
        <v>88.7</v>
      </c>
      <c r="C139" s="24">
        <v>87.6</v>
      </c>
      <c r="D139" s="24">
        <v>93.6</v>
      </c>
      <c r="E139" s="24">
        <v>91.4</v>
      </c>
    </row>
    <row r="140">
      <c r="A140" s="22" t="s">
        <v>92</v>
      </c>
      <c r="B140" s="24">
        <v>1.0</v>
      </c>
      <c r="C140" s="24">
        <v>3.0</v>
      </c>
      <c r="D140" s="24">
        <v>1.0</v>
      </c>
      <c r="E140" s="24">
        <v>7.0</v>
      </c>
    </row>
    <row r="141">
      <c r="A141" s="22" t="s">
        <v>93</v>
      </c>
      <c r="B141" s="24">
        <f t="shared" ref="B141:E141" si="24">B124-B140</f>
        <v>22565</v>
      </c>
      <c r="C141" s="24">
        <f t="shared" si="24"/>
        <v>22515</v>
      </c>
      <c r="D141" s="24">
        <f t="shared" si="24"/>
        <v>7345</v>
      </c>
      <c r="E141" s="24">
        <f t="shared" si="24"/>
        <v>22779</v>
      </c>
    </row>
    <row r="142">
      <c r="A142" s="22" t="s">
        <v>94</v>
      </c>
      <c r="B142" s="23">
        <f t="shared" ref="B142:E142" si="25">B148*30</f>
        <v>17280</v>
      </c>
      <c r="C142" s="23">
        <f t="shared" si="25"/>
        <v>17460</v>
      </c>
      <c r="D142" s="23">
        <f t="shared" si="25"/>
        <v>5940</v>
      </c>
      <c r="E142" s="23">
        <f t="shared" si="25"/>
        <v>13860</v>
      </c>
    </row>
    <row r="143">
      <c r="A143" s="22" t="s">
        <v>95</v>
      </c>
      <c r="B143" s="24">
        <v>18.0</v>
      </c>
      <c r="C143" s="24">
        <v>17.0</v>
      </c>
      <c r="D143" s="24">
        <v>24.0</v>
      </c>
      <c r="E143" s="24">
        <v>19.0</v>
      </c>
    </row>
    <row r="144">
      <c r="A144" s="22" t="s">
        <v>96</v>
      </c>
      <c r="B144" s="24">
        <v>2.0</v>
      </c>
      <c r="C144" s="24">
        <v>7.0</v>
      </c>
      <c r="D144" s="24">
        <v>14.0</v>
      </c>
      <c r="E144" s="24">
        <v>5.0</v>
      </c>
    </row>
    <row r="145">
      <c r="A145" s="22" t="s">
        <v>111</v>
      </c>
      <c r="B145" s="24"/>
      <c r="C145" s="24"/>
      <c r="D145" s="24"/>
      <c r="E145" s="24"/>
    </row>
    <row r="146">
      <c r="A146" s="22" t="s">
        <v>98</v>
      </c>
      <c r="B146" s="24">
        <v>4.0</v>
      </c>
      <c r="C146" s="24">
        <v>2.0</v>
      </c>
      <c r="D146" s="24">
        <v>1.0</v>
      </c>
      <c r="E146" s="24">
        <v>1.0</v>
      </c>
    </row>
    <row r="147">
      <c r="A147" s="22" t="s">
        <v>112</v>
      </c>
      <c r="B147" s="26">
        <f t="shared" ref="B147:E147" si="26">round(((B142/B141)*100),2)</f>
        <v>76.58</v>
      </c>
      <c r="C147" s="26">
        <f t="shared" si="26"/>
        <v>77.55</v>
      </c>
      <c r="D147" s="26">
        <f t="shared" si="26"/>
        <v>80.87</v>
      </c>
      <c r="E147" s="26">
        <f t="shared" si="26"/>
        <v>60.85</v>
      </c>
    </row>
    <row r="148">
      <c r="A148" s="22" t="s">
        <v>100</v>
      </c>
      <c r="B148" s="24">
        <v>576.0</v>
      </c>
      <c r="C148" s="24">
        <v>582.0</v>
      </c>
      <c r="D148" s="24">
        <v>198.0</v>
      </c>
      <c r="E148" s="24">
        <v>462.0</v>
      </c>
    </row>
    <row r="149">
      <c r="A149" s="24" t="s">
        <v>1159</v>
      </c>
      <c r="B149" s="32" t="s">
        <v>984</v>
      </c>
      <c r="C149" s="32" t="s">
        <v>132</v>
      </c>
      <c r="D149" s="32" t="s">
        <v>1178</v>
      </c>
      <c r="E149" s="32" t="s">
        <v>983</v>
      </c>
    </row>
    <row r="150">
      <c r="A150" s="22" t="s">
        <v>178</v>
      </c>
      <c r="B150" s="24" t="s">
        <v>1242</v>
      </c>
      <c r="C150" s="24" t="s">
        <v>1244</v>
      </c>
      <c r="D150" s="18"/>
      <c r="E150" s="18"/>
    </row>
    <row r="151">
      <c r="A151" s="22" t="s">
        <v>103</v>
      </c>
      <c r="B151" s="24" t="s">
        <v>1245</v>
      </c>
      <c r="D151" s="24" t="s">
        <v>1246</v>
      </c>
    </row>
    <row r="154">
      <c r="A154" s="19" t="s">
        <v>50</v>
      </c>
      <c r="B154" s="29">
        <v>46299.0</v>
      </c>
    </row>
    <row r="155">
      <c r="B155" s="21" t="s">
        <v>4</v>
      </c>
      <c r="C155" s="21" t="s">
        <v>5</v>
      </c>
      <c r="D155" s="21" t="s">
        <v>6</v>
      </c>
      <c r="E155" s="21" t="s">
        <v>7</v>
      </c>
    </row>
    <row r="156">
      <c r="A156" s="22" t="s">
        <v>91</v>
      </c>
      <c r="B156" s="24">
        <v>89.1</v>
      </c>
      <c r="C156" s="24">
        <v>87.7</v>
      </c>
      <c r="D156" s="24">
        <v>93.7</v>
      </c>
      <c r="E156" s="24">
        <v>91.5</v>
      </c>
    </row>
    <row r="157">
      <c r="A157" s="22" t="s">
        <v>92</v>
      </c>
      <c r="B157" s="24">
        <v>3.0</v>
      </c>
      <c r="C157" s="24">
        <v>2.0</v>
      </c>
      <c r="D157" s="24">
        <v>1.0</v>
      </c>
      <c r="E157" s="24">
        <v>4.0</v>
      </c>
    </row>
    <row r="158">
      <c r="A158" s="22" t="s">
        <v>93</v>
      </c>
      <c r="B158" s="24">
        <f t="shared" ref="B158:E158" si="27">B141-B157</f>
        <v>22562</v>
      </c>
      <c r="C158" s="24">
        <f t="shared" si="27"/>
        <v>22513</v>
      </c>
      <c r="D158" s="24">
        <f t="shared" si="27"/>
        <v>7344</v>
      </c>
      <c r="E158" s="24">
        <f t="shared" si="27"/>
        <v>22775</v>
      </c>
    </row>
    <row r="159">
      <c r="A159" s="22" t="s">
        <v>94</v>
      </c>
      <c r="B159" s="23">
        <f t="shared" ref="B159:E159" si="28">B165*30</f>
        <v>17790</v>
      </c>
      <c r="C159" s="23">
        <f t="shared" si="28"/>
        <v>17910</v>
      </c>
      <c r="D159" s="23">
        <f t="shared" si="28"/>
        <v>5970</v>
      </c>
      <c r="E159" s="23">
        <f t="shared" si="28"/>
        <v>16320</v>
      </c>
    </row>
    <row r="160">
      <c r="A160" s="22" t="s">
        <v>95</v>
      </c>
      <c r="B160" s="24">
        <v>40.0</v>
      </c>
      <c r="C160" s="24">
        <v>14.0</v>
      </c>
      <c r="D160" s="24">
        <v>20.0</v>
      </c>
      <c r="E160" s="24">
        <v>14.0</v>
      </c>
    </row>
    <row r="161">
      <c r="A161" s="22" t="s">
        <v>96</v>
      </c>
      <c r="B161" s="24">
        <v>1.0</v>
      </c>
      <c r="C161" s="24">
        <v>7.0</v>
      </c>
      <c r="D161" s="24">
        <v>5.0</v>
      </c>
      <c r="E161" s="24">
        <v>1.0</v>
      </c>
    </row>
    <row r="162">
      <c r="A162" s="22" t="s">
        <v>111</v>
      </c>
      <c r="B162" s="24"/>
      <c r="C162" s="24"/>
      <c r="D162" s="24"/>
      <c r="E162" s="24"/>
    </row>
    <row r="163">
      <c r="A163" s="22" t="s">
        <v>98</v>
      </c>
      <c r="B163" s="24">
        <v>5.0</v>
      </c>
      <c r="C163" s="24">
        <v>2.0</v>
      </c>
      <c r="D163" s="24">
        <v>1.0</v>
      </c>
      <c r="E163" s="24">
        <v>1.0</v>
      </c>
    </row>
    <row r="164">
      <c r="A164" s="22" t="s">
        <v>112</v>
      </c>
      <c r="B164" s="26">
        <f t="shared" ref="B164:E164" si="29">round(((B159/B158)*100),2)</f>
        <v>78.85</v>
      </c>
      <c r="C164" s="26">
        <f t="shared" si="29"/>
        <v>79.55</v>
      </c>
      <c r="D164" s="26">
        <f t="shared" si="29"/>
        <v>81.29</v>
      </c>
      <c r="E164" s="26">
        <f t="shared" si="29"/>
        <v>71.66</v>
      </c>
    </row>
    <row r="165">
      <c r="A165" s="22" t="s">
        <v>100</v>
      </c>
      <c r="B165" s="24">
        <v>593.0</v>
      </c>
      <c r="C165" s="24">
        <v>597.0</v>
      </c>
      <c r="D165" s="24">
        <v>199.0</v>
      </c>
      <c r="E165" s="24">
        <v>544.0</v>
      </c>
    </row>
    <row r="166">
      <c r="A166" s="24" t="s">
        <v>1159</v>
      </c>
      <c r="B166" s="32" t="s">
        <v>984</v>
      </c>
      <c r="C166" s="32" t="s">
        <v>132</v>
      </c>
      <c r="D166" s="32" t="s">
        <v>1178</v>
      </c>
      <c r="E166" s="32" t="s">
        <v>983</v>
      </c>
    </row>
    <row r="167">
      <c r="A167" s="22" t="s">
        <v>178</v>
      </c>
      <c r="B167" s="24" t="s">
        <v>1247</v>
      </c>
      <c r="C167" s="24" t="s">
        <v>909</v>
      </c>
      <c r="D167" s="18"/>
      <c r="E167" s="18"/>
    </row>
    <row r="168">
      <c r="A168" s="22" t="s">
        <v>103</v>
      </c>
      <c r="B168" s="24" t="s">
        <v>1248</v>
      </c>
      <c r="D168" s="24" t="s">
        <v>1249</v>
      </c>
    </row>
    <row r="171">
      <c r="A171" s="19" t="s">
        <v>50</v>
      </c>
      <c r="B171" s="29">
        <v>46330.0</v>
      </c>
    </row>
    <row r="172">
      <c r="B172" s="21" t="s">
        <v>4</v>
      </c>
      <c r="C172" s="21" t="s">
        <v>5</v>
      </c>
      <c r="D172" s="21" t="s">
        <v>6</v>
      </c>
      <c r="E172" s="21" t="s">
        <v>7</v>
      </c>
    </row>
    <row r="173">
      <c r="A173" s="22" t="s">
        <v>91</v>
      </c>
      <c r="B173" s="24">
        <v>89.2</v>
      </c>
      <c r="C173" s="24">
        <v>88.1</v>
      </c>
      <c r="D173" s="24">
        <v>94.1</v>
      </c>
      <c r="E173" s="24">
        <v>91.6</v>
      </c>
    </row>
    <row r="174">
      <c r="A174" s="22" t="s">
        <v>92</v>
      </c>
      <c r="B174" s="24">
        <v>3.0</v>
      </c>
      <c r="C174" s="24">
        <v>6.0</v>
      </c>
      <c r="D174" s="24">
        <v>0.0</v>
      </c>
      <c r="E174" s="24">
        <v>5.0</v>
      </c>
    </row>
    <row r="175">
      <c r="A175" s="22" t="s">
        <v>93</v>
      </c>
      <c r="B175" s="24">
        <f t="shared" ref="B175:E175" si="30">B158-B174</f>
        <v>22559</v>
      </c>
      <c r="C175" s="24">
        <f t="shared" si="30"/>
        <v>22507</v>
      </c>
      <c r="D175" s="24">
        <f t="shared" si="30"/>
        <v>7344</v>
      </c>
      <c r="E175" s="24">
        <f t="shared" si="30"/>
        <v>22770</v>
      </c>
    </row>
    <row r="176">
      <c r="A176" s="22" t="s">
        <v>94</v>
      </c>
      <c r="B176" s="23">
        <f t="shared" ref="B176:E176" si="31">B182*30</f>
        <v>18450</v>
      </c>
      <c r="C176" s="23">
        <f t="shared" si="31"/>
        <v>18660</v>
      </c>
      <c r="D176" s="23">
        <f t="shared" si="31"/>
        <v>6060</v>
      </c>
      <c r="E176" s="23">
        <f t="shared" si="31"/>
        <v>17130</v>
      </c>
    </row>
    <row r="177">
      <c r="A177" s="22" t="s">
        <v>95</v>
      </c>
      <c r="B177" s="24">
        <v>21.0</v>
      </c>
      <c r="C177" s="24">
        <v>20.0</v>
      </c>
      <c r="D177" s="24">
        <v>17.0</v>
      </c>
      <c r="E177" s="24">
        <v>26.0</v>
      </c>
    </row>
    <row r="178">
      <c r="A178" s="22" t="s">
        <v>96</v>
      </c>
      <c r="B178" s="24">
        <v>4.0</v>
      </c>
      <c r="C178" s="24">
        <v>4.0</v>
      </c>
      <c r="D178" s="24">
        <v>2.0</v>
      </c>
      <c r="E178" s="24">
        <v>4.0</v>
      </c>
    </row>
    <row r="179">
      <c r="A179" s="22" t="s">
        <v>111</v>
      </c>
      <c r="B179" s="24"/>
      <c r="C179" s="24"/>
      <c r="D179" s="24"/>
      <c r="E179" s="24"/>
    </row>
    <row r="180">
      <c r="A180" s="22" t="s">
        <v>98</v>
      </c>
      <c r="B180" s="24">
        <v>5.0</v>
      </c>
      <c r="C180" s="24">
        <v>2.0</v>
      </c>
      <c r="D180" s="24">
        <v>2.0</v>
      </c>
      <c r="E180" s="24">
        <v>1.0</v>
      </c>
    </row>
    <row r="181">
      <c r="A181" s="22" t="s">
        <v>112</v>
      </c>
      <c r="B181" s="26">
        <f t="shared" ref="B181:E181" si="32">round(((B176/B175)*100),2)</f>
        <v>81.79</v>
      </c>
      <c r="C181" s="26">
        <f t="shared" si="32"/>
        <v>82.91</v>
      </c>
      <c r="D181" s="26">
        <f t="shared" si="32"/>
        <v>82.52</v>
      </c>
      <c r="E181" s="26">
        <f t="shared" si="32"/>
        <v>75.23</v>
      </c>
    </row>
    <row r="182">
      <c r="A182" s="22" t="s">
        <v>100</v>
      </c>
      <c r="B182" s="24">
        <v>615.0</v>
      </c>
      <c r="C182" s="24">
        <v>622.0</v>
      </c>
      <c r="D182" s="24">
        <v>202.0</v>
      </c>
      <c r="E182" s="24">
        <v>571.0</v>
      </c>
    </row>
    <row r="183">
      <c r="A183" s="24" t="s">
        <v>1159</v>
      </c>
      <c r="B183" s="32" t="s">
        <v>984</v>
      </c>
      <c r="C183" s="32" t="s">
        <v>132</v>
      </c>
      <c r="D183" s="32" t="s">
        <v>1178</v>
      </c>
      <c r="E183" s="32" t="s">
        <v>983</v>
      </c>
    </row>
    <row r="184">
      <c r="A184" s="22" t="s">
        <v>178</v>
      </c>
      <c r="B184" s="24" t="s">
        <v>1242</v>
      </c>
      <c r="C184" s="24" t="s">
        <v>1232</v>
      </c>
      <c r="D184" s="18"/>
      <c r="E184" s="18"/>
    </row>
    <row r="185">
      <c r="A185" s="22" t="s">
        <v>103</v>
      </c>
      <c r="B185" s="24"/>
      <c r="D185" s="24" t="s">
        <v>1250</v>
      </c>
    </row>
    <row r="188">
      <c r="A188" s="19" t="s">
        <v>50</v>
      </c>
      <c r="B188" s="29">
        <v>46360.0</v>
      </c>
    </row>
    <row r="189">
      <c r="B189" s="21" t="s">
        <v>4</v>
      </c>
      <c r="C189" s="21" t="s">
        <v>5</v>
      </c>
      <c r="D189" s="21" t="s">
        <v>6</v>
      </c>
      <c r="E189" s="21" t="s">
        <v>7</v>
      </c>
    </row>
    <row r="190">
      <c r="A190" s="22" t="s">
        <v>91</v>
      </c>
      <c r="B190" s="24">
        <v>89.3</v>
      </c>
      <c r="C190" s="24">
        <v>88.2</v>
      </c>
      <c r="D190" s="24">
        <v>94.2</v>
      </c>
      <c r="E190" s="24">
        <v>91.7</v>
      </c>
    </row>
    <row r="191">
      <c r="A191" s="22" t="s">
        <v>92</v>
      </c>
      <c r="B191" s="24">
        <v>3.0</v>
      </c>
      <c r="C191" s="24">
        <v>2.0</v>
      </c>
      <c r="D191" s="24">
        <v>1.0</v>
      </c>
      <c r="E191" s="24">
        <v>7.0</v>
      </c>
    </row>
    <row r="192">
      <c r="A192" s="22" t="s">
        <v>93</v>
      </c>
      <c r="B192" s="24">
        <f t="shared" ref="B192:E192" si="33">B175-B191</f>
        <v>22556</v>
      </c>
      <c r="C192" s="24">
        <f t="shared" si="33"/>
        <v>22505</v>
      </c>
      <c r="D192" s="24">
        <f t="shared" si="33"/>
        <v>7343</v>
      </c>
      <c r="E192" s="24">
        <f t="shared" si="33"/>
        <v>22763</v>
      </c>
    </row>
    <row r="193">
      <c r="A193" s="22" t="s">
        <v>94</v>
      </c>
      <c r="B193" s="23">
        <f t="shared" ref="B193:E193" si="34">B199*30</f>
        <v>18510</v>
      </c>
      <c r="C193" s="23">
        <f t="shared" si="34"/>
        <v>18900</v>
      </c>
      <c r="D193" s="23">
        <f t="shared" si="34"/>
        <v>6120</v>
      </c>
      <c r="E193" s="23">
        <f t="shared" si="34"/>
        <v>18510</v>
      </c>
    </row>
    <row r="194">
      <c r="A194" s="22" t="s">
        <v>95</v>
      </c>
      <c r="B194" s="24">
        <v>31.0</v>
      </c>
      <c r="C194" s="24">
        <v>20.0</v>
      </c>
      <c r="D194" s="24">
        <v>23.0</v>
      </c>
      <c r="E194" s="24">
        <v>22.0</v>
      </c>
    </row>
    <row r="195">
      <c r="A195" s="22" t="s">
        <v>96</v>
      </c>
      <c r="B195" s="24">
        <v>8.0</v>
      </c>
      <c r="C195" s="24">
        <v>4.0</v>
      </c>
      <c r="D195" s="24">
        <v>7.0</v>
      </c>
      <c r="E195" s="24">
        <v>0.0</v>
      </c>
    </row>
    <row r="196">
      <c r="A196" s="22" t="s">
        <v>111</v>
      </c>
      <c r="B196" s="24"/>
      <c r="C196" s="24"/>
      <c r="D196" s="24"/>
      <c r="E196" s="24"/>
    </row>
    <row r="197">
      <c r="A197" s="22" t="s">
        <v>98</v>
      </c>
      <c r="B197" s="24">
        <v>3.0</v>
      </c>
      <c r="C197" s="24">
        <v>2.0</v>
      </c>
      <c r="D197" s="24">
        <v>1.0</v>
      </c>
      <c r="E197" s="24">
        <v>1.0</v>
      </c>
    </row>
    <row r="198">
      <c r="A198" s="22" t="s">
        <v>112</v>
      </c>
      <c r="B198" s="26">
        <f t="shared" ref="B198:E198" si="35">round(((B193/B192)*100),2)</f>
        <v>82.06</v>
      </c>
      <c r="C198" s="26">
        <f t="shared" si="35"/>
        <v>83.98</v>
      </c>
      <c r="D198" s="26">
        <f t="shared" si="35"/>
        <v>83.34</v>
      </c>
      <c r="E198" s="26">
        <f t="shared" si="35"/>
        <v>81.32</v>
      </c>
    </row>
    <row r="199">
      <c r="A199" s="22" t="s">
        <v>100</v>
      </c>
      <c r="B199" s="24">
        <v>617.0</v>
      </c>
      <c r="C199" s="24">
        <v>630.0</v>
      </c>
      <c r="D199" s="24">
        <v>204.0</v>
      </c>
      <c r="E199" s="24">
        <v>617.0</v>
      </c>
    </row>
    <row r="200">
      <c r="A200" s="24" t="s">
        <v>1159</v>
      </c>
      <c r="B200" s="32" t="s">
        <v>984</v>
      </c>
      <c r="C200" s="32" t="s">
        <v>132</v>
      </c>
      <c r="D200" s="32" t="s">
        <v>1178</v>
      </c>
      <c r="E200" s="32" t="s">
        <v>983</v>
      </c>
    </row>
    <row r="201">
      <c r="A201" s="22" t="s">
        <v>178</v>
      </c>
      <c r="B201" s="24" t="s">
        <v>1251</v>
      </c>
      <c r="C201" s="24" t="s">
        <v>909</v>
      </c>
      <c r="D201" s="18"/>
      <c r="E201" s="18"/>
    </row>
    <row r="202">
      <c r="A202" s="22" t="s">
        <v>103</v>
      </c>
      <c r="B202" s="24" t="s">
        <v>1252</v>
      </c>
      <c r="D202" s="24" t="s">
        <v>1253</v>
      </c>
    </row>
    <row r="205">
      <c r="A205" s="19" t="s">
        <v>50</v>
      </c>
      <c r="B205" s="20" t="s">
        <v>1254</v>
      </c>
    </row>
    <row r="206">
      <c r="B206" s="21" t="s">
        <v>4</v>
      </c>
      <c r="C206" s="21" t="s">
        <v>5</v>
      </c>
      <c r="D206" s="21" t="s">
        <v>6</v>
      </c>
      <c r="E206" s="21" t="s">
        <v>7</v>
      </c>
    </row>
    <row r="207">
      <c r="A207" s="22" t="s">
        <v>91</v>
      </c>
      <c r="B207" s="24">
        <v>89.4</v>
      </c>
      <c r="C207" s="24">
        <v>88.3</v>
      </c>
      <c r="D207" s="24">
        <v>94.3</v>
      </c>
      <c r="E207" s="24">
        <v>92.1</v>
      </c>
    </row>
    <row r="208">
      <c r="A208" s="22" t="s">
        <v>92</v>
      </c>
      <c r="B208" s="24">
        <v>5.0</v>
      </c>
      <c r="C208" s="24">
        <v>5.0</v>
      </c>
      <c r="D208" s="24">
        <v>0.0</v>
      </c>
      <c r="E208" s="24">
        <v>13.0</v>
      </c>
    </row>
    <row r="209">
      <c r="A209" s="22" t="s">
        <v>93</v>
      </c>
      <c r="B209" s="24">
        <f t="shared" ref="B209:E209" si="36">B192-B208</f>
        <v>22551</v>
      </c>
      <c r="C209" s="24">
        <f t="shared" si="36"/>
        <v>22500</v>
      </c>
      <c r="D209" s="24">
        <f t="shared" si="36"/>
        <v>7343</v>
      </c>
      <c r="E209" s="24">
        <f t="shared" si="36"/>
        <v>22750</v>
      </c>
    </row>
    <row r="210">
      <c r="A210" s="22" t="s">
        <v>94</v>
      </c>
      <c r="B210" s="23">
        <f t="shared" ref="B210:E210" si="37">B216*30</f>
        <v>18960</v>
      </c>
      <c r="C210" s="23">
        <f t="shared" si="37"/>
        <v>19230</v>
      </c>
      <c r="D210" s="23">
        <f t="shared" si="37"/>
        <v>6180</v>
      </c>
      <c r="E210" s="23">
        <f t="shared" si="37"/>
        <v>18960</v>
      </c>
    </row>
    <row r="211">
      <c r="A211" s="22" t="s">
        <v>95</v>
      </c>
      <c r="B211" s="24">
        <v>20.0</v>
      </c>
      <c r="C211" s="24">
        <v>13.0</v>
      </c>
      <c r="D211" s="24">
        <v>15.0</v>
      </c>
      <c r="E211" s="24">
        <v>10.0</v>
      </c>
    </row>
    <row r="212">
      <c r="A212" s="22" t="s">
        <v>96</v>
      </c>
      <c r="B212" s="24">
        <v>4.0</v>
      </c>
      <c r="C212" s="24">
        <v>0.0</v>
      </c>
      <c r="D212" s="24">
        <v>1.0</v>
      </c>
      <c r="E212" s="24">
        <v>3.0</v>
      </c>
    </row>
    <row r="213">
      <c r="A213" s="22" t="s">
        <v>111</v>
      </c>
      <c r="B213" s="24">
        <v>90.0</v>
      </c>
      <c r="C213" s="24">
        <v>90.0</v>
      </c>
      <c r="D213" s="24">
        <v>30.0</v>
      </c>
      <c r="E213" s="24">
        <v>90.0</v>
      </c>
    </row>
    <row r="214">
      <c r="A214" s="22" t="s">
        <v>98</v>
      </c>
      <c r="B214" s="24">
        <v>4.0</v>
      </c>
      <c r="C214" s="24">
        <v>3.0</v>
      </c>
      <c r="D214" s="24">
        <v>1.0</v>
      </c>
      <c r="E214" s="24">
        <v>1.0</v>
      </c>
    </row>
    <row r="215">
      <c r="A215" s="22" t="s">
        <v>112</v>
      </c>
      <c r="B215" s="26">
        <f t="shared" ref="B215:E215" si="38">round(((B210/B209)*100),2)</f>
        <v>84.08</v>
      </c>
      <c r="C215" s="26">
        <f t="shared" si="38"/>
        <v>85.47</v>
      </c>
      <c r="D215" s="26">
        <f t="shared" si="38"/>
        <v>84.16</v>
      </c>
      <c r="E215" s="26">
        <f t="shared" si="38"/>
        <v>83.34</v>
      </c>
    </row>
    <row r="216">
      <c r="A216" s="22" t="s">
        <v>100</v>
      </c>
      <c r="B216" s="24">
        <v>632.0</v>
      </c>
      <c r="C216" s="24">
        <v>641.0</v>
      </c>
      <c r="D216" s="24">
        <v>206.0</v>
      </c>
      <c r="E216" s="24">
        <v>632.0</v>
      </c>
    </row>
    <row r="217">
      <c r="A217" s="24" t="s">
        <v>1159</v>
      </c>
      <c r="B217" s="32" t="s">
        <v>984</v>
      </c>
      <c r="C217" s="32" t="s">
        <v>132</v>
      </c>
      <c r="D217" s="32" t="s">
        <v>1178</v>
      </c>
      <c r="E217" s="32" t="s">
        <v>983</v>
      </c>
    </row>
    <row r="218">
      <c r="A218" s="22" t="s">
        <v>178</v>
      </c>
      <c r="B218" s="24" t="s">
        <v>1242</v>
      </c>
      <c r="C218" s="24" t="s">
        <v>909</v>
      </c>
      <c r="D218" s="18"/>
      <c r="E218" s="18"/>
    </row>
    <row r="219">
      <c r="A219" s="22" t="s">
        <v>103</v>
      </c>
      <c r="B219" s="24"/>
      <c r="D219" s="24" t="s">
        <v>1255</v>
      </c>
    </row>
    <row r="222">
      <c r="A222" s="19" t="s">
        <v>50</v>
      </c>
      <c r="B222" s="20" t="s">
        <v>1256</v>
      </c>
    </row>
    <row r="223">
      <c r="B223" s="21" t="s">
        <v>4</v>
      </c>
      <c r="C223" s="21" t="s">
        <v>5</v>
      </c>
      <c r="D223" s="21" t="s">
        <v>6</v>
      </c>
      <c r="E223" s="21" t="s">
        <v>7</v>
      </c>
    </row>
    <row r="224">
      <c r="A224" s="22" t="s">
        <v>91</v>
      </c>
      <c r="B224" s="24">
        <v>89.5</v>
      </c>
      <c r="C224" s="24">
        <v>88.4</v>
      </c>
      <c r="D224" s="24">
        <v>94.4</v>
      </c>
      <c r="E224" s="24">
        <v>92.2</v>
      </c>
    </row>
    <row r="225">
      <c r="A225" s="22" t="s">
        <v>92</v>
      </c>
      <c r="B225" s="24">
        <v>7.0</v>
      </c>
      <c r="C225" s="24">
        <v>6.0</v>
      </c>
      <c r="D225" s="24">
        <v>0.0</v>
      </c>
      <c r="E225" s="24">
        <v>7.0</v>
      </c>
    </row>
    <row r="226">
      <c r="A226" s="22" t="s">
        <v>93</v>
      </c>
      <c r="B226" s="24">
        <f t="shared" ref="B226:E226" si="39">B209-B225</f>
        <v>22544</v>
      </c>
      <c r="C226" s="24">
        <f t="shared" si="39"/>
        <v>22494</v>
      </c>
      <c r="D226" s="24">
        <f t="shared" si="39"/>
        <v>7343</v>
      </c>
      <c r="E226" s="24">
        <f t="shared" si="39"/>
        <v>22743</v>
      </c>
    </row>
    <row r="227">
      <c r="A227" s="22" t="s">
        <v>94</v>
      </c>
      <c r="B227" s="23">
        <f t="shared" ref="B227:E227" si="40">B233*30</f>
        <v>19050</v>
      </c>
      <c r="C227" s="23">
        <f t="shared" si="40"/>
        <v>19230</v>
      </c>
      <c r="D227" s="23">
        <f t="shared" si="40"/>
        <v>6210</v>
      </c>
      <c r="E227" s="23">
        <f t="shared" si="40"/>
        <v>19200</v>
      </c>
    </row>
    <row r="228">
      <c r="A228" s="22" t="s">
        <v>95</v>
      </c>
      <c r="B228" s="24">
        <v>18.0</v>
      </c>
      <c r="C228" s="24">
        <v>15.0</v>
      </c>
      <c r="D228" s="24">
        <v>14.0</v>
      </c>
      <c r="E228" s="24">
        <v>28.0</v>
      </c>
    </row>
    <row r="229">
      <c r="A229" s="22" t="s">
        <v>96</v>
      </c>
      <c r="B229" s="24">
        <v>2.0</v>
      </c>
      <c r="C229" s="24">
        <v>4.0</v>
      </c>
      <c r="D229" s="24">
        <v>3.0</v>
      </c>
      <c r="E229" s="24">
        <v>1.0</v>
      </c>
    </row>
    <row r="230">
      <c r="A230" s="22" t="s">
        <v>111</v>
      </c>
      <c r="B230" s="24"/>
      <c r="C230" s="24"/>
      <c r="D230" s="24"/>
      <c r="E230" s="24"/>
    </row>
    <row r="231">
      <c r="A231" s="22" t="s">
        <v>98</v>
      </c>
      <c r="B231" s="24">
        <v>4.0</v>
      </c>
      <c r="C231" s="24">
        <v>3.0</v>
      </c>
      <c r="D231" s="24">
        <v>1.0</v>
      </c>
      <c r="E231" s="24">
        <v>3.0</v>
      </c>
    </row>
    <row r="232">
      <c r="A232" s="22" t="s">
        <v>112</v>
      </c>
      <c r="B232" s="26">
        <f t="shared" ref="B232:E232" si="41">round(((B227/B226)*100),2)</f>
        <v>84.5</v>
      </c>
      <c r="C232" s="26">
        <f t="shared" si="41"/>
        <v>85.49</v>
      </c>
      <c r="D232" s="26">
        <f t="shared" si="41"/>
        <v>84.57</v>
      </c>
      <c r="E232" s="26">
        <f t="shared" si="41"/>
        <v>84.42</v>
      </c>
    </row>
    <row r="233">
      <c r="A233" s="22" t="s">
        <v>100</v>
      </c>
      <c r="B233" s="24">
        <v>635.0</v>
      </c>
      <c r="C233" s="24">
        <v>641.0</v>
      </c>
      <c r="D233" s="24">
        <v>207.0</v>
      </c>
      <c r="E233" s="24">
        <v>640.0</v>
      </c>
    </row>
    <row r="234">
      <c r="A234" s="24" t="s">
        <v>1159</v>
      </c>
      <c r="B234" s="32" t="s">
        <v>984</v>
      </c>
      <c r="C234" s="32" t="s">
        <v>132</v>
      </c>
      <c r="D234" s="32" t="s">
        <v>1178</v>
      </c>
      <c r="E234" s="32" t="s">
        <v>983</v>
      </c>
    </row>
    <row r="235">
      <c r="A235" s="22" t="s">
        <v>178</v>
      </c>
      <c r="B235" s="24" t="s">
        <v>1200</v>
      </c>
      <c r="C235" s="24" t="s">
        <v>1194</v>
      </c>
      <c r="D235" s="18"/>
      <c r="E235" s="18"/>
    </row>
    <row r="236">
      <c r="A236" s="22" t="s">
        <v>103</v>
      </c>
      <c r="B236" s="24"/>
      <c r="D236" s="24" t="s">
        <v>1257</v>
      </c>
    </row>
    <row r="239">
      <c r="A239" s="19" t="s">
        <v>50</v>
      </c>
      <c r="B239" s="20" t="s">
        <v>1258</v>
      </c>
    </row>
    <row r="240">
      <c r="B240" s="21" t="s">
        <v>4</v>
      </c>
      <c r="C240" s="21" t="s">
        <v>5</v>
      </c>
      <c r="D240" s="21" t="s">
        <v>6</v>
      </c>
      <c r="E240" s="21" t="s">
        <v>7</v>
      </c>
    </row>
    <row r="241">
      <c r="A241" s="22" t="s">
        <v>91</v>
      </c>
      <c r="B241" s="24">
        <v>89.6</v>
      </c>
      <c r="C241" s="24">
        <v>88.5</v>
      </c>
      <c r="D241" s="24">
        <v>94.5</v>
      </c>
      <c r="E241" s="24">
        <v>92.3</v>
      </c>
    </row>
    <row r="242">
      <c r="A242" s="22" t="s">
        <v>92</v>
      </c>
      <c r="B242" s="24">
        <v>7.0</v>
      </c>
      <c r="C242" s="24">
        <v>5.0</v>
      </c>
      <c r="D242" s="24">
        <v>1.0</v>
      </c>
      <c r="E242" s="24">
        <v>9.0</v>
      </c>
    </row>
    <row r="243">
      <c r="A243" s="22" t="s">
        <v>93</v>
      </c>
      <c r="B243" s="24">
        <f t="shared" ref="B243:E243" si="42">B226-B242</f>
        <v>22537</v>
      </c>
      <c r="C243" s="24">
        <f t="shared" si="42"/>
        <v>22489</v>
      </c>
      <c r="D243" s="24">
        <f t="shared" si="42"/>
        <v>7342</v>
      </c>
      <c r="E243" s="24">
        <f t="shared" si="42"/>
        <v>22734</v>
      </c>
    </row>
    <row r="244">
      <c r="A244" s="22" t="s">
        <v>94</v>
      </c>
      <c r="B244" s="23">
        <f t="shared" ref="B244:E244" si="43">B250*30</f>
        <v>19320</v>
      </c>
      <c r="C244" s="23">
        <f t="shared" si="43"/>
        <v>19560</v>
      </c>
      <c r="D244" s="23">
        <f t="shared" si="43"/>
        <v>6270</v>
      </c>
      <c r="E244" s="23">
        <f t="shared" si="43"/>
        <v>19770</v>
      </c>
    </row>
    <row r="245">
      <c r="A245" s="22" t="s">
        <v>95</v>
      </c>
      <c r="B245" s="24">
        <v>20.0</v>
      </c>
      <c r="C245" s="24">
        <v>16.0</v>
      </c>
      <c r="D245" s="24">
        <v>17.0</v>
      </c>
      <c r="E245" s="24">
        <v>21.0</v>
      </c>
    </row>
    <row r="246">
      <c r="A246" s="22" t="s">
        <v>96</v>
      </c>
      <c r="B246" s="24">
        <v>4.0</v>
      </c>
      <c r="C246" s="24">
        <v>6.0</v>
      </c>
      <c r="D246" s="24">
        <v>1.0</v>
      </c>
      <c r="E246" s="24">
        <v>3.0</v>
      </c>
    </row>
    <row r="247">
      <c r="A247" s="22" t="s">
        <v>111</v>
      </c>
      <c r="B247" s="24"/>
      <c r="C247" s="24"/>
      <c r="D247" s="24"/>
      <c r="E247" s="24"/>
    </row>
    <row r="248">
      <c r="A248" s="22" t="s">
        <v>98</v>
      </c>
      <c r="B248" s="24">
        <v>4.0</v>
      </c>
      <c r="C248" s="24">
        <v>4.0</v>
      </c>
      <c r="D248" s="24">
        <v>2.0</v>
      </c>
      <c r="E248" s="24">
        <v>3.0</v>
      </c>
    </row>
    <row r="249">
      <c r="A249" s="22" t="s">
        <v>112</v>
      </c>
      <c r="B249" s="26">
        <f t="shared" ref="B249:E249" si="44">round(((B244/B243)*100),2)</f>
        <v>85.73</v>
      </c>
      <c r="C249" s="26">
        <f t="shared" si="44"/>
        <v>86.98</v>
      </c>
      <c r="D249" s="26">
        <f t="shared" si="44"/>
        <v>85.4</v>
      </c>
      <c r="E249" s="26">
        <f t="shared" si="44"/>
        <v>86.96</v>
      </c>
    </row>
    <row r="250">
      <c r="A250" s="22" t="s">
        <v>100</v>
      </c>
      <c r="B250" s="24">
        <v>644.0</v>
      </c>
      <c r="C250" s="24">
        <v>652.0</v>
      </c>
      <c r="D250" s="24">
        <v>209.0</v>
      </c>
      <c r="E250" s="24">
        <v>659.0</v>
      </c>
    </row>
    <row r="251">
      <c r="A251" s="24" t="s">
        <v>1159</v>
      </c>
      <c r="B251" s="32" t="s">
        <v>984</v>
      </c>
      <c r="C251" s="32" t="s">
        <v>132</v>
      </c>
      <c r="D251" s="32" t="s">
        <v>1178</v>
      </c>
      <c r="E251" s="32" t="s">
        <v>983</v>
      </c>
    </row>
    <row r="252">
      <c r="A252" s="22" t="s">
        <v>178</v>
      </c>
      <c r="B252" s="24" t="s">
        <v>1138</v>
      </c>
      <c r="C252" s="24" t="s">
        <v>1129</v>
      </c>
      <c r="D252" s="18"/>
      <c r="E252" s="18"/>
    </row>
    <row r="253">
      <c r="A253" s="22" t="s">
        <v>103</v>
      </c>
      <c r="B253" s="24" t="s">
        <v>1259</v>
      </c>
      <c r="D253" s="24" t="s">
        <v>1260</v>
      </c>
    </row>
    <row r="256">
      <c r="A256" s="19" t="s">
        <v>50</v>
      </c>
      <c r="B256" s="20" t="s">
        <v>1261</v>
      </c>
    </row>
    <row r="257">
      <c r="B257" s="21" t="s">
        <v>4</v>
      </c>
      <c r="C257" s="21" t="s">
        <v>5</v>
      </c>
      <c r="D257" s="21" t="s">
        <v>6</v>
      </c>
      <c r="E257" s="21" t="s">
        <v>7</v>
      </c>
    </row>
    <row r="258">
      <c r="A258" s="22" t="s">
        <v>91</v>
      </c>
      <c r="B258" s="24">
        <v>89.7</v>
      </c>
      <c r="C258" s="24">
        <v>88.6</v>
      </c>
      <c r="D258" s="24">
        <v>94.6</v>
      </c>
      <c r="E258" s="24">
        <v>92.4</v>
      </c>
    </row>
    <row r="259">
      <c r="A259" s="22" t="s">
        <v>92</v>
      </c>
      <c r="B259" s="24">
        <v>3.0</v>
      </c>
      <c r="C259" s="24">
        <v>3.0</v>
      </c>
      <c r="D259" s="24">
        <v>0.0</v>
      </c>
      <c r="E259" s="24">
        <v>6.0</v>
      </c>
    </row>
    <row r="260">
      <c r="A260" s="22" t="s">
        <v>93</v>
      </c>
      <c r="B260" s="24">
        <f t="shared" ref="B260:E260" si="45">B243-B259</f>
        <v>22534</v>
      </c>
      <c r="C260" s="24">
        <f t="shared" si="45"/>
        <v>22486</v>
      </c>
      <c r="D260" s="24">
        <f t="shared" si="45"/>
        <v>7342</v>
      </c>
      <c r="E260" s="24">
        <f t="shared" si="45"/>
        <v>22728</v>
      </c>
    </row>
    <row r="261">
      <c r="A261" s="22" t="s">
        <v>94</v>
      </c>
      <c r="B261" s="23">
        <f t="shared" ref="B261:E261" si="46">B267*30</f>
        <v>19080</v>
      </c>
      <c r="C261" s="23">
        <f t="shared" si="46"/>
        <v>19590</v>
      </c>
      <c r="D261" s="23">
        <f t="shared" si="46"/>
        <v>6150</v>
      </c>
      <c r="E261" s="23">
        <f t="shared" si="46"/>
        <v>19440</v>
      </c>
    </row>
    <row r="262">
      <c r="A262" s="22" t="s">
        <v>95</v>
      </c>
      <c r="B262" s="24">
        <v>27.0</v>
      </c>
      <c r="C262" s="24">
        <v>12.0</v>
      </c>
      <c r="D262" s="24">
        <v>16.0</v>
      </c>
      <c r="E262" s="24">
        <v>28.0</v>
      </c>
    </row>
    <row r="263">
      <c r="A263" s="22" t="s">
        <v>96</v>
      </c>
      <c r="B263" s="24">
        <v>2.0</v>
      </c>
      <c r="C263" s="24">
        <v>6.0</v>
      </c>
      <c r="D263" s="24">
        <v>6.0</v>
      </c>
      <c r="E263" s="24">
        <v>11.0</v>
      </c>
    </row>
    <row r="264">
      <c r="A264" s="22" t="s">
        <v>111</v>
      </c>
      <c r="B264" s="24"/>
      <c r="C264" s="24"/>
      <c r="D264" s="24"/>
      <c r="E264" s="24"/>
    </row>
    <row r="265">
      <c r="A265" s="22" t="s">
        <v>98</v>
      </c>
      <c r="B265" s="24">
        <v>5.0</v>
      </c>
      <c r="C265" s="24">
        <v>4.0</v>
      </c>
      <c r="D265" s="24">
        <v>2.0</v>
      </c>
      <c r="E265" s="24">
        <v>6.0</v>
      </c>
    </row>
    <row r="266">
      <c r="A266" s="22" t="s">
        <v>112</v>
      </c>
      <c r="B266" s="26">
        <f t="shared" ref="B266:E266" si="47">round(((B261/B260)*100),2)</f>
        <v>84.67</v>
      </c>
      <c r="C266" s="26">
        <f t="shared" si="47"/>
        <v>87.12</v>
      </c>
      <c r="D266" s="26">
        <f t="shared" si="47"/>
        <v>83.76</v>
      </c>
      <c r="E266" s="26">
        <f t="shared" si="47"/>
        <v>85.53</v>
      </c>
    </row>
    <row r="267">
      <c r="A267" s="22" t="s">
        <v>100</v>
      </c>
      <c r="B267" s="24">
        <v>636.0</v>
      </c>
      <c r="C267" s="24">
        <v>653.0</v>
      </c>
      <c r="D267" s="24">
        <v>205.0</v>
      </c>
      <c r="E267" s="24">
        <v>648.0</v>
      </c>
    </row>
    <row r="268">
      <c r="A268" s="24" t="s">
        <v>1159</v>
      </c>
      <c r="B268" s="32" t="s">
        <v>984</v>
      </c>
      <c r="C268" s="32" t="s">
        <v>132</v>
      </c>
      <c r="D268" s="32" t="s">
        <v>1178</v>
      </c>
      <c r="E268" s="32" t="s">
        <v>983</v>
      </c>
    </row>
    <row r="269">
      <c r="A269" s="22" t="s">
        <v>178</v>
      </c>
      <c r="B269" s="24" t="s">
        <v>1251</v>
      </c>
      <c r="C269" s="24" t="s">
        <v>1221</v>
      </c>
      <c r="D269" s="18"/>
      <c r="E269" s="18"/>
    </row>
    <row r="270">
      <c r="A270" s="22" t="s">
        <v>103</v>
      </c>
      <c r="B270" s="24" t="s">
        <v>1262</v>
      </c>
      <c r="D270" s="24" t="s">
        <v>1263</v>
      </c>
    </row>
    <row r="273">
      <c r="A273" s="19" t="s">
        <v>50</v>
      </c>
      <c r="B273" s="20" t="s">
        <v>1264</v>
      </c>
    </row>
    <row r="274">
      <c r="B274" s="21" t="s">
        <v>4</v>
      </c>
      <c r="C274" s="21" t="s">
        <v>5</v>
      </c>
      <c r="D274" s="21" t="s">
        <v>6</v>
      </c>
      <c r="E274" s="21" t="s">
        <v>7</v>
      </c>
    </row>
    <row r="275">
      <c r="A275" s="22" t="s">
        <v>91</v>
      </c>
      <c r="B275" s="24">
        <v>90.1</v>
      </c>
      <c r="C275" s="24">
        <v>88.7</v>
      </c>
      <c r="D275" s="24">
        <v>94.7</v>
      </c>
      <c r="E275" s="24">
        <v>92.5</v>
      </c>
    </row>
    <row r="276">
      <c r="A276" s="22" t="s">
        <v>92</v>
      </c>
      <c r="B276" s="24">
        <v>4.0</v>
      </c>
      <c r="C276" s="24">
        <v>6.0</v>
      </c>
      <c r="D276" s="24">
        <v>0.0</v>
      </c>
      <c r="E276" s="24">
        <v>4.0</v>
      </c>
    </row>
    <row r="277">
      <c r="A277" s="22" t="s">
        <v>93</v>
      </c>
      <c r="B277" s="24">
        <f t="shared" ref="B277:E277" si="48">B260-B276</f>
        <v>22530</v>
      </c>
      <c r="C277" s="24">
        <f t="shared" si="48"/>
        <v>22480</v>
      </c>
      <c r="D277" s="24">
        <f t="shared" si="48"/>
        <v>7342</v>
      </c>
      <c r="E277" s="24">
        <f t="shared" si="48"/>
        <v>22724</v>
      </c>
    </row>
    <row r="278">
      <c r="A278" s="22" t="s">
        <v>94</v>
      </c>
      <c r="B278" s="23">
        <f t="shared" ref="B278:E278" si="49">B284*30</f>
        <v>19110</v>
      </c>
      <c r="C278" s="23">
        <f t="shared" si="49"/>
        <v>19560</v>
      </c>
      <c r="D278" s="23">
        <f t="shared" si="49"/>
        <v>6240</v>
      </c>
      <c r="E278" s="23">
        <f t="shared" si="49"/>
        <v>19410</v>
      </c>
    </row>
    <row r="279">
      <c r="A279" s="22" t="s">
        <v>95</v>
      </c>
      <c r="B279" s="24">
        <v>24.0</v>
      </c>
      <c r="C279" s="24">
        <v>24.0</v>
      </c>
      <c r="D279" s="24">
        <v>19.0</v>
      </c>
      <c r="E279" s="24">
        <v>19.0</v>
      </c>
    </row>
    <row r="280">
      <c r="A280" s="22" t="s">
        <v>96</v>
      </c>
      <c r="B280" s="24">
        <v>6.0</v>
      </c>
      <c r="C280" s="24">
        <v>3.0</v>
      </c>
      <c r="D280" s="24">
        <v>4.0</v>
      </c>
      <c r="E280" s="24">
        <v>4.0</v>
      </c>
    </row>
    <row r="281">
      <c r="A281" s="22" t="s">
        <v>111</v>
      </c>
      <c r="B281" s="24"/>
      <c r="C281" s="24"/>
      <c r="D281" s="24"/>
      <c r="E281" s="24"/>
    </row>
    <row r="282">
      <c r="A282" s="22" t="s">
        <v>98</v>
      </c>
      <c r="B282" s="24">
        <v>6.0</v>
      </c>
      <c r="C282" s="24">
        <v>5.0</v>
      </c>
      <c r="D282" s="24">
        <v>3.0</v>
      </c>
      <c r="E282" s="24">
        <v>2.0</v>
      </c>
    </row>
    <row r="283">
      <c r="A283" s="22" t="s">
        <v>112</v>
      </c>
      <c r="B283" s="26">
        <f t="shared" ref="B283:E283" si="50">round(((B278/B277)*100),2)</f>
        <v>84.82</v>
      </c>
      <c r="C283" s="26">
        <f t="shared" si="50"/>
        <v>87.01</v>
      </c>
      <c r="D283" s="26">
        <f t="shared" si="50"/>
        <v>84.99</v>
      </c>
      <c r="E283" s="26">
        <f t="shared" si="50"/>
        <v>85.42</v>
      </c>
    </row>
    <row r="284">
      <c r="A284" s="22" t="s">
        <v>100</v>
      </c>
      <c r="B284" s="24">
        <v>637.0</v>
      </c>
      <c r="C284" s="24">
        <v>652.0</v>
      </c>
      <c r="D284" s="24">
        <v>208.0</v>
      </c>
      <c r="E284" s="24">
        <v>647.0</v>
      </c>
    </row>
    <row r="285">
      <c r="A285" s="24" t="s">
        <v>1159</v>
      </c>
      <c r="B285" s="32" t="s">
        <v>984</v>
      </c>
      <c r="C285" s="32" t="s">
        <v>132</v>
      </c>
      <c r="D285" s="32" t="s">
        <v>1178</v>
      </c>
      <c r="E285" s="32" t="s">
        <v>983</v>
      </c>
    </row>
    <row r="286">
      <c r="A286" s="22" t="s">
        <v>178</v>
      </c>
      <c r="B286" s="24" t="s">
        <v>1265</v>
      </c>
      <c r="C286" s="24" t="s">
        <v>1226</v>
      </c>
      <c r="D286" s="18"/>
      <c r="E286" s="18"/>
    </row>
    <row r="287">
      <c r="A287" s="22" t="s">
        <v>103</v>
      </c>
      <c r="B287" s="24" t="s">
        <v>1266</v>
      </c>
      <c r="D287" s="24" t="s">
        <v>1267</v>
      </c>
    </row>
    <row r="290">
      <c r="A290" s="19" t="s">
        <v>50</v>
      </c>
      <c r="B290" s="20" t="s">
        <v>1268</v>
      </c>
    </row>
    <row r="291">
      <c r="B291" s="21" t="s">
        <v>4</v>
      </c>
      <c r="C291" s="21" t="s">
        <v>5</v>
      </c>
      <c r="D291" s="21" t="s">
        <v>6</v>
      </c>
      <c r="E291" s="21" t="s">
        <v>7</v>
      </c>
    </row>
    <row r="292">
      <c r="A292" s="22" t="s">
        <v>91</v>
      </c>
      <c r="B292" s="24">
        <v>90.2</v>
      </c>
      <c r="C292" s="24">
        <v>89.1</v>
      </c>
      <c r="D292" s="24">
        <v>95.1</v>
      </c>
      <c r="E292" s="24">
        <v>92.6</v>
      </c>
    </row>
    <row r="293">
      <c r="A293" s="22" t="s">
        <v>92</v>
      </c>
      <c r="B293" s="24">
        <v>5.0</v>
      </c>
      <c r="C293" s="24">
        <v>7.0</v>
      </c>
      <c r="D293" s="24">
        <v>1.0</v>
      </c>
      <c r="E293" s="24">
        <v>1.0</v>
      </c>
    </row>
    <row r="294">
      <c r="A294" s="22" t="s">
        <v>93</v>
      </c>
      <c r="B294" s="24">
        <f t="shared" ref="B294:E294" si="51">B277-B293</f>
        <v>22525</v>
      </c>
      <c r="C294" s="24">
        <f t="shared" si="51"/>
        <v>22473</v>
      </c>
      <c r="D294" s="24">
        <f t="shared" si="51"/>
        <v>7341</v>
      </c>
      <c r="E294" s="24">
        <f t="shared" si="51"/>
        <v>22723</v>
      </c>
    </row>
    <row r="295">
      <c r="A295" s="22" t="s">
        <v>94</v>
      </c>
      <c r="B295" s="23">
        <f t="shared" ref="B295:E295" si="52">B301*30</f>
        <v>19410</v>
      </c>
      <c r="C295" s="23">
        <f t="shared" si="52"/>
        <v>19650</v>
      </c>
      <c r="D295" s="23">
        <f t="shared" si="52"/>
        <v>6240</v>
      </c>
      <c r="E295" s="23">
        <f t="shared" si="52"/>
        <v>19440</v>
      </c>
    </row>
    <row r="296">
      <c r="A296" s="22" t="s">
        <v>95</v>
      </c>
      <c r="B296" s="24">
        <v>24.0</v>
      </c>
      <c r="C296" s="24">
        <v>35.0</v>
      </c>
      <c r="D296" s="24">
        <v>19.0</v>
      </c>
      <c r="E296" s="24">
        <v>5.0</v>
      </c>
    </row>
    <row r="297">
      <c r="A297" s="22" t="s">
        <v>96</v>
      </c>
      <c r="B297" s="24">
        <v>8.0</v>
      </c>
      <c r="C297" s="24">
        <v>2.0</v>
      </c>
      <c r="D297" s="24">
        <v>2.0</v>
      </c>
      <c r="E297" s="24">
        <v>2.0</v>
      </c>
    </row>
    <row r="298">
      <c r="A298" s="22" t="s">
        <v>111</v>
      </c>
      <c r="B298" s="24"/>
      <c r="C298" s="24"/>
      <c r="D298" s="24"/>
      <c r="E298" s="24"/>
    </row>
    <row r="299">
      <c r="A299" s="22" t="s">
        <v>98</v>
      </c>
      <c r="B299" s="24">
        <v>5.0</v>
      </c>
      <c r="C299" s="24">
        <v>4.0</v>
      </c>
      <c r="D299" s="24">
        <v>2.0</v>
      </c>
      <c r="E299" s="24">
        <v>2.0</v>
      </c>
    </row>
    <row r="300">
      <c r="A300" s="22" t="s">
        <v>112</v>
      </c>
      <c r="B300" s="26">
        <f t="shared" ref="B300:E300" si="53">round(((B295/B294)*100),2)</f>
        <v>86.17</v>
      </c>
      <c r="C300" s="26">
        <f t="shared" si="53"/>
        <v>87.44</v>
      </c>
      <c r="D300" s="26">
        <f t="shared" si="53"/>
        <v>85</v>
      </c>
      <c r="E300" s="26">
        <f t="shared" si="53"/>
        <v>85.55</v>
      </c>
    </row>
    <row r="301">
      <c r="A301" s="22" t="s">
        <v>100</v>
      </c>
      <c r="B301" s="24">
        <v>647.0</v>
      </c>
      <c r="C301" s="24">
        <v>655.0</v>
      </c>
      <c r="D301" s="24">
        <v>208.0</v>
      </c>
      <c r="E301" s="24">
        <v>648.0</v>
      </c>
    </row>
    <row r="302">
      <c r="A302" s="24" t="s">
        <v>1159</v>
      </c>
      <c r="B302" s="32" t="s">
        <v>984</v>
      </c>
      <c r="C302" s="32" t="s">
        <v>132</v>
      </c>
      <c r="D302" s="32" t="s">
        <v>1178</v>
      </c>
      <c r="E302" s="32" t="s">
        <v>983</v>
      </c>
    </row>
    <row r="303">
      <c r="A303" s="22" t="s">
        <v>178</v>
      </c>
      <c r="B303" s="24" t="s">
        <v>1132</v>
      </c>
      <c r="C303" s="24" t="s">
        <v>1232</v>
      </c>
      <c r="D303" s="18"/>
      <c r="E303" s="18"/>
    </row>
    <row r="304">
      <c r="A304" s="22" t="s">
        <v>103</v>
      </c>
      <c r="B304" s="24" t="s">
        <v>1269</v>
      </c>
      <c r="D304" s="24" t="s">
        <v>1270</v>
      </c>
    </row>
    <row r="307">
      <c r="A307" s="19" t="s">
        <v>50</v>
      </c>
      <c r="B307" s="20" t="s">
        <v>1271</v>
      </c>
    </row>
    <row r="308">
      <c r="B308" s="21" t="s">
        <v>4</v>
      </c>
      <c r="C308" s="21" t="s">
        <v>5</v>
      </c>
      <c r="D308" s="21" t="s">
        <v>6</v>
      </c>
      <c r="E308" s="21" t="s">
        <v>7</v>
      </c>
    </row>
    <row r="309">
      <c r="A309" s="22" t="s">
        <v>91</v>
      </c>
      <c r="B309" s="24">
        <v>90.3</v>
      </c>
      <c r="C309" s="24">
        <v>89.2</v>
      </c>
      <c r="D309" s="24">
        <v>95.2</v>
      </c>
      <c r="E309" s="24">
        <v>92.7</v>
      </c>
    </row>
    <row r="310">
      <c r="A310" s="22" t="s">
        <v>92</v>
      </c>
      <c r="B310" s="24">
        <v>2.0</v>
      </c>
      <c r="C310" s="24">
        <v>4.0</v>
      </c>
      <c r="D310" s="24">
        <v>3.0</v>
      </c>
      <c r="E310" s="24">
        <v>2.0</v>
      </c>
    </row>
    <row r="311">
      <c r="A311" s="22" t="s">
        <v>93</v>
      </c>
      <c r="B311" s="24">
        <f t="shared" ref="B311:E311" si="54">B294-B310</f>
        <v>22523</v>
      </c>
      <c r="C311" s="24">
        <f t="shared" si="54"/>
        <v>22469</v>
      </c>
      <c r="D311" s="24">
        <f t="shared" si="54"/>
        <v>7338</v>
      </c>
      <c r="E311" s="24">
        <f t="shared" si="54"/>
        <v>22721</v>
      </c>
    </row>
    <row r="312">
      <c r="A312" s="22" t="s">
        <v>94</v>
      </c>
      <c r="B312" s="23">
        <f t="shared" ref="B312:E312" si="55">B318*30</f>
        <v>19080</v>
      </c>
      <c r="C312" s="23">
        <f t="shared" si="55"/>
        <v>19200</v>
      </c>
      <c r="D312" s="23">
        <f t="shared" si="55"/>
        <v>6240</v>
      </c>
      <c r="E312" s="23">
        <f t="shared" si="55"/>
        <v>19800</v>
      </c>
    </row>
    <row r="313">
      <c r="A313" s="22" t="s">
        <v>95</v>
      </c>
      <c r="B313" s="24">
        <v>34.0</v>
      </c>
      <c r="C313" s="24">
        <v>12.0</v>
      </c>
      <c r="D313" s="24">
        <v>26.0</v>
      </c>
      <c r="E313" s="24">
        <v>11.0</v>
      </c>
    </row>
    <row r="314">
      <c r="A314" s="22" t="s">
        <v>96</v>
      </c>
      <c r="B314" s="24">
        <v>3.0</v>
      </c>
      <c r="C314" s="24">
        <v>3.0</v>
      </c>
      <c r="D314" s="24">
        <v>0.0</v>
      </c>
      <c r="E314" s="24">
        <v>4.0</v>
      </c>
    </row>
    <row r="315">
      <c r="A315" s="22" t="s">
        <v>111</v>
      </c>
      <c r="B315" s="24"/>
      <c r="C315" s="24"/>
      <c r="D315" s="24"/>
      <c r="E315" s="24"/>
    </row>
    <row r="316">
      <c r="A316" s="22" t="s">
        <v>98</v>
      </c>
      <c r="B316" s="24">
        <v>5.0</v>
      </c>
      <c r="C316" s="24">
        <v>5.0</v>
      </c>
      <c r="D316" s="24">
        <v>2.0</v>
      </c>
      <c r="E316" s="24">
        <v>2.0</v>
      </c>
    </row>
    <row r="317">
      <c r="A317" s="22" t="s">
        <v>112</v>
      </c>
      <c r="B317" s="26">
        <f t="shared" ref="B317:E317" si="56">round(((B312/B311)*100),2)</f>
        <v>84.71</v>
      </c>
      <c r="C317" s="26">
        <f t="shared" si="56"/>
        <v>85.45</v>
      </c>
      <c r="D317" s="26">
        <f t="shared" si="56"/>
        <v>85.04</v>
      </c>
      <c r="E317" s="26">
        <f t="shared" si="56"/>
        <v>87.14</v>
      </c>
    </row>
    <row r="318">
      <c r="A318" s="22" t="s">
        <v>100</v>
      </c>
      <c r="B318" s="24">
        <v>636.0</v>
      </c>
      <c r="C318" s="24">
        <v>640.0</v>
      </c>
      <c r="D318" s="24">
        <v>208.0</v>
      </c>
      <c r="E318" s="24">
        <v>660.0</v>
      </c>
    </row>
    <row r="319">
      <c r="A319" s="24" t="s">
        <v>1159</v>
      </c>
      <c r="B319" s="32" t="s">
        <v>984</v>
      </c>
      <c r="C319" s="32" t="s">
        <v>132</v>
      </c>
      <c r="D319" s="32" t="s">
        <v>1178</v>
      </c>
      <c r="E319" s="32" t="s">
        <v>983</v>
      </c>
    </row>
    <row r="320">
      <c r="A320" s="22" t="s">
        <v>178</v>
      </c>
      <c r="B320" s="24" t="s">
        <v>1134</v>
      </c>
      <c r="C320" s="24" t="s">
        <v>909</v>
      </c>
      <c r="D320" s="18"/>
      <c r="E320" s="18"/>
    </row>
    <row r="321">
      <c r="A321" s="22" t="s">
        <v>103</v>
      </c>
      <c r="B321" s="24" t="s">
        <v>1272</v>
      </c>
      <c r="D321" s="24" t="s">
        <v>1273</v>
      </c>
    </row>
    <row r="324">
      <c r="A324" s="19" t="s">
        <v>50</v>
      </c>
      <c r="B324" s="20" t="s">
        <v>1274</v>
      </c>
    </row>
    <row r="325">
      <c r="B325" s="21" t="s">
        <v>4</v>
      </c>
      <c r="C325" s="21" t="s">
        <v>5</v>
      </c>
      <c r="D325" s="21" t="s">
        <v>6</v>
      </c>
      <c r="E325" s="21" t="s">
        <v>7</v>
      </c>
    </row>
    <row r="326">
      <c r="A326" s="22" t="s">
        <v>91</v>
      </c>
      <c r="B326" s="24">
        <v>90.4</v>
      </c>
      <c r="C326" s="24">
        <v>89.3</v>
      </c>
      <c r="D326" s="24">
        <v>95.3</v>
      </c>
      <c r="E326" s="24">
        <v>93.1</v>
      </c>
    </row>
    <row r="327">
      <c r="A327" s="22" t="s">
        <v>92</v>
      </c>
      <c r="B327" s="24">
        <v>1.0</v>
      </c>
      <c r="C327" s="24">
        <v>1.0</v>
      </c>
      <c r="D327" s="24">
        <v>1.0</v>
      </c>
      <c r="E327" s="24">
        <v>5.0</v>
      </c>
    </row>
    <row r="328">
      <c r="A328" s="22" t="s">
        <v>93</v>
      </c>
      <c r="B328" s="24">
        <f t="shared" ref="B328:E328" si="57">B311-B327</f>
        <v>22522</v>
      </c>
      <c r="C328" s="24">
        <f t="shared" si="57"/>
        <v>22468</v>
      </c>
      <c r="D328" s="24">
        <f t="shared" si="57"/>
        <v>7337</v>
      </c>
      <c r="E328" s="24">
        <f t="shared" si="57"/>
        <v>22716</v>
      </c>
    </row>
    <row r="329">
      <c r="A329" s="22" t="s">
        <v>94</v>
      </c>
      <c r="B329" s="23">
        <f t="shared" ref="B329:E329" si="58">B335*30</f>
        <v>19530</v>
      </c>
      <c r="C329" s="23">
        <f t="shared" si="58"/>
        <v>19500</v>
      </c>
      <c r="D329" s="23">
        <f t="shared" si="58"/>
        <v>6330</v>
      </c>
      <c r="E329" s="23">
        <f t="shared" si="58"/>
        <v>19710</v>
      </c>
    </row>
    <row r="330">
      <c r="A330" s="22" t="s">
        <v>95</v>
      </c>
      <c r="B330" s="24">
        <v>17.0</v>
      </c>
      <c r="C330" s="24">
        <v>13.0</v>
      </c>
      <c r="D330" s="24">
        <v>15.0</v>
      </c>
      <c r="E330" s="24">
        <v>5.0</v>
      </c>
    </row>
    <row r="331">
      <c r="A331" s="22" t="s">
        <v>96</v>
      </c>
      <c r="B331" s="24">
        <v>8.0</v>
      </c>
      <c r="C331" s="24">
        <v>6.0</v>
      </c>
      <c r="D331" s="24">
        <v>3.0</v>
      </c>
      <c r="E331" s="24">
        <v>0.0</v>
      </c>
    </row>
    <row r="332">
      <c r="A332" s="22" t="s">
        <v>111</v>
      </c>
      <c r="B332" s="24">
        <v>90.0</v>
      </c>
      <c r="C332" s="24">
        <v>90.0</v>
      </c>
      <c r="D332" s="24">
        <v>30.0</v>
      </c>
      <c r="E332" s="24">
        <v>90.0</v>
      </c>
    </row>
    <row r="333">
      <c r="A333" s="22" t="s">
        <v>98</v>
      </c>
      <c r="B333" s="24">
        <v>5.0</v>
      </c>
      <c r="C333" s="24">
        <v>3.0</v>
      </c>
      <c r="D333" s="24">
        <v>2.0</v>
      </c>
      <c r="E333" s="24">
        <v>3.0</v>
      </c>
    </row>
    <row r="334">
      <c r="A334" s="22" t="s">
        <v>112</v>
      </c>
      <c r="B334" s="26">
        <f t="shared" ref="B334:E334" si="59">round(((B329/B328)*100),2)</f>
        <v>86.72</v>
      </c>
      <c r="C334" s="26">
        <f t="shared" si="59"/>
        <v>86.79</v>
      </c>
      <c r="D334" s="26">
        <f t="shared" si="59"/>
        <v>86.28</v>
      </c>
      <c r="E334" s="26">
        <f t="shared" si="59"/>
        <v>86.77</v>
      </c>
    </row>
    <row r="335">
      <c r="A335" s="22" t="s">
        <v>100</v>
      </c>
      <c r="B335" s="24">
        <v>651.0</v>
      </c>
      <c r="C335" s="24">
        <v>650.0</v>
      </c>
      <c r="D335" s="24">
        <v>211.0</v>
      </c>
      <c r="E335" s="24">
        <v>657.0</v>
      </c>
    </row>
    <row r="336">
      <c r="A336" s="24" t="s">
        <v>1159</v>
      </c>
      <c r="B336" s="32" t="s">
        <v>984</v>
      </c>
      <c r="C336" s="32" t="s">
        <v>132</v>
      </c>
      <c r="D336" s="32" t="s">
        <v>1178</v>
      </c>
      <c r="E336" s="32" t="s">
        <v>983</v>
      </c>
    </row>
    <row r="337">
      <c r="A337" s="22" t="s">
        <v>178</v>
      </c>
      <c r="B337" s="24" t="s">
        <v>1275</v>
      </c>
      <c r="C337" s="24" t="s">
        <v>1232</v>
      </c>
      <c r="D337" s="18"/>
      <c r="E337" s="18"/>
    </row>
    <row r="338">
      <c r="A338" s="22" t="s">
        <v>103</v>
      </c>
      <c r="B338" s="24"/>
      <c r="D338" s="24" t="s">
        <v>1276</v>
      </c>
    </row>
    <row r="341">
      <c r="A341" s="19" t="s">
        <v>50</v>
      </c>
      <c r="B341" s="20" t="s">
        <v>1277</v>
      </c>
    </row>
    <row r="342">
      <c r="B342" s="21" t="s">
        <v>4</v>
      </c>
      <c r="C342" s="21" t="s">
        <v>5</v>
      </c>
      <c r="D342" s="21" t="s">
        <v>6</v>
      </c>
      <c r="E342" s="21" t="s">
        <v>7</v>
      </c>
    </row>
    <row r="343">
      <c r="A343" s="22" t="s">
        <v>91</v>
      </c>
      <c r="B343" s="24">
        <v>90.5</v>
      </c>
      <c r="C343" s="24">
        <v>89.4</v>
      </c>
      <c r="D343" s="24">
        <v>95.4</v>
      </c>
      <c r="E343" s="24">
        <v>93.2</v>
      </c>
    </row>
    <row r="344">
      <c r="A344" s="22" t="s">
        <v>92</v>
      </c>
      <c r="B344" s="24">
        <v>2.0</v>
      </c>
      <c r="C344" s="24">
        <v>3.0</v>
      </c>
      <c r="D344" s="24">
        <v>3.0</v>
      </c>
      <c r="E344" s="24">
        <v>5.0</v>
      </c>
    </row>
    <row r="345">
      <c r="A345" s="22" t="s">
        <v>93</v>
      </c>
      <c r="B345" s="24">
        <f t="shared" ref="B345:E345" si="60">B328-B344</f>
        <v>22520</v>
      </c>
      <c r="C345" s="24">
        <f t="shared" si="60"/>
        <v>22465</v>
      </c>
      <c r="D345" s="24">
        <f t="shared" si="60"/>
        <v>7334</v>
      </c>
      <c r="E345" s="24">
        <f t="shared" si="60"/>
        <v>22711</v>
      </c>
    </row>
    <row r="346">
      <c r="A346" s="22" t="s">
        <v>94</v>
      </c>
      <c r="B346" s="23">
        <f t="shared" ref="B346:E346" si="61">B352*30</f>
        <v>19530</v>
      </c>
      <c r="C346" s="23">
        <f t="shared" si="61"/>
        <v>19710</v>
      </c>
      <c r="D346" s="23">
        <f t="shared" si="61"/>
        <v>6240</v>
      </c>
      <c r="E346" s="23">
        <f t="shared" si="61"/>
        <v>19590</v>
      </c>
    </row>
    <row r="347">
      <c r="A347" s="22" t="s">
        <v>95</v>
      </c>
      <c r="B347" s="24">
        <v>30.0</v>
      </c>
      <c r="C347" s="24">
        <v>17.0</v>
      </c>
      <c r="D347" s="24">
        <v>28.0</v>
      </c>
      <c r="E347" s="24">
        <v>13.0</v>
      </c>
    </row>
    <row r="348">
      <c r="A348" s="22" t="s">
        <v>96</v>
      </c>
      <c r="B348" s="24">
        <v>5.0</v>
      </c>
      <c r="C348" s="24">
        <v>3.0</v>
      </c>
      <c r="D348" s="24">
        <v>4.0</v>
      </c>
      <c r="E348" s="24">
        <v>5.0</v>
      </c>
    </row>
    <row r="349">
      <c r="A349" s="22" t="s">
        <v>111</v>
      </c>
      <c r="B349" s="24"/>
      <c r="C349" s="24"/>
      <c r="D349" s="24"/>
      <c r="E349" s="24"/>
    </row>
    <row r="350">
      <c r="A350" s="22" t="s">
        <v>98</v>
      </c>
      <c r="B350" s="24">
        <v>5.0</v>
      </c>
      <c r="C350" s="24">
        <v>3.0</v>
      </c>
      <c r="D350" s="24">
        <v>3.0</v>
      </c>
      <c r="E350" s="24">
        <v>4.0</v>
      </c>
    </row>
    <row r="351">
      <c r="A351" s="22" t="s">
        <v>112</v>
      </c>
      <c r="B351" s="26">
        <f t="shared" ref="B351:E351" si="62">round(((B346/B345)*100),2)</f>
        <v>86.72</v>
      </c>
      <c r="C351" s="26">
        <f t="shared" si="62"/>
        <v>87.74</v>
      </c>
      <c r="D351" s="26">
        <f t="shared" si="62"/>
        <v>85.08</v>
      </c>
      <c r="E351" s="26">
        <f t="shared" si="62"/>
        <v>86.26</v>
      </c>
    </row>
    <row r="352">
      <c r="A352" s="22" t="s">
        <v>100</v>
      </c>
      <c r="B352" s="24">
        <v>651.0</v>
      </c>
      <c r="C352" s="24">
        <v>657.0</v>
      </c>
      <c r="D352" s="24">
        <v>208.0</v>
      </c>
      <c r="E352" s="24">
        <v>653.0</v>
      </c>
    </row>
    <row r="353">
      <c r="A353" s="24" t="s">
        <v>1159</v>
      </c>
      <c r="B353" s="32" t="s">
        <v>984</v>
      </c>
      <c r="C353" s="32" t="s">
        <v>132</v>
      </c>
      <c r="D353" s="32" t="s">
        <v>1178</v>
      </c>
      <c r="E353" s="32" t="s">
        <v>983</v>
      </c>
    </row>
    <row r="354">
      <c r="A354" s="22" t="s">
        <v>178</v>
      </c>
      <c r="B354" s="24" t="s">
        <v>1138</v>
      </c>
      <c r="C354" s="24" t="s">
        <v>1232</v>
      </c>
      <c r="D354" s="18"/>
      <c r="E354" s="18"/>
    </row>
    <row r="355">
      <c r="A355" s="22" t="s">
        <v>103</v>
      </c>
      <c r="B355" s="24" t="s">
        <v>1278</v>
      </c>
      <c r="D355" s="24" t="s">
        <v>1279</v>
      </c>
    </row>
    <row r="358">
      <c r="A358" s="19" t="s">
        <v>50</v>
      </c>
      <c r="B358" s="20" t="s">
        <v>1280</v>
      </c>
    </row>
    <row r="359">
      <c r="B359" s="21" t="s">
        <v>4</v>
      </c>
      <c r="C359" s="21" t="s">
        <v>5</v>
      </c>
      <c r="D359" s="21" t="s">
        <v>6</v>
      </c>
      <c r="E359" s="21" t="s">
        <v>7</v>
      </c>
    </row>
    <row r="360">
      <c r="A360" s="22" t="s">
        <v>91</v>
      </c>
      <c r="B360" s="24">
        <v>90.6</v>
      </c>
      <c r="C360" s="24">
        <v>89.5</v>
      </c>
      <c r="D360" s="24">
        <v>95.5</v>
      </c>
      <c r="E360" s="24">
        <v>93.3</v>
      </c>
    </row>
    <row r="361">
      <c r="A361" s="22" t="s">
        <v>92</v>
      </c>
      <c r="B361" s="24">
        <v>2.0</v>
      </c>
      <c r="C361" s="24">
        <v>5.0</v>
      </c>
      <c r="D361" s="24">
        <v>0.0</v>
      </c>
      <c r="E361" s="24">
        <v>8.0</v>
      </c>
    </row>
    <row r="362">
      <c r="A362" s="22" t="s">
        <v>93</v>
      </c>
      <c r="B362" s="24">
        <f t="shared" ref="B362:E362" si="63">B345-B361</f>
        <v>22518</v>
      </c>
      <c r="C362" s="24">
        <f t="shared" si="63"/>
        <v>22460</v>
      </c>
      <c r="D362" s="24">
        <f t="shared" si="63"/>
        <v>7334</v>
      </c>
      <c r="E362" s="24">
        <f t="shared" si="63"/>
        <v>22703</v>
      </c>
    </row>
    <row r="363">
      <c r="A363" s="22" t="s">
        <v>94</v>
      </c>
      <c r="B363" s="23">
        <f t="shared" ref="B363:E363" si="64">B369*30</f>
        <v>19650</v>
      </c>
      <c r="C363" s="23">
        <f t="shared" si="64"/>
        <v>19830</v>
      </c>
      <c r="D363" s="23">
        <f t="shared" si="64"/>
        <v>6330</v>
      </c>
      <c r="E363" s="23">
        <f t="shared" si="64"/>
        <v>19680</v>
      </c>
    </row>
    <row r="364">
      <c r="A364" s="22" t="s">
        <v>95</v>
      </c>
      <c r="B364" s="24">
        <v>32.0</v>
      </c>
      <c r="C364" s="24">
        <v>28.0</v>
      </c>
      <c r="D364" s="24">
        <v>23.0</v>
      </c>
      <c r="E364" s="24">
        <v>16.0</v>
      </c>
    </row>
    <row r="365">
      <c r="A365" s="22" t="s">
        <v>96</v>
      </c>
      <c r="B365" s="24">
        <v>4.0</v>
      </c>
      <c r="C365" s="24">
        <v>4.0</v>
      </c>
      <c r="D365" s="24">
        <v>3.0</v>
      </c>
      <c r="E365" s="24">
        <v>0.0</v>
      </c>
    </row>
    <row r="366">
      <c r="A366" s="22" t="s">
        <v>111</v>
      </c>
      <c r="B366" s="24"/>
      <c r="C366" s="24"/>
      <c r="D366" s="24"/>
      <c r="E366" s="24"/>
    </row>
    <row r="367">
      <c r="A367" s="22" t="s">
        <v>98</v>
      </c>
      <c r="B367" s="24">
        <v>6.0</v>
      </c>
      <c r="C367" s="24">
        <v>3.0</v>
      </c>
      <c r="D367" s="24">
        <v>3.0</v>
      </c>
      <c r="E367" s="24">
        <v>4.0</v>
      </c>
    </row>
    <row r="368">
      <c r="A368" s="22" t="s">
        <v>112</v>
      </c>
      <c r="B368" s="26">
        <f t="shared" ref="B368:E368" si="65">round(((B363/B362)*100),2)</f>
        <v>87.26</v>
      </c>
      <c r="C368" s="26">
        <f t="shared" si="65"/>
        <v>88.29</v>
      </c>
      <c r="D368" s="26">
        <f t="shared" si="65"/>
        <v>86.31</v>
      </c>
      <c r="E368" s="26">
        <f t="shared" si="65"/>
        <v>86.68</v>
      </c>
    </row>
    <row r="369">
      <c r="A369" s="22" t="s">
        <v>100</v>
      </c>
      <c r="B369" s="24">
        <v>655.0</v>
      </c>
      <c r="C369" s="24">
        <v>661.0</v>
      </c>
      <c r="D369" s="24">
        <v>211.0</v>
      </c>
      <c r="E369" s="24">
        <v>656.0</v>
      </c>
    </row>
    <row r="370">
      <c r="A370" s="24" t="s">
        <v>1159</v>
      </c>
      <c r="B370" s="32" t="s">
        <v>984</v>
      </c>
      <c r="C370" s="32" t="s">
        <v>132</v>
      </c>
      <c r="D370" s="32" t="s">
        <v>1178</v>
      </c>
      <c r="E370" s="32" t="s">
        <v>983</v>
      </c>
    </row>
    <row r="371">
      <c r="A371" s="22" t="s">
        <v>178</v>
      </c>
      <c r="B371" s="24" t="s">
        <v>1089</v>
      </c>
      <c r="C371" s="24" t="s">
        <v>1244</v>
      </c>
      <c r="D371" s="18"/>
      <c r="E371" s="18"/>
    </row>
    <row r="372">
      <c r="A372" s="22" t="s">
        <v>103</v>
      </c>
      <c r="B372" s="24" t="s">
        <v>1281</v>
      </c>
      <c r="D372" s="24" t="s">
        <v>1282</v>
      </c>
    </row>
    <row r="375">
      <c r="A375" s="19" t="s">
        <v>50</v>
      </c>
      <c r="B375" s="20" t="s">
        <v>1283</v>
      </c>
    </row>
    <row r="376">
      <c r="B376" s="21" t="s">
        <v>4</v>
      </c>
      <c r="C376" s="21" t="s">
        <v>5</v>
      </c>
      <c r="D376" s="21" t="s">
        <v>6</v>
      </c>
      <c r="E376" s="21" t="s">
        <v>7</v>
      </c>
    </row>
    <row r="377">
      <c r="A377" s="22" t="s">
        <v>91</v>
      </c>
      <c r="B377" s="24">
        <v>90.7</v>
      </c>
      <c r="C377" s="24">
        <v>89.6</v>
      </c>
      <c r="D377" s="24">
        <v>95.6</v>
      </c>
      <c r="E377" s="24">
        <v>93.4</v>
      </c>
    </row>
    <row r="378">
      <c r="A378" s="22" t="s">
        <v>92</v>
      </c>
      <c r="B378" s="24">
        <v>7.0</v>
      </c>
      <c r="C378" s="24">
        <v>3.0</v>
      </c>
      <c r="D378" s="24">
        <v>3.0</v>
      </c>
      <c r="E378" s="24">
        <v>3.0</v>
      </c>
    </row>
    <row r="379">
      <c r="A379" s="22" t="s">
        <v>93</v>
      </c>
      <c r="B379" s="24">
        <f t="shared" ref="B379:E379" si="66">B362-B378</f>
        <v>22511</v>
      </c>
      <c r="C379" s="24">
        <f t="shared" si="66"/>
        <v>22457</v>
      </c>
      <c r="D379" s="24">
        <f t="shared" si="66"/>
        <v>7331</v>
      </c>
      <c r="E379" s="24">
        <f t="shared" si="66"/>
        <v>22700</v>
      </c>
    </row>
    <row r="380">
      <c r="A380" s="22" t="s">
        <v>94</v>
      </c>
      <c r="B380" s="23">
        <f t="shared" ref="B380:E380" si="67">B386*30</f>
        <v>19800</v>
      </c>
      <c r="C380" s="23">
        <f t="shared" si="67"/>
        <v>20010</v>
      </c>
      <c r="D380" s="23">
        <f t="shared" si="67"/>
        <v>6420</v>
      </c>
      <c r="E380" s="23">
        <f t="shared" si="67"/>
        <v>19980</v>
      </c>
    </row>
    <row r="381">
      <c r="A381" s="22" t="s">
        <v>95</v>
      </c>
      <c r="B381" s="24">
        <v>28.0</v>
      </c>
      <c r="C381" s="24">
        <v>23.0</v>
      </c>
      <c r="D381" s="24">
        <v>28.0</v>
      </c>
      <c r="E381" s="24">
        <v>17.0</v>
      </c>
    </row>
    <row r="382">
      <c r="A382" s="22" t="s">
        <v>96</v>
      </c>
      <c r="B382" s="24">
        <v>5.0</v>
      </c>
      <c r="C382" s="24">
        <v>5.0</v>
      </c>
      <c r="D382" s="24">
        <v>2.0</v>
      </c>
      <c r="E382" s="24">
        <v>3.0</v>
      </c>
    </row>
    <row r="383">
      <c r="A383" s="22" t="s">
        <v>111</v>
      </c>
      <c r="B383" s="24"/>
      <c r="C383" s="24"/>
      <c r="D383" s="24"/>
      <c r="E383" s="24"/>
    </row>
    <row r="384">
      <c r="A384" s="22" t="s">
        <v>98</v>
      </c>
      <c r="B384" s="24">
        <v>7.0</v>
      </c>
      <c r="C384" s="24">
        <v>3.0</v>
      </c>
      <c r="D384" s="24">
        <v>3.0</v>
      </c>
      <c r="E384" s="24">
        <v>3.0</v>
      </c>
    </row>
    <row r="385">
      <c r="A385" s="22" t="s">
        <v>112</v>
      </c>
      <c r="B385" s="26">
        <f t="shared" ref="B385:E385" si="68">round(((B380/B379)*100),2)</f>
        <v>87.96</v>
      </c>
      <c r="C385" s="26">
        <f t="shared" si="68"/>
        <v>89.1</v>
      </c>
      <c r="D385" s="26">
        <f t="shared" si="68"/>
        <v>87.57</v>
      </c>
      <c r="E385" s="26">
        <f t="shared" si="68"/>
        <v>88.02</v>
      </c>
    </row>
    <row r="386">
      <c r="A386" s="22" t="s">
        <v>100</v>
      </c>
      <c r="B386" s="24">
        <v>660.0</v>
      </c>
      <c r="C386" s="24">
        <v>667.0</v>
      </c>
      <c r="D386" s="24">
        <v>214.0</v>
      </c>
      <c r="E386" s="24">
        <v>666.0</v>
      </c>
    </row>
    <row r="387">
      <c r="A387" s="24" t="s">
        <v>1159</v>
      </c>
      <c r="B387" s="32" t="s">
        <v>984</v>
      </c>
      <c r="C387" s="32" t="s">
        <v>132</v>
      </c>
      <c r="D387" s="32" t="s">
        <v>1178</v>
      </c>
      <c r="E387" s="32" t="s">
        <v>983</v>
      </c>
    </row>
    <row r="388">
      <c r="A388" s="22" t="s">
        <v>178</v>
      </c>
      <c r="B388" s="24" t="s">
        <v>1058</v>
      </c>
      <c r="C388" s="24" t="s">
        <v>901</v>
      </c>
      <c r="D388" s="18"/>
      <c r="E388" s="18"/>
    </row>
    <row r="389">
      <c r="A389" s="22" t="s">
        <v>103</v>
      </c>
      <c r="B389" s="24"/>
      <c r="D389" s="24" t="s">
        <v>1284</v>
      </c>
    </row>
    <row r="392">
      <c r="A392" s="19" t="s">
        <v>50</v>
      </c>
      <c r="B392" s="20" t="s">
        <v>1285</v>
      </c>
    </row>
    <row r="393">
      <c r="B393" s="21" t="s">
        <v>4</v>
      </c>
      <c r="C393" s="21" t="s">
        <v>5</v>
      </c>
      <c r="D393" s="21" t="s">
        <v>6</v>
      </c>
      <c r="E393" s="21" t="s">
        <v>7</v>
      </c>
    </row>
    <row r="394">
      <c r="A394" s="22" t="s">
        <v>91</v>
      </c>
      <c r="B394" s="24">
        <v>91.1</v>
      </c>
      <c r="C394" s="24">
        <v>89.7</v>
      </c>
      <c r="D394" s="24">
        <v>95.7</v>
      </c>
      <c r="E394" s="24">
        <v>93.5</v>
      </c>
    </row>
    <row r="395">
      <c r="A395" s="22" t="s">
        <v>92</v>
      </c>
      <c r="B395" s="24">
        <v>3.0</v>
      </c>
      <c r="C395" s="24">
        <v>4.0</v>
      </c>
      <c r="D395" s="24">
        <v>1.0</v>
      </c>
      <c r="E395" s="24">
        <v>3.0</v>
      </c>
    </row>
    <row r="396">
      <c r="A396" s="22" t="s">
        <v>93</v>
      </c>
      <c r="B396" s="24">
        <f t="shared" ref="B396:E396" si="69">B379-B395</f>
        <v>22508</v>
      </c>
      <c r="C396" s="24">
        <f t="shared" si="69"/>
        <v>22453</v>
      </c>
      <c r="D396" s="24">
        <f t="shared" si="69"/>
        <v>7330</v>
      </c>
      <c r="E396" s="24">
        <f t="shared" si="69"/>
        <v>22697</v>
      </c>
    </row>
    <row r="397">
      <c r="A397" s="22" t="s">
        <v>94</v>
      </c>
      <c r="B397" s="23">
        <f t="shared" ref="B397:E397" si="70">B403*30</f>
        <v>19710</v>
      </c>
      <c r="C397" s="23">
        <f t="shared" si="70"/>
        <v>19680</v>
      </c>
      <c r="D397" s="23">
        <f t="shared" si="70"/>
        <v>6210</v>
      </c>
      <c r="E397" s="23">
        <f t="shared" si="70"/>
        <v>19440</v>
      </c>
    </row>
    <row r="398">
      <c r="A398" s="22" t="s">
        <v>95</v>
      </c>
      <c r="B398" s="24">
        <v>26.0</v>
      </c>
      <c r="C398" s="24">
        <v>18.0</v>
      </c>
      <c r="D398" s="24">
        <v>17.0</v>
      </c>
      <c r="E398" s="24">
        <v>24.0</v>
      </c>
    </row>
    <row r="399">
      <c r="A399" s="22" t="s">
        <v>96</v>
      </c>
      <c r="B399" s="24">
        <v>4.0</v>
      </c>
      <c r="C399" s="24">
        <v>4.0</v>
      </c>
      <c r="D399" s="24">
        <v>3.0</v>
      </c>
      <c r="E399" s="24">
        <v>2.0</v>
      </c>
    </row>
    <row r="400">
      <c r="A400" s="22" t="s">
        <v>111</v>
      </c>
      <c r="B400" s="24"/>
      <c r="C400" s="24"/>
      <c r="D400" s="24"/>
      <c r="E400" s="24"/>
    </row>
    <row r="401">
      <c r="A401" s="22" t="s">
        <v>98</v>
      </c>
      <c r="B401" s="24">
        <v>7.0</v>
      </c>
      <c r="C401" s="24">
        <v>4.0</v>
      </c>
      <c r="D401" s="24">
        <v>3.0</v>
      </c>
      <c r="E401" s="24">
        <v>4.0</v>
      </c>
    </row>
    <row r="402">
      <c r="A402" s="22" t="s">
        <v>112</v>
      </c>
      <c r="B402" s="26">
        <f t="shared" ref="B402:E402" si="71">round(((B397/B396)*100),2)</f>
        <v>87.57</v>
      </c>
      <c r="C402" s="26">
        <f t="shared" si="71"/>
        <v>87.65</v>
      </c>
      <c r="D402" s="26">
        <f t="shared" si="71"/>
        <v>84.72</v>
      </c>
      <c r="E402" s="26">
        <f t="shared" si="71"/>
        <v>85.65</v>
      </c>
    </row>
    <row r="403">
      <c r="A403" s="22" t="s">
        <v>100</v>
      </c>
      <c r="B403" s="24">
        <v>657.0</v>
      </c>
      <c r="C403" s="24">
        <v>656.0</v>
      </c>
      <c r="D403" s="24">
        <v>207.0</v>
      </c>
      <c r="E403" s="24">
        <v>648.0</v>
      </c>
    </row>
    <row r="404">
      <c r="A404" s="24" t="s">
        <v>1159</v>
      </c>
      <c r="B404" s="32" t="s">
        <v>984</v>
      </c>
      <c r="C404" s="32" t="s">
        <v>132</v>
      </c>
      <c r="D404" s="32" t="s">
        <v>1178</v>
      </c>
      <c r="E404" s="32" t="s">
        <v>983</v>
      </c>
    </row>
    <row r="405">
      <c r="A405" s="22" t="s">
        <v>178</v>
      </c>
      <c r="B405" s="24" t="s">
        <v>1286</v>
      </c>
      <c r="C405" s="24" t="s">
        <v>901</v>
      </c>
      <c r="D405" s="18"/>
      <c r="E405" s="18"/>
    </row>
    <row r="406">
      <c r="A406" s="22" t="s">
        <v>103</v>
      </c>
      <c r="B406" s="24" t="s">
        <v>1287</v>
      </c>
      <c r="D406" s="24" t="s">
        <v>1288</v>
      </c>
    </row>
    <row r="409">
      <c r="A409" s="19" t="s">
        <v>50</v>
      </c>
      <c r="B409" s="20" t="s">
        <v>1289</v>
      </c>
    </row>
    <row r="410">
      <c r="B410" s="21" t="s">
        <v>4</v>
      </c>
      <c r="C410" s="21" t="s">
        <v>5</v>
      </c>
      <c r="D410" s="21" t="s">
        <v>6</v>
      </c>
      <c r="E410" s="21" t="s">
        <v>7</v>
      </c>
    </row>
    <row r="411">
      <c r="A411" s="22" t="s">
        <v>91</v>
      </c>
      <c r="B411" s="24">
        <v>91.2</v>
      </c>
      <c r="C411" s="24">
        <v>90.1</v>
      </c>
      <c r="D411" s="24">
        <v>96.1</v>
      </c>
      <c r="E411" s="24">
        <v>93.6</v>
      </c>
    </row>
    <row r="412">
      <c r="A412" s="22" t="s">
        <v>92</v>
      </c>
      <c r="B412" s="24">
        <v>5.0</v>
      </c>
      <c r="C412" s="24">
        <v>2.0</v>
      </c>
      <c r="D412" s="24">
        <v>0.0</v>
      </c>
      <c r="E412" s="24">
        <v>4.0</v>
      </c>
    </row>
    <row r="413">
      <c r="A413" s="22" t="s">
        <v>93</v>
      </c>
      <c r="B413" s="24">
        <f t="shared" ref="B413:E413" si="72">B396-B412</f>
        <v>22503</v>
      </c>
      <c r="C413" s="24">
        <f t="shared" si="72"/>
        <v>22451</v>
      </c>
      <c r="D413" s="24">
        <f t="shared" si="72"/>
        <v>7330</v>
      </c>
      <c r="E413" s="24">
        <f t="shared" si="72"/>
        <v>22693</v>
      </c>
    </row>
    <row r="414">
      <c r="A414" s="22" t="s">
        <v>94</v>
      </c>
      <c r="B414" s="23">
        <f t="shared" ref="B414:E414" si="73">B420*30</f>
        <v>19650</v>
      </c>
      <c r="C414" s="23">
        <f t="shared" si="73"/>
        <v>19800</v>
      </c>
      <c r="D414" s="23">
        <f t="shared" si="73"/>
        <v>6420</v>
      </c>
      <c r="E414" s="23">
        <f t="shared" si="73"/>
        <v>19110</v>
      </c>
    </row>
    <row r="415">
      <c r="A415" s="22" t="s">
        <v>95</v>
      </c>
      <c r="B415" s="24">
        <v>32.0</v>
      </c>
      <c r="C415" s="24">
        <v>16.0</v>
      </c>
      <c r="D415" s="24">
        <v>29.0</v>
      </c>
      <c r="E415" s="24">
        <v>19.0</v>
      </c>
    </row>
    <row r="416">
      <c r="A416" s="22" t="s">
        <v>96</v>
      </c>
      <c r="B416" s="24">
        <v>3.0</v>
      </c>
      <c r="C416" s="24">
        <v>4.0</v>
      </c>
      <c r="D416" s="24">
        <v>1.0</v>
      </c>
      <c r="E416" s="24">
        <v>3.0</v>
      </c>
    </row>
    <row r="417">
      <c r="A417" s="22" t="s">
        <v>111</v>
      </c>
      <c r="B417" s="24"/>
      <c r="C417" s="24"/>
      <c r="D417" s="24"/>
      <c r="E417" s="24"/>
    </row>
    <row r="418">
      <c r="A418" s="22" t="s">
        <v>98</v>
      </c>
      <c r="B418" s="24">
        <v>8.0</v>
      </c>
      <c r="C418" s="24">
        <v>6.0</v>
      </c>
      <c r="D418" s="24">
        <v>3.0</v>
      </c>
      <c r="E418" s="24">
        <v>5.0</v>
      </c>
    </row>
    <row r="419">
      <c r="A419" s="22" t="s">
        <v>112</v>
      </c>
      <c r="B419" s="26">
        <f t="shared" ref="B419:E419" si="74">round(((B414/B413)*100),2)</f>
        <v>87.32</v>
      </c>
      <c r="C419" s="26">
        <f t="shared" si="74"/>
        <v>88.19</v>
      </c>
      <c r="D419" s="26">
        <f t="shared" si="74"/>
        <v>87.59</v>
      </c>
      <c r="E419" s="26">
        <f t="shared" si="74"/>
        <v>84.21</v>
      </c>
    </row>
    <row r="420">
      <c r="A420" s="22" t="s">
        <v>100</v>
      </c>
      <c r="B420" s="24">
        <v>655.0</v>
      </c>
      <c r="C420" s="24">
        <v>660.0</v>
      </c>
      <c r="D420" s="24">
        <v>214.0</v>
      </c>
      <c r="E420" s="24">
        <v>637.0</v>
      </c>
    </row>
    <row r="421">
      <c r="A421" s="24" t="s">
        <v>1159</v>
      </c>
      <c r="B421" s="32" t="s">
        <v>984</v>
      </c>
      <c r="C421" s="32" t="s">
        <v>132</v>
      </c>
      <c r="D421" s="32" t="s">
        <v>1178</v>
      </c>
      <c r="E421" s="32" t="s">
        <v>983</v>
      </c>
    </row>
    <row r="422">
      <c r="A422" s="22" t="s">
        <v>178</v>
      </c>
      <c r="B422" s="24" t="s">
        <v>1275</v>
      </c>
      <c r="C422" s="24" t="s">
        <v>1226</v>
      </c>
      <c r="D422" s="18"/>
      <c r="E422" s="18"/>
    </row>
    <row r="423">
      <c r="A423" s="22" t="s">
        <v>103</v>
      </c>
      <c r="B423" s="24" t="s">
        <v>1290</v>
      </c>
      <c r="D423" s="24" t="s">
        <v>1291</v>
      </c>
    </row>
    <row r="426">
      <c r="A426" s="19" t="s">
        <v>50</v>
      </c>
      <c r="B426" s="20" t="s">
        <v>1292</v>
      </c>
    </row>
    <row r="427">
      <c r="B427" s="21" t="s">
        <v>4</v>
      </c>
      <c r="C427" s="21" t="s">
        <v>5</v>
      </c>
      <c r="D427" s="21" t="s">
        <v>6</v>
      </c>
      <c r="E427" s="21" t="s">
        <v>7</v>
      </c>
    </row>
    <row r="428">
      <c r="A428" s="22" t="s">
        <v>91</v>
      </c>
      <c r="B428" s="24">
        <v>91.3</v>
      </c>
      <c r="C428" s="24">
        <v>90.2</v>
      </c>
      <c r="D428" s="24">
        <v>96.2</v>
      </c>
      <c r="E428" s="24">
        <v>93.7</v>
      </c>
    </row>
    <row r="429">
      <c r="A429" s="22" t="s">
        <v>92</v>
      </c>
      <c r="B429" s="24">
        <v>3.0</v>
      </c>
      <c r="C429" s="24">
        <v>5.0</v>
      </c>
      <c r="D429" s="24">
        <v>3.0</v>
      </c>
      <c r="E429" s="24">
        <v>6.0</v>
      </c>
    </row>
    <row r="430">
      <c r="A430" s="22" t="s">
        <v>93</v>
      </c>
      <c r="B430" s="24">
        <f t="shared" ref="B430:E430" si="75">B413-B429</f>
        <v>22500</v>
      </c>
      <c r="C430" s="24">
        <f t="shared" si="75"/>
        <v>22446</v>
      </c>
      <c r="D430" s="24">
        <f t="shared" si="75"/>
        <v>7327</v>
      </c>
      <c r="E430" s="24">
        <f t="shared" si="75"/>
        <v>22687</v>
      </c>
    </row>
    <row r="431">
      <c r="A431" s="22" t="s">
        <v>94</v>
      </c>
      <c r="B431" s="23">
        <f t="shared" ref="B431:E431" si="76">B437*30</f>
        <v>19530</v>
      </c>
      <c r="C431" s="23">
        <f t="shared" si="76"/>
        <v>19800</v>
      </c>
      <c r="D431" s="23">
        <f t="shared" si="76"/>
        <v>6210</v>
      </c>
      <c r="E431" s="23">
        <f t="shared" si="76"/>
        <v>19110</v>
      </c>
    </row>
    <row r="432">
      <c r="A432" s="22" t="s">
        <v>95</v>
      </c>
      <c r="B432" s="24">
        <v>31.0</v>
      </c>
      <c r="C432" s="24">
        <v>30.0</v>
      </c>
      <c r="D432" s="24">
        <v>28.0</v>
      </c>
      <c r="E432" s="24">
        <v>36.0</v>
      </c>
    </row>
    <row r="433">
      <c r="A433" s="22" t="s">
        <v>96</v>
      </c>
      <c r="B433" s="24">
        <v>7.0</v>
      </c>
      <c r="C433" s="24">
        <v>6.0</v>
      </c>
      <c r="D433" s="24">
        <v>2.0</v>
      </c>
      <c r="E433" s="24">
        <v>4.0</v>
      </c>
    </row>
    <row r="434">
      <c r="A434" s="22" t="s">
        <v>111</v>
      </c>
      <c r="B434" s="24"/>
      <c r="C434" s="24"/>
      <c r="D434" s="24"/>
      <c r="E434" s="24"/>
    </row>
    <row r="435">
      <c r="A435" s="22" t="s">
        <v>98</v>
      </c>
      <c r="B435" s="24">
        <v>7.0</v>
      </c>
      <c r="C435" s="24">
        <v>6.0</v>
      </c>
      <c r="D435" s="24">
        <v>4.0</v>
      </c>
      <c r="E435" s="24">
        <v>5.0</v>
      </c>
    </row>
    <row r="436">
      <c r="A436" s="22" t="s">
        <v>112</v>
      </c>
      <c r="B436" s="26">
        <f t="shared" ref="B436:E436" si="77">round(((B431/B430)*100),2)</f>
        <v>86.8</v>
      </c>
      <c r="C436" s="26">
        <f t="shared" si="77"/>
        <v>88.21</v>
      </c>
      <c r="D436" s="26">
        <f t="shared" si="77"/>
        <v>84.76</v>
      </c>
      <c r="E436" s="26">
        <f t="shared" si="77"/>
        <v>84.23</v>
      </c>
    </row>
    <row r="437">
      <c r="A437" s="22" t="s">
        <v>100</v>
      </c>
      <c r="B437" s="24">
        <v>651.0</v>
      </c>
      <c r="C437" s="24">
        <v>660.0</v>
      </c>
      <c r="D437" s="24">
        <v>207.0</v>
      </c>
      <c r="E437" s="24">
        <v>637.0</v>
      </c>
    </row>
    <row r="438">
      <c r="A438" s="24" t="s">
        <v>1159</v>
      </c>
      <c r="B438" s="32" t="s">
        <v>984</v>
      </c>
      <c r="C438" s="32" t="s">
        <v>132</v>
      </c>
      <c r="D438" s="32" t="s">
        <v>1178</v>
      </c>
      <c r="E438" s="32" t="s">
        <v>983</v>
      </c>
    </row>
    <row r="439">
      <c r="A439" s="22" t="s">
        <v>178</v>
      </c>
      <c r="B439" s="24" t="s">
        <v>1293</v>
      </c>
      <c r="C439" s="24" t="s">
        <v>1244</v>
      </c>
      <c r="D439" s="18"/>
      <c r="E439" s="18"/>
    </row>
    <row r="440">
      <c r="A440" s="22" t="s">
        <v>103</v>
      </c>
      <c r="B440" s="24" t="s">
        <v>1294</v>
      </c>
      <c r="D440" s="24" t="s">
        <v>1295</v>
      </c>
    </row>
    <row r="443">
      <c r="A443" s="19" t="s">
        <v>50</v>
      </c>
      <c r="B443" s="20" t="s">
        <v>1296</v>
      </c>
    </row>
    <row r="444">
      <c r="B444" s="21" t="s">
        <v>4</v>
      </c>
      <c r="C444" s="21" t="s">
        <v>5</v>
      </c>
      <c r="D444" s="21" t="s">
        <v>6</v>
      </c>
      <c r="E444" s="21" t="s">
        <v>7</v>
      </c>
    </row>
    <row r="445">
      <c r="A445" s="22" t="s">
        <v>91</v>
      </c>
      <c r="B445" s="24">
        <v>91.4</v>
      </c>
      <c r="C445" s="24">
        <v>90.3</v>
      </c>
      <c r="D445" s="24">
        <v>96.3</v>
      </c>
      <c r="E445" s="24">
        <v>94.1</v>
      </c>
    </row>
    <row r="446">
      <c r="A446" s="22" t="s">
        <v>92</v>
      </c>
      <c r="B446" s="24">
        <v>6.0</v>
      </c>
      <c r="C446" s="24">
        <v>9.0</v>
      </c>
      <c r="D446" s="24">
        <v>0.0</v>
      </c>
      <c r="E446" s="24">
        <v>7.0</v>
      </c>
    </row>
    <row r="447">
      <c r="A447" s="22" t="s">
        <v>93</v>
      </c>
      <c r="B447" s="24">
        <f t="shared" ref="B447:E447" si="78">B430-B446</f>
        <v>22494</v>
      </c>
      <c r="C447" s="24">
        <f t="shared" si="78"/>
        <v>22437</v>
      </c>
      <c r="D447" s="24">
        <f t="shared" si="78"/>
        <v>7327</v>
      </c>
      <c r="E447" s="24">
        <f t="shared" si="78"/>
        <v>22680</v>
      </c>
    </row>
    <row r="448">
      <c r="A448" s="22" t="s">
        <v>94</v>
      </c>
      <c r="B448" s="23">
        <f t="shared" ref="B448:E448" si="79">B454*30</f>
        <v>19650</v>
      </c>
      <c r="C448" s="23">
        <f t="shared" si="79"/>
        <v>20040</v>
      </c>
      <c r="D448" s="23">
        <f t="shared" si="79"/>
        <v>6420</v>
      </c>
      <c r="E448" s="23">
        <f t="shared" si="79"/>
        <v>19470</v>
      </c>
    </row>
    <row r="449">
      <c r="A449" s="22" t="s">
        <v>95</v>
      </c>
      <c r="B449" s="24">
        <v>37.0</v>
      </c>
      <c r="C449" s="24">
        <v>28.0</v>
      </c>
      <c r="D449" s="24">
        <v>29.0</v>
      </c>
      <c r="E449" s="24">
        <v>10.0</v>
      </c>
    </row>
    <row r="450">
      <c r="A450" s="22" t="s">
        <v>96</v>
      </c>
      <c r="B450" s="24">
        <v>2.0</v>
      </c>
      <c r="C450" s="24">
        <v>4.0</v>
      </c>
      <c r="D450" s="24">
        <v>1.0</v>
      </c>
      <c r="E450" s="24">
        <v>8.0</v>
      </c>
    </row>
    <row r="451">
      <c r="A451" s="22" t="s">
        <v>111</v>
      </c>
      <c r="B451" s="24">
        <v>90.0</v>
      </c>
      <c r="C451" s="24">
        <v>90.0</v>
      </c>
      <c r="D451" s="24">
        <v>30.0</v>
      </c>
      <c r="E451" s="24">
        <v>90.0</v>
      </c>
    </row>
    <row r="452">
      <c r="A452" s="22" t="s">
        <v>98</v>
      </c>
      <c r="B452" s="24">
        <v>8.0</v>
      </c>
      <c r="C452" s="24">
        <v>6.0</v>
      </c>
      <c r="D452" s="24">
        <v>4.0</v>
      </c>
      <c r="E452" s="24">
        <v>4.0</v>
      </c>
    </row>
    <row r="453">
      <c r="A453" s="22" t="s">
        <v>112</v>
      </c>
      <c r="B453" s="26">
        <f t="shared" ref="B453:E453" si="80">round(((B448/B447)*100),2)</f>
        <v>87.36</v>
      </c>
      <c r="C453" s="26">
        <f t="shared" si="80"/>
        <v>89.32</v>
      </c>
      <c r="D453" s="26">
        <f t="shared" si="80"/>
        <v>87.62</v>
      </c>
      <c r="E453" s="26">
        <f t="shared" si="80"/>
        <v>85.85</v>
      </c>
    </row>
    <row r="454">
      <c r="A454" s="22" t="s">
        <v>100</v>
      </c>
      <c r="B454" s="24">
        <v>655.0</v>
      </c>
      <c r="C454" s="24">
        <v>668.0</v>
      </c>
      <c r="D454" s="24">
        <v>214.0</v>
      </c>
      <c r="E454" s="24">
        <v>649.0</v>
      </c>
    </row>
    <row r="455">
      <c r="A455" s="24" t="s">
        <v>1159</v>
      </c>
      <c r="B455" s="32" t="s">
        <v>984</v>
      </c>
      <c r="C455" s="32" t="s">
        <v>132</v>
      </c>
      <c r="D455" s="32" t="s">
        <v>1178</v>
      </c>
      <c r="E455" s="32" t="s">
        <v>983</v>
      </c>
    </row>
    <row r="456">
      <c r="A456" s="22" t="s">
        <v>178</v>
      </c>
      <c r="B456" s="24" t="s">
        <v>1297</v>
      </c>
      <c r="C456" s="24" t="s">
        <v>909</v>
      </c>
      <c r="D456" s="18"/>
      <c r="E456" s="18"/>
    </row>
    <row r="457">
      <c r="A457" s="22" t="s">
        <v>103</v>
      </c>
      <c r="B457" s="24"/>
      <c r="D457" s="24" t="s">
        <v>1298</v>
      </c>
    </row>
    <row r="460">
      <c r="A460" s="19" t="s">
        <v>50</v>
      </c>
      <c r="B460" s="20" t="s">
        <v>1299</v>
      </c>
    </row>
    <row r="461">
      <c r="B461" s="21" t="s">
        <v>4</v>
      </c>
      <c r="C461" s="21" t="s">
        <v>5</v>
      </c>
      <c r="D461" s="21" t="s">
        <v>6</v>
      </c>
      <c r="E461" s="21" t="s">
        <v>7</v>
      </c>
    </row>
    <row r="462">
      <c r="A462" s="22" t="s">
        <v>91</v>
      </c>
      <c r="B462" s="24">
        <v>91.5</v>
      </c>
      <c r="C462" s="24">
        <v>90.4</v>
      </c>
      <c r="D462" s="24">
        <v>96.4</v>
      </c>
      <c r="E462" s="24">
        <v>94.2</v>
      </c>
    </row>
    <row r="463">
      <c r="A463" s="22" t="s">
        <v>92</v>
      </c>
      <c r="B463" s="24">
        <v>9.0</v>
      </c>
      <c r="C463" s="24">
        <v>2.0</v>
      </c>
      <c r="D463" s="24">
        <v>0.0</v>
      </c>
      <c r="E463" s="24">
        <v>4.0</v>
      </c>
    </row>
    <row r="464">
      <c r="A464" s="22" t="s">
        <v>93</v>
      </c>
      <c r="B464" s="24">
        <f t="shared" ref="B464:E464" si="81">B447-B463</f>
        <v>22485</v>
      </c>
      <c r="C464" s="24">
        <f t="shared" si="81"/>
        <v>22435</v>
      </c>
      <c r="D464" s="24">
        <f t="shared" si="81"/>
        <v>7327</v>
      </c>
      <c r="E464" s="24">
        <f t="shared" si="81"/>
        <v>22676</v>
      </c>
    </row>
    <row r="465">
      <c r="A465" s="22" t="s">
        <v>94</v>
      </c>
      <c r="B465" s="23">
        <f t="shared" ref="B465:E465" si="82">B471*30</f>
        <v>19560</v>
      </c>
      <c r="C465" s="23">
        <f t="shared" si="82"/>
        <v>19770</v>
      </c>
      <c r="D465" s="23">
        <f t="shared" si="82"/>
        <v>6330</v>
      </c>
      <c r="E465" s="23">
        <f t="shared" si="82"/>
        <v>19140</v>
      </c>
    </row>
    <row r="466">
      <c r="A466" s="22" t="s">
        <v>95</v>
      </c>
      <c r="B466" s="24">
        <v>31.0</v>
      </c>
      <c r="C466" s="24">
        <v>18.0</v>
      </c>
      <c r="D466" s="24">
        <v>29.0</v>
      </c>
      <c r="E466" s="24">
        <v>11.0</v>
      </c>
    </row>
    <row r="467">
      <c r="A467" s="22" t="s">
        <v>96</v>
      </c>
      <c r="B467" s="24">
        <v>9.0</v>
      </c>
      <c r="C467" s="24">
        <v>6.0</v>
      </c>
      <c r="D467" s="24">
        <v>1.0</v>
      </c>
      <c r="E467" s="24">
        <v>1.0</v>
      </c>
    </row>
    <row r="468">
      <c r="A468" s="22" t="s">
        <v>111</v>
      </c>
      <c r="B468" s="24"/>
      <c r="C468" s="24"/>
      <c r="D468" s="24"/>
      <c r="E468" s="24"/>
    </row>
    <row r="469">
      <c r="A469" s="22" t="s">
        <v>98</v>
      </c>
      <c r="B469" s="24">
        <v>9.0</v>
      </c>
      <c r="C469" s="24">
        <v>5.0</v>
      </c>
      <c r="D469" s="24">
        <v>3.0</v>
      </c>
      <c r="E469" s="24">
        <v>4.0</v>
      </c>
    </row>
    <row r="470">
      <c r="A470" s="22" t="s">
        <v>112</v>
      </c>
      <c r="B470" s="26">
        <f t="shared" ref="B470:E470" si="83">round(((B465/B464)*100),2)</f>
        <v>86.99</v>
      </c>
      <c r="C470" s="26">
        <f t="shared" si="83"/>
        <v>88.12</v>
      </c>
      <c r="D470" s="26">
        <f t="shared" si="83"/>
        <v>86.39</v>
      </c>
      <c r="E470" s="26">
        <f t="shared" si="83"/>
        <v>84.41</v>
      </c>
    </row>
    <row r="471">
      <c r="A471" s="22" t="s">
        <v>100</v>
      </c>
      <c r="B471" s="24">
        <v>652.0</v>
      </c>
      <c r="C471" s="24">
        <v>659.0</v>
      </c>
      <c r="D471" s="24">
        <v>211.0</v>
      </c>
      <c r="E471" s="24">
        <v>638.0</v>
      </c>
    </row>
    <row r="472">
      <c r="A472" s="24" t="s">
        <v>1159</v>
      </c>
      <c r="B472" s="32" t="s">
        <v>984</v>
      </c>
      <c r="C472" s="32" t="s">
        <v>132</v>
      </c>
      <c r="D472" s="32" t="s">
        <v>1178</v>
      </c>
      <c r="E472" s="32" t="s">
        <v>983</v>
      </c>
    </row>
    <row r="473">
      <c r="A473" s="22" t="s">
        <v>178</v>
      </c>
      <c r="B473" s="24" t="s">
        <v>1297</v>
      </c>
      <c r="C473" s="24" t="s">
        <v>901</v>
      </c>
      <c r="D473" s="18"/>
      <c r="E473" s="18"/>
    </row>
    <row r="474">
      <c r="A474" s="22" t="s">
        <v>103</v>
      </c>
      <c r="B474" s="24" t="s">
        <v>1300</v>
      </c>
      <c r="D474" s="24" t="s">
        <v>1301</v>
      </c>
    </row>
    <row r="477">
      <c r="A477" s="19" t="s">
        <v>50</v>
      </c>
      <c r="B477" s="20" t="s">
        <v>1302</v>
      </c>
    </row>
    <row r="478">
      <c r="B478" s="21" t="s">
        <v>4</v>
      </c>
      <c r="C478" s="21" t="s">
        <v>5</v>
      </c>
      <c r="D478" s="21" t="s">
        <v>6</v>
      </c>
      <c r="E478" s="21" t="s">
        <v>7</v>
      </c>
    </row>
    <row r="479">
      <c r="A479" s="22" t="s">
        <v>91</v>
      </c>
      <c r="B479" s="24">
        <v>91.6</v>
      </c>
      <c r="C479" s="24">
        <v>90.5</v>
      </c>
      <c r="D479" s="24">
        <v>96.5</v>
      </c>
      <c r="E479" s="24">
        <v>94.3</v>
      </c>
    </row>
    <row r="480">
      <c r="A480" s="22" t="s">
        <v>92</v>
      </c>
      <c r="B480" s="24">
        <v>1.0</v>
      </c>
      <c r="C480" s="24">
        <v>3.0</v>
      </c>
      <c r="D480" s="24">
        <v>1.0</v>
      </c>
      <c r="E480" s="24">
        <v>7.0</v>
      </c>
    </row>
    <row r="481">
      <c r="A481" s="22" t="s">
        <v>93</v>
      </c>
      <c r="B481" s="24">
        <f t="shared" ref="B481:E481" si="84">B464-B480</f>
        <v>22484</v>
      </c>
      <c r="C481" s="24">
        <f t="shared" si="84"/>
        <v>22432</v>
      </c>
      <c r="D481" s="24">
        <f t="shared" si="84"/>
        <v>7326</v>
      </c>
      <c r="E481" s="24">
        <f t="shared" si="84"/>
        <v>22669</v>
      </c>
    </row>
    <row r="482">
      <c r="A482" s="22" t="s">
        <v>94</v>
      </c>
      <c r="B482" s="23">
        <f t="shared" ref="B482:E482" si="85">B488*30</f>
        <v>19560</v>
      </c>
      <c r="C482" s="23">
        <f t="shared" si="85"/>
        <v>19890</v>
      </c>
      <c r="D482" s="23">
        <f t="shared" si="85"/>
        <v>6300</v>
      </c>
      <c r="E482" s="23">
        <f t="shared" si="85"/>
        <v>19020</v>
      </c>
    </row>
    <row r="483">
      <c r="A483" s="22" t="s">
        <v>95</v>
      </c>
      <c r="B483" s="24">
        <v>29.0</v>
      </c>
      <c r="C483" s="24">
        <v>24.0</v>
      </c>
      <c r="D483" s="24">
        <v>27.0</v>
      </c>
      <c r="E483" s="24">
        <v>8.0</v>
      </c>
    </row>
    <row r="484">
      <c r="A484" s="22" t="s">
        <v>96</v>
      </c>
      <c r="B484" s="24">
        <v>12.0</v>
      </c>
      <c r="C484" s="24">
        <v>5.0</v>
      </c>
      <c r="D484" s="24">
        <v>3.0</v>
      </c>
      <c r="E484" s="24">
        <v>6.0</v>
      </c>
    </row>
    <row r="485">
      <c r="A485" s="22" t="s">
        <v>111</v>
      </c>
      <c r="B485" s="24"/>
      <c r="C485" s="24"/>
      <c r="D485" s="24"/>
      <c r="E485" s="24"/>
    </row>
    <row r="486">
      <c r="A486" s="22" t="s">
        <v>98</v>
      </c>
      <c r="B486" s="24">
        <v>6.0</v>
      </c>
      <c r="C486" s="24">
        <v>4.0</v>
      </c>
      <c r="D486" s="24">
        <v>4.0</v>
      </c>
      <c r="E486" s="24">
        <v>2.0</v>
      </c>
    </row>
    <row r="487">
      <c r="A487" s="22" t="s">
        <v>112</v>
      </c>
      <c r="B487" s="26">
        <f t="shared" ref="B487:E487" si="86">round(((B482/B481)*100),2)</f>
        <v>87</v>
      </c>
      <c r="C487" s="26">
        <f t="shared" si="86"/>
        <v>88.67</v>
      </c>
      <c r="D487" s="26">
        <f t="shared" si="86"/>
        <v>86</v>
      </c>
      <c r="E487" s="26">
        <f t="shared" si="86"/>
        <v>83.9</v>
      </c>
    </row>
    <row r="488">
      <c r="A488" s="22" t="s">
        <v>100</v>
      </c>
      <c r="B488" s="24">
        <v>652.0</v>
      </c>
      <c r="C488" s="24">
        <v>663.0</v>
      </c>
      <c r="D488" s="24">
        <v>210.0</v>
      </c>
      <c r="E488" s="24">
        <v>634.0</v>
      </c>
    </row>
    <row r="489">
      <c r="A489" s="24" t="s">
        <v>1159</v>
      </c>
      <c r="B489" s="32" t="s">
        <v>984</v>
      </c>
      <c r="C489" s="32" t="s">
        <v>132</v>
      </c>
      <c r="D489" s="32" t="s">
        <v>1178</v>
      </c>
      <c r="E489" s="32" t="s">
        <v>983</v>
      </c>
    </row>
    <row r="490">
      <c r="A490" s="22" t="s">
        <v>178</v>
      </c>
      <c r="B490" s="24" t="s">
        <v>1265</v>
      </c>
      <c r="C490" s="24" t="s">
        <v>1232</v>
      </c>
      <c r="D490" s="18"/>
      <c r="E490" s="18"/>
    </row>
    <row r="491">
      <c r="A491" s="22" t="s">
        <v>103</v>
      </c>
      <c r="B491" s="24" t="s">
        <v>1303</v>
      </c>
      <c r="D491" s="24" t="s">
        <v>1304</v>
      </c>
    </row>
    <row r="494">
      <c r="A494" s="19" t="s">
        <v>50</v>
      </c>
      <c r="B494" s="20" t="s">
        <v>1302</v>
      </c>
    </row>
    <row r="495">
      <c r="B495" s="21" t="s">
        <v>4</v>
      </c>
      <c r="C495" s="21" t="s">
        <v>5</v>
      </c>
      <c r="D495" s="21" t="s">
        <v>6</v>
      </c>
      <c r="E495" s="21" t="s">
        <v>7</v>
      </c>
    </row>
    <row r="496">
      <c r="A496" s="22" t="s">
        <v>91</v>
      </c>
      <c r="B496" s="24">
        <v>91.6</v>
      </c>
      <c r="C496" s="24">
        <v>90.5</v>
      </c>
      <c r="D496" s="24">
        <v>96.5</v>
      </c>
      <c r="E496" s="24">
        <v>94.3</v>
      </c>
    </row>
    <row r="497">
      <c r="A497" s="22" t="s">
        <v>92</v>
      </c>
      <c r="B497" s="24">
        <v>1.0</v>
      </c>
      <c r="C497" s="24">
        <v>3.0</v>
      </c>
      <c r="D497" s="24">
        <v>1.0</v>
      </c>
      <c r="E497" s="24">
        <v>7.0</v>
      </c>
    </row>
    <row r="498">
      <c r="A498" s="22" t="s">
        <v>93</v>
      </c>
      <c r="B498" s="24">
        <f t="shared" ref="B498:E498" si="87">B481-B497</f>
        <v>22483</v>
      </c>
      <c r="C498" s="24">
        <f t="shared" si="87"/>
        <v>22429</v>
      </c>
      <c r="D498" s="24">
        <f t="shared" si="87"/>
        <v>7325</v>
      </c>
      <c r="E498" s="24">
        <f t="shared" si="87"/>
        <v>22662</v>
      </c>
    </row>
    <row r="499">
      <c r="A499" s="22" t="s">
        <v>94</v>
      </c>
      <c r="B499" s="23">
        <f t="shared" ref="B499:E499" si="88">B505*30</f>
        <v>19560</v>
      </c>
      <c r="C499" s="23">
        <f t="shared" si="88"/>
        <v>19890</v>
      </c>
      <c r="D499" s="23">
        <f t="shared" si="88"/>
        <v>6300</v>
      </c>
      <c r="E499" s="23">
        <f t="shared" si="88"/>
        <v>19020</v>
      </c>
    </row>
    <row r="500" ht="16.5" customHeight="1">
      <c r="A500" s="22" t="s">
        <v>95</v>
      </c>
      <c r="B500" s="24">
        <v>29.0</v>
      </c>
      <c r="C500" s="24">
        <v>24.0</v>
      </c>
      <c r="D500" s="24">
        <v>27.0</v>
      </c>
      <c r="E500" s="24">
        <v>8.0</v>
      </c>
    </row>
    <row r="501">
      <c r="A501" s="22" t="s">
        <v>96</v>
      </c>
      <c r="B501" s="24">
        <v>12.0</v>
      </c>
      <c r="C501" s="24">
        <v>5.0</v>
      </c>
      <c r="D501" s="24">
        <v>3.0</v>
      </c>
      <c r="E501" s="24">
        <v>6.0</v>
      </c>
    </row>
    <row r="502">
      <c r="A502" s="22" t="s">
        <v>111</v>
      </c>
      <c r="B502" s="24"/>
      <c r="C502" s="24"/>
      <c r="D502" s="24"/>
      <c r="E502" s="24"/>
    </row>
    <row r="503">
      <c r="A503" s="22" t="s">
        <v>98</v>
      </c>
      <c r="B503" s="24">
        <v>6.0</v>
      </c>
      <c r="C503" s="24">
        <v>4.0</v>
      </c>
      <c r="D503" s="24">
        <v>4.0</v>
      </c>
      <c r="E503" s="24">
        <v>2.0</v>
      </c>
    </row>
    <row r="504">
      <c r="A504" s="22" t="s">
        <v>112</v>
      </c>
      <c r="B504" s="26">
        <f t="shared" ref="B504:E504" si="89">round(((B499/B498)*100),2)</f>
        <v>87</v>
      </c>
      <c r="C504" s="26">
        <f t="shared" si="89"/>
        <v>88.68</v>
      </c>
      <c r="D504" s="26">
        <f t="shared" si="89"/>
        <v>86.01</v>
      </c>
      <c r="E504" s="26">
        <f t="shared" si="89"/>
        <v>83.93</v>
      </c>
    </row>
    <row r="505">
      <c r="A505" s="22" t="s">
        <v>100</v>
      </c>
      <c r="B505" s="24">
        <v>652.0</v>
      </c>
      <c r="C505" s="24">
        <v>663.0</v>
      </c>
      <c r="D505" s="24">
        <v>210.0</v>
      </c>
      <c r="E505" s="24">
        <v>634.0</v>
      </c>
    </row>
    <row r="506">
      <c r="A506" s="24" t="s">
        <v>1159</v>
      </c>
      <c r="B506" s="32" t="s">
        <v>984</v>
      </c>
      <c r="C506" s="32" t="s">
        <v>132</v>
      </c>
      <c r="D506" s="32" t="s">
        <v>1178</v>
      </c>
      <c r="E506" s="32" t="s">
        <v>983</v>
      </c>
    </row>
    <row r="507">
      <c r="A507" s="22" t="s">
        <v>178</v>
      </c>
      <c r="B507" s="24" t="s">
        <v>1265</v>
      </c>
      <c r="C507" s="24" t="s">
        <v>1232</v>
      </c>
      <c r="D507" s="18"/>
      <c r="E507" s="18"/>
    </row>
    <row r="508">
      <c r="A508" s="22" t="s">
        <v>103</v>
      </c>
      <c r="B508" s="24" t="s">
        <v>1303</v>
      </c>
      <c r="D508" s="24" t="s">
        <v>1304</v>
      </c>
    </row>
    <row r="511">
      <c r="A511" s="19" t="s">
        <v>50</v>
      </c>
      <c r="B511" s="20" t="s">
        <v>1305</v>
      </c>
    </row>
    <row r="512">
      <c r="B512" s="21" t="s">
        <v>4</v>
      </c>
      <c r="C512" s="21" t="s">
        <v>5</v>
      </c>
      <c r="D512" s="21" t="s">
        <v>6</v>
      </c>
      <c r="E512" s="21" t="s">
        <v>7</v>
      </c>
    </row>
    <row r="513">
      <c r="A513" s="22" t="s">
        <v>91</v>
      </c>
      <c r="B513" s="24">
        <v>91.7</v>
      </c>
      <c r="C513" s="24">
        <v>90.6</v>
      </c>
      <c r="D513" s="24">
        <v>96.6</v>
      </c>
      <c r="E513" s="24">
        <v>94.4</v>
      </c>
    </row>
    <row r="514">
      <c r="A514" s="22" t="s">
        <v>92</v>
      </c>
      <c r="B514" s="24">
        <v>7.0</v>
      </c>
      <c r="C514" s="24">
        <v>4.0</v>
      </c>
      <c r="D514" s="24">
        <v>0.0</v>
      </c>
      <c r="E514" s="24">
        <v>4.0</v>
      </c>
    </row>
    <row r="515">
      <c r="A515" s="22" t="s">
        <v>93</v>
      </c>
      <c r="B515" s="24">
        <f t="shared" ref="B515:E515" si="90">B498-B514</f>
        <v>22476</v>
      </c>
      <c r="C515" s="24">
        <f t="shared" si="90"/>
        <v>22425</v>
      </c>
      <c r="D515" s="24">
        <f t="shared" si="90"/>
        <v>7325</v>
      </c>
      <c r="E515" s="24">
        <f t="shared" si="90"/>
        <v>22658</v>
      </c>
    </row>
    <row r="516">
      <c r="A516" s="22" t="s">
        <v>94</v>
      </c>
      <c r="B516" s="23">
        <f t="shared" ref="B516:E516" si="91">B522*30</f>
        <v>19440</v>
      </c>
      <c r="C516" s="23">
        <f t="shared" si="91"/>
        <v>19950</v>
      </c>
      <c r="D516" s="23">
        <f t="shared" si="91"/>
        <v>6330</v>
      </c>
      <c r="E516" s="23">
        <f t="shared" si="91"/>
        <v>19260</v>
      </c>
    </row>
    <row r="517">
      <c r="A517" s="22" t="s">
        <v>95</v>
      </c>
      <c r="B517" s="24">
        <v>8.0</v>
      </c>
      <c r="C517" s="24">
        <v>18.0</v>
      </c>
      <c r="D517" s="24">
        <v>23.0</v>
      </c>
      <c r="E517" s="24">
        <v>21.0</v>
      </c>
    </row>
    <row r="518">
      <c r="A518" s="22" t="s">
        <v>96</v>
      </c>
      <c r="B518" s="24">
        <v>7.0</v>
      </c>
      <c r="C518" s="24">
        <v>4.0</v>
      </c>
      <c r="D518" s="24">
        <v>3.0</v>
      </c>
      <c r="E518" s="24">
        <v>10.0</v>
      </c>
    </row>
    <row r="519">
      <c r="A519" s="22" t="s">
        <v>111</v>
      </c>
      <c r="B519" s="24"/>
      <c r="C519" s="24"/>
      <c r="D519" s="24"/>
      <c r="E519" s="24"/>
    </row>
    <row r="520">
      <c r="A520" s="22" t="s">
        <v>98</v>
      </c>
      <c r="B520" s="24">
        <v>7.0</v>
      </c>
      <c r="C520" s="24">
        <v>5.0</v>
      </c>
      <c r="D520" s="24">
        <v>5.0</v>
      </c>
      <c r="E520" s="24">
        <v>4.0</v>
      </c>
    </row>
    <row r="521">
      <c r="A521" s="22" t="s">
        <v>112</v>
      </c>
      <c r="B521" s="26">
        <f t="shared" ref="B521:E521" si="92">round(((B516/B515)*100),2)</f>
        <v>86.49</v>
      </c>
      <c r="C521" s="26">
        <f t="shared" si="92"/>
        <v>88.96</v>
      </c>
      <c r="D521" s="26">
        <f t="shared" si="92"/>
        <v>86.42</v>
      </c>
      <c r="E521" s="26">
        <f t="shared" si="92"/>
        <v>85</v>
      </c>
    </row>
    <row r="522">
      <c r="A522" s="22" t="s">
        <v>100</v>
      </c>
      <c r="B522" s="24">
        <v>648.0</v>
      </c>
      <c r="C522" s="24">
        <v>665.0</v>
      </c>
      <c r="D522" s="24">
        <v>211.0</v>
      </c>
      <c r="E522" s="24">
        <v>642.0</v>
      </c>
    </row>
    <row r="523">
      <c r="A523" s="24" t="s">
        <v>1159</v>
      </c>
      <c r="B523" s="32" t="s">
        <v>984</v>
      </c>
      <c r="C523" s="32" t="s">
        <v>132</v>
      </c>
      <c r="D523" s="32" t="s">
        <v>1178</v>
      </c>
      <c r="E523" s="32" t="s">
        <v>983</v>
      </c>
    </row>
    <row r="524">
      <c r="A524" s="22" t="s">
        <v>178</v>
      </c>
      <c r="B524" s="24" t="s">
        <v>1265</v>
      </c>
      <c r="C524" s="24" t="s">
        <v>1232</v>
      </c>
      <c r="D524" s="18"/>
      <c r="E524" s="18"/>
    </row>
    <row r="525">
      <c r="A525" s="22" t="s">
        <v>103</v>
      </c>
      <c r="B525" s="24"/>
      <c r="D525" s="24" t="s">
        <v>1306</v>
      </c>
    </row>
    <row r="528">
      <c r="A528" s="19" t="s">
        <v>50</v>
      </c>
      <c r="B528" s="29">
        <v>46027.0</v>
      </c>
    </row>
    <row r="529">
      <c r="B529" s="21" t="s">
        <v>4</v>
      </c>
      <c r="C529" s="21" t="s">
        <v>5</v>
      </c>
      <c r="D529" s="21" t="s">
        <v>6</v>
      </c>
      <c r="E529" s="21" t="s">
        <v>7</v>
      </c>
    </row>
    <row r="530">
      <c r="A530" s="22" t="s">
        <v>91</v>
      </c>
      <c r="B530" s="24">
        <v>92.1</v>
      </c>
      <c r="C530" s="24">
        <v>90.7</v>
      </c>
      <c r="D530" s="24">
        <v>96.7</v>
      </c>
      <c r="E530" s="24">
        <v>94.5</v>
      </c>
    </row>
    <row r="531">
      <c r="A531" s="22" t="s">
        <v>92</v>
      </c>
      <c r="B531" s="24">
        <v>3.0</v>
      </c>
      <c r="C531" s="24">
        <v>6.0</v>
      </c>
      <c r="D531" s="24">
        <v>2.0</v>
      </c>
      <c r="E531" s="24">
        <v>4.0</v>
      </c>
    </row>
    <row r="532">
      <c r="A532" s="22" t="s">
        <v>93</v>
      </c>
      <c r="B532" s="24">
        <f t="shared" ref="B532:E532" si="93">B515-B531</f>
        <v>22473</v>
      </c>
      <c r="C532" s="24">
        <f t="shared" si="93"/>
        <v>22419</v>
      </c>
      <c r="D532" s="24">
        <f t="shared" si="93"/>
        <v>7323</v>
      </c>
      <c r="E532" s="24">
        <f t="shared" si="93"/>
        <v>22654</v>
      </c>
    </row>
    <row r="533">
      <c r="A533" s="22" t="s">
        <v>94</v>
      </c>
      <c r="B533" s="23">
        <f t="shared" ref="B533:E533" si="94">B539*30</f>
        <v>19530</v>
      </c>
      <c r="C533" s="23">
        <f t="shared" si="94"/>
        <v>19890</v>
      </c>
      <c r="D533" s="23">
        <f t="shared" si="94"/>
        <v>6300</v>
      </c>
      <c r="E533" s="23">
        <f t="shared" si="94"/>
        <v>19350</v>
      </c>
    </row>
    <row r="534">
      <c r="A534" s="22" t="s">
        <v>95</v>
      </c>
      <c r="B534" s="24">
        <v>29.0</v>
      </c>
      <c r="C534" s="24">
        <v>30.0</v>
      </c>
      <c r="D534" s="24">
        <v>14.0</v>
      </c>
      <c r="E534" s="24">
        <v>11.0</v>
      </c>
    </row>
    <row r="535">
      <c r="A535" s="22" t="s">
        <v>96</v>
      </c>
      <c r="B535" s="24">
        <v>12.0</v>
      </c>
      <c r="C535" s="24">
        <v>13.0</v>
      </c>
      <c r="D535" s="24">
        <v>4.0</v>
      </c>
      <c r="E535" s="24">
        <v>10.0</v>
      </c>
    </row>
    <row r="536">
      <c r="A536" s="22" t="s">
        <v>111</v>
      </c>
      <c r="B536" s="24"/>
      <c r="C536" s="24"/>
      <c r="D536" s="24"/>
      <c r="E536" s="24"/>
    </row>
    <row r="537">
      <c r="A537" s="22" t="s">
        <v>98</v>
      </c>
      <c r="B537" s="24">
        <v>5.0</v>
      </c>
      <c r="C537" s="24">
        <v>5.0</v>
      </c>
      <c r="D537" s="24">
        <v>3.0</v>
      </c>
      <c r="E537" s="24">
        <v>4.0</v>
      </c>
    </row>
    <row r="538">
      <c r="A538" s="22" t="s">
        <v>112</v>
      </c>
      <c r="B538" s="26">
        <f t="shared" ref="B538:E538" si="95">round(((B533/B532)*100),2)</f>
        <v>86.9</v>
      </c>
      <c r="C538" s="26">
        <f t="shared" si="95"/>
        <v>88.72</v>
      </c>
      <c r="D538" s="26">
        <f t="shared" si="95"/>
        <v>86.03</v>
      </c>
      <c r="E538" s="26">
        <f t="shared" si="95"/>
        <v>85.42</v>
      </c>
    </row>
    <row r="539">
      <c r="A539" s="22" t="s">
        <v>100</v>
      </c>
      <c r="B539" s="24">
        <v>651.0</v>
      </c>
      <c r="C539" s="24">
        <v>663.0</v>
      </c>
      <c r="D539" s="24">
        <v>210.0</v>
      </c>
      <c r="E539" s="24">
        <v>645.0</v>
      </c>
    </row>
    <row r="540">
      <c r="A540" s="24" t="s">
        <v>1159</v>
      </c>
      <c r="B540" s="32" t="s">
        <v>984</v>
      </c>
      <c r="C540" s="32" t="s">
        <v>132</v>
      </c>
      <c r="D540" s="32" t="s">
        <v>1178</v>
      </c>
      <c r="E540" s="32" t="s">
        <v>983</v>
      </c>
    </row>
    <row r="541">
      <c r="A541" s="22" t="s">
        <v>178</v>
      </c>
      <c r="B541" s="24" t="s">
        <v>1307</v>
      </c>
      <c r="C541" s="24" t="s">
        <v>1244</v>
      </c>
      <c r="D541" s="18"/>
      <c r="E541" s="18"/>
    </row>
    <row r="542">
      <c r="A542" s="22" t="s">
        <v>103</v>
      </c>
      <c r="B542" s="24" t="s">
        <v>1308</v>
      </c>
      <c r="D542" s="24" t="s">
        <v>1309</v>
      </c>
    </row>
    <row r="545">
      <c r="A545" s="19" t="s">
        <v>50</v>
      </c>
      <c r="B545" s="29">
        <v>46058.0</v>
      </c>
    </row>
    <row r="546">
      <c r="B546" s="21" t="s">
        <v>4</v>
      </c>
      <c r="C546" s="21" t="s">
        <v>5</v>
      </c>
      <c r="D546" s="21" t="s">
        <v>6</v>
      </c>
      <c r="E546" s="21" t="s">
        <v>7</v>
      </c>
    </row>
    <row r="547">
      <c r="A547" s="22" t="s">
        <v>91</v>
      </c>
      <c r="B547" s="24">
        <v>92.3</v>
      </c>
      <c r="C547" s="24">
        <v>91.1</v>
      </c>
      <c r="D547" s="24">
        <v>97.1</v>
      </c>
      <c r="E547" s="24">
        <v>94.6</v>
      </c>
    </row>
    <row r="548">
      <c r="A548" s="22" t="s">
        <v>92</v>
      </c>
      <c r="B548" s="24">
        <v>6.0</v>
      </c>
      <c r="C548" s="24">
        <v>4.0</v>
      </c>
      <c r="D548" s="24">
        <v>1.0</v>
      </c>
      <c r="E548" s="24">
        <v>3.0</v>
      </c>
    </row>
    <row r="549">
      <c r="A549" s="22" t="s">
        <v>93</v>
      </c>
      <c r="B549" s="24">
        <f t="shared" ref="B549:E549" si="96">B532-B548</f>
        <v>22467</v>
      </c>
      <c r="C549" s="24">
        <f t="shared" si="96"/>
        <v>22415</v>
      </c>
      <c r="D549" s="24">
        <f t="shared" si="96"/>
        <v>7322</v>
      </c>
      <c r="E549" s="24">
        <f t="shared" si="96"/>
        <v>22651</v>
      </c>
    </row>
    <row r="550">
      <c r="A550" s="22" t="s">
        <v>94</v>
      </c>
      <c r="B550" s="23">
        <f t="shared" ref="B550:E550" si="97">B556*30</f>
        <v>19770</v>
      </c>
      <c r="C550" s="23">
        <f t="shared" si="97"/>
        <v>19860</v>
      </c>
      <c r="D550" s="23">
        <f t="shared" si="97"/>
        <v>6360</v>
      </c>
      <c r="E550" s="23">
        <f t="shared" si="97"/>
        <v>19710</v>
      </c>
    </row>
    <row r="551">
      <c r="A551" s="22" t="s">
        <v>95</v>
      </c>
      <c r="B551" s="24">
        <v>28.0</v>
      </c>
      <c r="C551" s="24">
        <v>17.0</v>
      </c>
      <c r="D551" s="24">
        <v>26.0</v>
      </c>
      <c r="E551" s="24">
        <v>12.0</v>
      </c>
    </row>
    <row r="552">
      <c r="A552" s="22" t="s">
        <v>96</v>
      </c>
      <c r="B552" s="24">
        <v>10.0</v>
      </c>
      <c r="C552" s="24">
        <v>6.0</v>
      </c>
      <c r="D552" s="24">
        <v>2.0</v>
      </c>
      <c r="E552" s="24">
        <v>4.0</v>
      </c>
    </row>
    <row r="553">
      <c r="A553" s="22" t="s">
        <v>111</v>
      </c>
      <c r="B553" s="24"/>
      <c r="C553" s="24"/>
      <c r="D553" s="24"/>
      <c r="E553" s="24"/>
    </row>
    <row r="554">
      <c r="A554" s="22" t="s">
        <v>98</v>
      </c>
      <c r="B554" s="24">
        <v>6.0</v>
      </c>
      <c r="C554" s="24">
        <v>6.0</v>
      </c>
      <c r="D554" s="24">
        <v>2.0</v>
      </c>
      <c r="E554" s="24">
        <v>3.0</v>
      </c>
    </row>
    <row r="555">
      <c r="A555" s="22" t="s">
        <v>112</v>
      </c>
      <c r="B555" s="26">
        <f t="shared" ref="B555:E555" si="98">round(((B550/B549)*100),2)</f>
        <v>88</v>
      </c>
      <c r="C555" s="26">
        <f t="shared" si="98"/>
        <v>88.6</v>
      </c>
      <c r="D555" s="26">
        <f t="shared" si="98"/>
        <v>86.86</v>
      </c>
      <c r="E555" s="26">
        <f t="shared" si="98"/>
        <v>87.02</v>
      </c>
    </row>
    <row r="556">
      <c r="A556" s="22" t="s">
        <v>100</v>
      </c>
      <c r="B556" s="24">
        <v>659.0</v>
      </c>
      <c r="C556" s="24">
        <v>662.0</v>
      </c>
      <c r="D556" s="24">
        <v>212.0</v>
      </c>
      <c r="E556" s="24">
        <v>657.0</v>
      </c>
    </row>
    <row r="557">
      <c r="A557" s="24" t="s">
        <v>1159</v>
      </c>
      <c r="B557" s="32" t="s">
        <v>984</v>
      </c>
      <c r="C557" s="32" t="s">
        <v>132</v>
      </c>
      <c r="D557" s="32" t="s">
        <v>1178</v>
      </c>
      <c r="E557" s="32" t="s">
        <v>983</v>
      </c>
    </row>
    <row r="558">
      <c r="A558" s="22" t="s">
        <v>178</v>
      </c>
      <c r="B558" s="24" t="s">
        <v>1310</v>
      </c>
      <c r="C558" s="24" t="s">
        <v>901</v>
      </c>
      <c r="D558" s="18"/>
      <c r="E558" s="18"/>
    </row>
    <row r="559">
      <c r="A559" s="22" t="s">
        <v>103</v>
      </c>
      <c r="B559" s="24" t="s">
        <v>1311</v>
      </c>
      <c r="D559" s="24" t="s">
        <v>1312</v>
      </c>
    </row>
    <row r="562">
      <c r="A562" s="19" t="s">
        <v>50</v>
      </c>
      <c r="B562" s="29">
        <v>46086.0</v>
      </c>
    </row>
    <row r="563">
      <c r="B563" s="21" t="s">
        <v>4</v>
      </c>
      <c r="C563" s="21" t="s">
        <v>5</v>
      </c>
      <c r="D563" s="21" t="s">
        <v>6</v>
      </c>
      <c r="E563" s="21" t="s">
        <v>7</v>
      </c>
    </row>
    <row r="564">
      <c r="A564" s="22" t="s">
        <v>91</v>
      </c>
      <c r="B564" s="24">
        <v>92.4</v>
      </c>
      <c r="C564" s="24">
        <v>91.2</v>
      </c>
      <c r="D564" s="24">
        <v>97.2</v>
      </c>
      <c r="E564" s="24">
        <v>94.7</v>
      </c>
    </row>
    <row r="565">
      <c r="A565" s="22" t="s">
        <v>92</v>
      </c>
      <c r="B565" s="24">
        <v>0.0</v>
      </c>
      <c r="C565" s="24">
        <v>2.0</v>
      </c>
      <c r="D565" s="24">
        <v>1.0</v>
      </c>
      <c r="E565" s="24">
        <v>5.0</v>
      </c>
    </row>
    <row r="566">
      <c r="A566" s="22" t="s">
        <v>93</v>
      </c>
      <c r="B566" s="24">
        <f t="shared" ref="B566:E566" si="99">B549-B565</f>
        <v>22467</v>
      </c>
      <c r="C566" s="24">
        <f t="shared" si="99"/>
        <v>22413</v>
      </c>
      <c r="D566" s="24">
        <f t="shared" si="99"/>
        <v>7321</v>
      </c>
      <c r="E566" s="24">
        <f t="shared" si="99"/>
        <v>22646</v>
      </c>
    </row>
    <row r="567">
      <c r="A567" s="22" t="s">
        <v>94</v>
      </c>
      <c r="B567" s="23">
        <f t="shared" ref="B567:E567" si="100">B573*30</f>
        <v>19650</v>
      </c>
      <c r="C567" s="23">
        <f t="shared" si="100"/>
        <v>20100</v>
      </c>
      <c r="D567" s="23">
        <f t="shared" si="100"/>
        <v>6420</v>
      </c>
      <c r="E567" s="23">
        <f t="shared" si="100"/>
        <v>19350</v>
      </c>
    </row>
    <row r="568">
      <c r="A568" s="22" t="s">
        <v>95</v>
      </c>
      <c r="B568" s="24">
        <v>26.0</v>
      </c>
      <c r="C568" s="24">
        <v>14.0</v>
      </c>
      <c r="D568" s="24">
        <v>19.0</v>
      </c>
      <c r="E568" s="24">
        <v>14.0</v>
      </c>
    </row>
    <row r="569">
      <c r="A569" s="22" t="s">
        <v>96</v>
      </c>
      <c r="B569" s="24">
        <v>9.0</v>
      </c>
      <c r="C569" s="24">
        <v>6.0</v>
      </c>
      <c r="D569" s="24">
        <v>2.0</v>
      </c>
      <c r="E569" s="24">
        <v>6.0</v>
      </c>
    </row>
    <row r="570">
      <c r="A570" s="22" t="s">
        <v>111</v>
      </c>
      <c r="B570" s="24"/>
      <c r="C570" s="24"/>
      <c r="D570" s="24"/>
      <c r="E570" s="24"/>
    </row>
    <row r="571">
      <c r="A571" s="22" t="s">
        <v>98</v>
      </c>
      <c r="B571" s="24">
        <v>4.0</v>
      </c>
      <c r="C571" s="24">
        <v>7.0</v>
      </c>
      <c r="D571" s="24">
        <v>4.0</v>
      </c>
      <c r="E571" s="24">
        <v>4.0</v>
      </c>
    </row>
    <row r="572">
      <c r="A572" s="22" t="s">
        <v>112</v>
      </c>
      <c r="B572" s="26">
        <f t="shared" ref="B572:E572" si="101">round(((B567/B566)*100),2)</f>
        <v>87.46</v>
      </c>
      <c r="C572" s="26">
        <f t="shared" si="101"/>
        <v>89.68</v>
      </c>
      <c r="D572" s="26">
        <f t="shared" si="101"/>
        <v>87.69</v>
      </c>
      <c r="E572" s="26">
        <f t="shared" si="101"/>
        <v>85.45</v>
      </c>
    </row>
    <row r="573">
      <c r="A573" s="22" t="s">
        <v>100</v>
      </c>
      <c r="B573" s="24">
        <v>655.0</v>
      </c>
      <c r="C573" s="24">
        <v>670.0</v>
      </c>
      <c r="D573" s="24">
        <v>214.0</v>
      </c>
      <c r="E573" s="24">
        <v>645.0</v>
      </c>
    </row>
    <row r="574">
      <c r="A574" s="24" t="s">
        <v>1159</v>
      </c>
      <c r="B574" s="32" t="s">
        <v>984</v>
      </c>
      <c r="C574" s="32" t="s">
        <v>132</v>
      </c>
      <c r="D574" s="32" t="s">
        <v>1178</v>
      </c>
      <c r="E574" s="32" t="s">
        <v>983</v>
      </c>
    </row>
    <row r="575">
      <c r="A575" s="22" t="s">
        <v>178</v>
      </c>
      <c r="B575" s="24" t="s">
        <v>1310</v>
      </c>
      <c r="C575" s="24" t="s">
        <v>1244</v>
      </c>
      <c r="D575" s="18"/>
      <c r="E575" s="18"/>
    </row>
    <row r="576">
      <c r="A576" s="22" t="s">
        <v>103</v>
      </c>
      <c r="B576" s="24" t="s">
        <v>1313</v>
      </c>
      <c r="D576" s="24" t="s">
        <v>1314</v>
      </c>
    </row>
    <row r="579">
      <c r="A579" s="19" t="s">
        <v>50</v>
      </c>
      <c r="B579" s="29">
        <v>46117.0</v>
      </c>
    </row>
    <row r="580">
      <c r="B580" s="21" t="s">
        <v>4</v>
      </c>
      <c r="C580" s="21" t="s">
        <v>5</v>
      </c>
      <c r="D580" s="21" t="s">
        <v>6</v>
      </c>
      <c r="E580" s="21" t="s">
        <v>7</v>
      </c>
    </row>
    <row r="581">
      <c r="A581" s="22" t="s">
        <v>91</v>
      </c>
      <c r="B581" s="24">
        <v>92.5</v>
      </c>
      <c r="C581" s="24">
        <v>91.3</v>
      </c>
      <c r="D581" s="24">
        <v>97.3</v>
      </c>
      <c r="E581" s="24">
        <v>95.1</v>
      </c>
    </row>
    <row r="582">
      <c r="A582" s="22" t="s">
        <v>92</v>
      </c>
      <c r="B582" s="24">
        <v>5.0</v>
      </c>
      <c r="C582" s="24">
        <v>3.0</v>
      </c>
      <c r="D582" s="24">
        <v>3.0</v>
      </c>
      <c r="E582" s="24">
        <v>10.0</v>
      </c>
    </row>
    <row r="583">
      <c r="A583" s="22" t="s">
        <v>93</v>
      </c>
      <c r="B583" s="24">
        <f t="shared" ref="B583:E583" si="102">B566-B582</f>
        <v>22462</v>
      </c>
      <c r="C583" s="24">
        <f t="shared" si="102"/>
        <v>22410</v>
      </c>
      <c r="D583" s="24">
        <f t="shared" si="102"/>
        <v>7318</v>
      </c>
      <c r="E583" s="24">
        <f t="shared" si="102"/>
        <v>22636</v>
      </c>
    </row>
    <row r="584">
      <c r="A584" s="22" t="s">
        <v>94</v>
      </c>
      <c r="B584" s="23">
        <f t="shared" ref="B584:E584" si="103">B590*30</f>
        <v>19710</v>
      </c>
      <c r="C584" s="23">
        <f t="shared" si="103"/>
        <v>19620</v>
      </c>
      <c r="D584" s="23">
        <f t="shared" si="103"/>
        <v>6420</v>
      </c>
      <c r="E584" s="23">
        <f t="shared" si="103"/>
        <v>19530</v>
      </c>
    </row>
    <row r="585">
      <c r="A585" s="22" t="s">
        <v>95</v>
      </c>
      <c r="B585" s="24">
        <v>28.0</v>
      </c>
      <c r="C585" s="24">
        <v>31.0</v>
      </c>
      <c r="D585" s="24">
        <v>15.0</v>
      </c>
      <c r="E585" s="24">
        <v>25.0</v>
      </c>
    </row>
    <row r="586">
      <c r="A586" s="22" t="s">
        <v>96</v>
      </c>
      <c r="B586" s="24">
        <v>9.0</v>
      </c>
      <c r="C586" s="24">
        <v>14.0</v>
      </c>
      <c r="D586" s="24">
        <v>1.0</v>
      </c>
      <c r="E586" s="24">
        <v>6.0</v>
      </c>
    </row>
    <row r="587">
      <c r="A587" s="22" t="s">
        <v>111</v>
      </c>
      <c r="B587" s="24">
        <v>90.0</v>
      </c>
      <c r="C587" s="24">
        <v>90.0</v>
      </c>
      <c r="D587" s="24">
        <v>30.0</v>
      </c>
      <c r="E587" s="24">
        <v>90.0</v>
      </c>
    </row>
    <row r="588">
      <c r="A588" s="22" t="s">
        <v>98</v>
      </c>
      <c r="B588" s="24">
        <v>7.0</v>
      </c>
      <c r="C588" s="24">
        <v>6.0</v>
      </c>
      <c r="D588" s="24">
        <v>3.0</v>
      </c>
      <c r="E588" s="24">
        <v>4.0</v>
      </c>
    </row>
    <row r="589">
      <c r="A589" s="22" t="s">
        <v>112</v>
      </c>
      <c r="B589" s="26">
        <f t="shared" ref="B589:E589" si="104">round(((B584/B583)*100),2)</f>
        <v>87.75</v>
      </c>
      <c r="C589" s="26">
        <f t="shared" si="104"/>
        <v>87.55</v>
      </c>
      <c r="D589" s="26">
        <f t="shared" si="104"/>
        <v>87.73</v>
      </c>
      <c r="E589" s="26">
        <f t="shared" si="104"/>
        <v>86.28</v>
      </c>
    </row>
    <row r="590">
      <c r="A590" s="22" t="s">
        <v>100</v>
      </c>
      <c r="B590" s="24">
        <v>657.0</v>
      </c>
      <c r="C590" s="24">
        <v>654.0</v>
      </c>
      <c r="D590" s="24">
        <v>214.0</v>
      </c>
      <c r="E590" s="24">
        <v>651.0</v>
      </c>
    </row>
    <row r="591">
      <c r="A591" s="24" t="s">
        <v>1159</v>
      </c>
      <c r="B591" s="32" t="s">
        <v>984</v>
      </c>
      <c r="C591" s="32" t="s">
        <v>132</v>
      </c>
      <c r="D591" s="32" t="s">
        <v>1178</v>
      </c>
      <c r="E591" s="32" t="s">
        <v>983</v>
      </c>
    </row>
    <row r="592">
      <c r="A592" s="22" t="s">
        <v>178</v>
      </c>
      <c r="B592" s="24" t="s">
        <v>1310</v>
      </c>
      <c r="C592" s="24" t="s">
        <v>901</v>
      </c>
      <c r="D592" s="18"/>
      <c r="E592" s="18"/>
    </row>
    <row r="593">
      <c r="A593" s="22" t="s">
        <v>103</v>
      </c>
      <c r="B593" s="24" t="s">
        <v>1315</v>
      </c>
      <c r="D593" s="24" t="s">
        <v>1316</v>
      </c>
    </row>
    <row r="596">
      <c r="A596" s="19" t="s">
        <v>50</v>
      </c>
      <c r="B596" s="29">
        <v>46147.0</v>
      </c>
    </row>
    <row r="597">
      <c r="B597" s="21" t="s">
        <v>4</v>
      </c>
      <c r="C597" s="21" t="s">
        <v>5</v>
      </c>
      <c r="D597" s="21" t="s">
        <v>6</v>
      </c>
      <c r="E597" s="21" t="s">
        <v>7</v>
      </c>
    </row>
    <row r="598">
      <c r="A598" s="22" t="s">
        <v>91</v>
      </c>
      <c r="B598" s="24">
        <v>92.6</v>
      </c>
      <c r="C598" s="24">
        <v>91.4</v>
      </c>
      <c r="D598" s="24">
        <v>97.4</v>
      </c>
      <c r="E598" s="24">
        <v>95.2</v>
      </c>
    </row>
    <row r="599">
      <c r="A599" s="22" t="s">
        <v>92</v>
      </c>
      <c r="B599" s="24">
        <v>2.0</v>
      </c>
      <c r="C599" s="24">
        <v>1.0</v>
      </c>
      <c r="D599" s="24">
        <v>0.0</v>
      </c>
      <c r="E599" s="24">
        <v>4.0</v>
      </c>
    </row>
    <row r="600">
      <c r="A600" s="22" t="s">
        <v>93</v>
      </c>
      <c r="B600" s="24">
        <f t="shared" ref="B600:E600" si="105">B583-B599</f>
        <v>22460</v>
      </c>
      <c r="C600" s="24">
        <f t="shared" si="105"/>
        <v>22409</v>
      </c>
      <c r="D600" s="24">
        <f t="shared" si="105"/>
        <v>7318</v>
      </c>
      <c r="E600" s="24">
        <f t="shared" si="105"/>
        <v>22632</v>
      </c>
    </row>
    <row r="601">
      <c r="A601" s="22" t="s">
        <v>94</v>
      </c>
      <c r="B601" s="23">
        <f t="shared" ref="B601:E601" si="106">B607*30</f>
        <v>19530</v>
      </c>
      <c r="C601" s="23">
        <f t="shared" si="106"/>
        <v>19710</v>
      </c>
      <c r="D601" s="23">
        <f t="shared" si="106"/>
        <v>6420</v>
      </c>
      <c r="E601" s="23">
        <f t="shared" si="106"/>
        <v>18930</v>
      </c>
    </row>
    <row r="602">
      <c r="A602" s="22" t="s">
        <v>95</v>
      </c>
      <c r="B602" s="24">
        <v>27.0</v>
      </c>
      <c r="C602" s="24">
        <v>16.0</v>
      </c>
      <c r="D602" s="24">
        <v>14.0</v>
      </c>
      <c r="E602" s="24">
        <v>21.0</v>
      </c>
    </row>
    <row r="603">
      <c r="A603" s="22" t="s">
        <v>96</v>
      </c>
      <c r="B603" s="24">
        <v>7.0</v>
      </c>
      <c r="C603" s="24">
        <v>6.0</v>
      </c>
      <c r="D603" s="24">
        <v>5.0</v>
      </c>
      <c r="E603" s="24">
        <v>8.0</v>
      </c>
    </row>
    <row r="604">
      <c r="A604" s="22" t="s">
        <v>111</v>
      </c>
      <c r="B604" s="24"/>
      <c r="C604" s="24"/>
      <c r="D604" s="24"/>
      <c r="E604" s="24"/>
    </row>
    <row r="605">
      <c r="A605" s="22" t="s">
        <v>98</v>
      </c>
      <c r="B605" s="24">
        <v>5.0</v>
      </c>
      <c r="C605" s="24">
        <v>5.0</v>
      </c>
      <c r="D605" s="24">
        <v>4.0</v>
      </c>
      <c r="E605" s="24">
        <v>4.0</v>
      </c>
    </row>
    <row r="606">
      <c r="A606" s="22" t="s">
        <v>112</v>
      </c>
      <c r="B606" s="26">
        <f t="shared" ref="B606:E606" si="107">round(((B601/B600)*100),2)</f>
        <v>86.95</v>
      </c>
      <c r="C606" s="26">
        <f t="shared" si="107"/>
        <v>87.96</v>
      </c>
      <c r="D606" s="26">
        <f t="shared" si="107"/>
        <v>87.73</v>
      </c>
      <c r="E606" s="26">
        <f t="shared" si="107"/>
        <v>83.64</v>
      </c>
    </row>
    <row r="607">
      <c r="A607" s="22" t="s">
        <v>100</v>
      </c>
      <c r="B607" s="24">
        <v>651.0</v>
      </c>
      <c r="C607" s="24">
        <v>657.0</v>
      </c>
      <c r="D607" s="24">
        <v>214.0</v>
      </c>
      <c r="E607" s="24">
        <v>631.0</v>
      </c>
    </row>
    <row r="608">
      <c r="A608" s="24" t="s">
        <v>1159</v>
      </c>
      <c r="B608" s="32" t="s">
        <v>984</v>
      </c>
      <c r="C608" s="32" t="s">
        <v>132</v>
      </c>
      <c r="D608" s="32" t="s">
        <v>1178</v>
      </c>
      <c r="E608" s="32" t="s">
        <v>983</v>
      </c>
    </row>
    <row r="609">
      <c r="A609" s="22" t="s">
        <v>178</v>
      </c>
      <c r="B609" s="24" t="s">
        <v>1317</v>
      </c>
      <c r="C609" s="24" t="s">
        <v>909</v>
      </c>
      <c r="D609" s="18"/>
      <c r="E609" s="18"/>
    </row>
    <row r="610">
      <c r="A610" s="22" t="s">
        <v>103</v>
      </c>
      <c r="B610" s="24"/>
      <c r="D610" s="24" t="s">
        <v>1318</v>
      </c>
    </row>
    <row r="613">
      <c r="A613" s="19" t="s">
        <v>50</v>
      </c>
      <c r="B613" s="29">
        <v>46178.0</v>
      </c>
    </row>
    <row r="614">
      <c r="B614" s="21" t="s">
        <v>4</v>
      </c>
      <c r="C614" s="21" t="s">
        <v>5</v>
      </c>
      <c r="D614" s="21" t="s">
        <v>6</v>
      </c>
      <c r="E614" s="21" t="s">
        <v>7</v>
      </c>
    </row>
    <row r="615">
      <c r="A615" s="22" t="s">
        <v>91</v>
      </c>
      <c r="B615" s="24">
        <v>92.7</v>
      </c>
      <c r="C615" s="24">
        <v>91.5</v>
      </c>
      <c r="D615" s="24">
        <v>97.5</v>
      </c>
      <c r="E615" s="24">
        <v>95.3</v>
      </c>
    </row>
    <row r="616">
      <c r="A616" s="22" t="s">
        <v>92</v>
      </c>
      <c r="B616" s="24">
        <v>7.0</v>
      </c>
      <c r="C616" s="24">
        <v>1.0</v>
      </c>
      <c r="D616" s="24">
        <v>1.0</v>
      </c>
      <c r="E616" s="24">
        <v>5.0</v>
      </c>
    </row>
    <row r="617">
      <c r="A617" s="22" t="s">
        <v>93</v>
      </c>
      <c r="B617" s="24">
        <f t="shared" ref="B617:E617" si="108">B600-B616</f>
        <v>22453</v>
      </c>
      <c r="C617" s="24">
        <f t="shared" si="108"/>
        <v>22408</v>
      </c>
      <c r="D617" s="24">
        <f t="shared" si="108"/>
        <v>7317</v>
      </c>
      <c r="E617" s="24">
        <f t="shared" si="108"/>
        <v>22627</v>
      </c>
    </row>
    <row r="618">
      <c r="A618" s="22" t="s">
        <v>94</v>
      </c>
      <c r="B618" s="23">
        <f t="shared" ref="B618:E618" si="109">B624*30</f>
        <v>19320</v>
      </c>
      <c r="C618" s="23">
        <f t="shared" si="109"/>
        <v>19260</v>
      </c>
      <c r="D618" s="23">
        <f t="shared" si="109"/>
        <v>6360</v>
      </c>
      <c r="E618" s="23">
        <f t="shared" si="109"/>
        <v>18900</v>
      </c>
    </row>
    <row r="619">
      <c r="A619" s="22" t="s">
        <v>95</v>
      </c>
      <c r="B619" s="24">
        <v>32.0</v>
      </c>
      <c r="C619" s="24">
        <v>38.0</v>
      </c>
      <c r="D619" s="24">
        <v>24.0</v>
      </c>
      <c r="E619" s="24">
        <v>18.0</v>
      </c>
    </row>
    <row r="620">
      <c r="A620" s="22" t="s">
        <v>96</v>
      </c>
      <c r="B620" s="24">
        <v>8.0</v>
      </c>
      <c r="C620" s="24">
        <v>14.0</v>
      </c>
      <c r="D620" s="24">
        <v>4.0</v>
      </c>
      <c r="E620" s="24">
        <v>1.0</v>
      </c>
    </row>
    <row r="621">
      <c r="A621" s="22" t="s">
        <v>111</v>
      </c>
      <c r="B621" s="24"/>
      <c r="C621" s="24"/>
      <c r="D621" s="24"/>
      <c r="E621" s="24"/>
    </row>
    <row r="622">
      <c r="A622" s="22" t="s">
        <v>98</v>
      </c>
      <c r="B622" s="24">
        <v>4.0</v>
      </c>
      <c r="C622" s="24">
        <v>4.0</v>
      </c>
      <c r="D622" s="24">
        <v>3.0</v>
      </c>
      <c r="E622" s="24">
        <v>3.0</v>
      </c>
    </row>
    <row r="623">
      <c r="A623" s="22" t="s">
        <v>112</v>
      </c>
      <c r="B623" s="26">
        <f t="shared" ref="B623:E623" si="110">round(((B618/B617)*100),2)</f>
        <v>86.05</v>
      </c>
      <c r="C623" s="26">
        <f t="shared" si="110"/>
        <v>85.95</v>
      </c>
      <c r="D623" s="26">
        <f t="shared" si="110"/>
        <v>86.92</v>
      </c>
      <c r="E623" s="26">
        <f t="shared" si="110"/>
        <v>83.53</v>
      </c>
    </row>
    <row r="624">
      <c r="A624" s="22" t="s">
        <v>100</v>
      </c>
      <c r="B624" s="24">
        <v>644.0</v>
      </c>
      <c r="C624" s="24">
        <v>642.0</v>
      </c>
      <c r="D624" s="24">
        <v>212.0</v>
      </c>
      <c r="E624" s="24">
        <v>630.0</v>
      </c>
    </row>
    <row r="625">
      <c r="A625" s="24" t="s">
        <v>1159</v>
      </c>
      <c r="B625" s="32" t="s">
        <v>984</v>
      </c>
      <c r="C625" s="32" t="s">
        <v>132</v>
      </c>
      <c r="D625" s="32" t="s">
        <v>1178</v>
      </c>
      <c r="E625" s="32" t="s">
        <v>983</v>
      </c>
    </row>
    <row r="626">
      <c r="A626" s="22" t="s">
        <v>178</v>
      </c>
      <c r="B626" s="24" t="s">
        <v>1317</v>
      </c>
      <c r="C626" s="24" t="s">
        <v>1226</v>
      </c>
      <c r="D626" s="18"/>
      <c r="E626" s="18"/>
    </row>
    <row r="627">
      <c r="A627" s="22" t="s">
        <v>103</v>
      </c>
      <c r="B627" s="24" t="s">
        <v>1319</v>
      </c>
      <c r="D627" s="24" t="s">
        <v>1320</v>
      </c>
    </row>
    <row r="630">
      <c r="A630" s="19" t="s">
        <v>50</v>
      </c>
      <c r="B630" s="29">
        <v>46208.0</v>
      </c>
    </row>
    <row r="631">
      <c r="B631" s="21" t="s">
        <v>4</v>
      </c>
      <c r="C631" s="21" t="s">
        <v>5</v>
      </c>
      <c r="D631" s="21" t="s">
        <v>6</v>
      </c>
      <c r="E631" s="21" t="s">
        <v>7</v>
      </c>
    </row>
    <row r="632">
      <c r="A632" s="22" t="s">
        <v>91</v>
      </c>
      <c r="B632" s="24">
        <v>93.1</v>
      </c>
      <c r="C632" s="24">
        <v>91.6</v>
      </c>
      <c r="D632" s="24">
        <v>97.6</v>
      </c>
      <c r="E632" s="24">
        <v>95.4</v>
      </c>
    </row>
    <row r="633">
      <c r="A633" s="22" t="s">
        <v>92</v>
      </c>
      <c r="B633" s="24">
        <v>3.0</v>
      </c>
      <c r="C633" s="24">
        <v>6.0</v>
      </c>
      <c r="D633" s="24">
        <v>1.0</v>
      </c>
      <c r="E633" s="24">
        <v>6.0</v>
      </c>
    </row>
    <row r="634">
      <c r="A634" s="22" t="s">
        <v>93</v>
      </c>
      <c r="B634" s="24">
        <f t="shared" ref="B634:E634" si="111">B617-B633</f>
        <v>22450</v>
      </c>
      <c r="C634" s="24">
        <f t="shared" si="111"/>
        <v>22402</v>
      </c>
      <c r="D634" s="24">
        <f t="shared" si="111"/>
        <v>7316</v>
      </c>
      <c r="E634" s="24">
        <f t="shared" si="111"/>
        <v>22621</v>
      </c>
    </row>
    <row r="635">
      <c r="A635" s="22" t="s">
        <v>94</v>
      </c>
      <c r="B635" s="23">
        <f t="shared" ref="B635:E635" si="112">B641*30</f>
        <v>19140</v>
      </c>
      <c r="C635" s="23">
        <f t="shared" si="112"/>
        <v>19380</v>
      </c>
      <c r="D635" s="23">
        <f t="shared" si="112"/>
        <v>6270</v>
      </c>
      <c r="E635" s="23">
        <f t="shared" si="112"/>
        <v>18900</v>
      </c>
    </row>
    <row r="636">
      <c r="A636" s="22" t="s">
        <v>95</v>
      </c>
      <c r="B636" s="24">
        <v>32.0</v>
      </c>
      <c r="C636" s="24">
        <v>20.0</v>
      </c>
      <c r="D636" s="24">
        <v>26.0</v>
      </c>
      <c r="E636" s="24">
        <v>28.0</v>
      </c>
    </row>
    <row r="637">
      <c r="A637" s="22" t="s">
        <v>96</v>
      </c>
      <c r="B637" s="24">
        <v>9.0</v>
      </c>
      <c r="C637" s="24">
        <v>9.0</v>
      </c>
      <c r="D637" s="24">
        <v>5.0</v>
      </c>
      <c r="E637" s="24">
        <v>4.0</v>
      </c>
    </row>
    <row r="638">
      <c r="A638" s="22" t="s">
        <v>111</v>
      </c>
      <c r="B638" s="24"/>
      <c r="C638" s="24"/>
      <c r="D638" s="24"/>
      <c r="E638" s="24"/>
    </row>
    <row r="639">
      <c r="A639" s="22" t="s">
        <v>98</v>
      </c>
      <c r="B639" s="24">
        <v>5.0</v>
      </c>
      <c r="C639" s="24">
        <v>3.0</v>
      </c>
      <c r="D639" s="24">
        <v>2.0</v>
      </c>
      <c r="E639" s="24">
        <v>3.0</v>
      </c>
    </row>
    <row r="640">
      <c r="A640" s="22" t="s">
        <v>112</v>
      </c>
      <c r="B640" s="26">
        <f t="shared" ref="B640:E640" si="113">round(((B635/B634)*100),2)</f>
        <v>85.26</v>
      </c>
      <c r="C640" s="26">
        <f t="shared" si="113"/>
        <v>86.51</v>
      </c>
      <c r="D640" s="26">
        <f t="shared" si="113"/>
        <v>85.7</v>
      </c>
      <c r="E640" s="26">
        <f t="shared" si="113"/>
        <v>83.55</v>
      </c>
    </row>
    <row r="641">
      <c r="A641" s="22" t="s">
        <v>100</v>
      </c>
      <c r="B641" s="24">
        <v>638.0</v>
      </c>
      <c r="C641" s="24">
        <v>646.0</v>
      </c>
      <c r="D641" s="24">
        <v>209.0</v>
      </c>
      <c r="E641" s="24">
        <v>630.0</v>
      </c>
    </row>
    <row r="642">
      <c r="A642" s="24" t="s">
        <v>1159</v>
      </c>
      <c r="B642" s="32" t="s">
        <v>984</v>
      </c>
      <c r="C642" s="32" t="s">
        <v>132</v>
      </c>
      <c r="D642" s="32" t="s">
        <v>1178</v>
      </c>
      <c r="E642" s="32" t="s">
        <v>983</v>
      </c>
    </row>
    <row r="643">
      <c r="A643" s="22" t="s">
        <v>178</v>
      </c>
      <c r="B643" s="24" t="s">
        <v>1321</v>
      </c>
      <c r="C643" s="24" t="s">
        <v>901</v>
      </c>
      <c r="D643" s="18"/>
      <c r="E643" s="18"/>
    </row>
    <row r="644">
      <c r="A644" s="22" t="s">
        <v>103</v>
      </c>
      <c r="B644" s="24" t="s">
        <v>1322</v>
      </c>
      <c r="D644" s="24" t="s">
        <v>1323</v>
      </c>
    </row>
    <row r="647">
      <c r="A647" s="19" t="s">
        <v>50</v>
      </c>
      <c r="B647" s="29">
        <v>46239.0</v>
      </c>
    </row>
    <row r="648">
      <c r="B648" s="21" t="s">
        <v>4</v>
      </c>
      <c r="C648" s="21" t="s">
        <v>5</v>
      </c>
      <c r="D648" s="21" t="s">
        <v>6</v>
      </c>
      <c r="E648" s="21" t="s">
        <v>7</v>
      </c>
    </row>
    <row r="649">
      <c r="A649" s="22" t="s">
        <v>91</v>
      </c>
      <c r="B649" s="24">
        <v>93.2</v>
      </c>
      <c r="C649" s="24">
        <v>91.7</v>
      </c>
      <c r="D649" s="24">
        <v>97.7</v>
      </c>
      <c r="E649" s="24">
        <v>95.5</v>
      </c>
    </row>
    <row r="650">
      <c r="A650" s="22" t="s">
        <v>92</v>
      </c>
      <c r="B650" s="24">
        <v>3.0</v>
      </c>
      <c r="C650" s="24">
        <v>5.0</v>
      </c>
      <c r="D650" s="24">
        <v>0.0</v>
      </c>
      <c r="E650" s="24">
        <v>4.0</v>
      </c>
    </row>
    <row r="651">
      <c r="A651" s="22" t="s">
        <v>93</v>
      </c>
      <c r="B651" s="24">
        <f t="shared" ref="B651:E651" si="114">B634-B650</f>
        <v>22447</v>
      </c>
      <c r="C651" s="24">
        <f t="shared" si="114"/>
        <v>22397</v>
      </c>
      <c r="D651" s="24">
        <f t="shared" si="114"/>
        <v>7316</v>
      </c>
      <c r="E651" s="24">
        <f t="shared" si="114"/>
        <v>22617</v>
      </c>
    </row>
    <row r="652">
      <c r="A652" s="22" t="s">
        <v>94</v>
      </c>
      <c r="B652" s="23">
        <f t="shared" ref="B652:E652" si="115">B658*30</f>
        <v>18990</v>
      </c>
      <c r="C652" s="23">
        <f t="shared" si="115"/>
        <v>19050</v>
      </c>
      <c r="D652" s="23">
        <f t="shared" si="115"/>
        <v>6240</v>
      </c>
      <c r="E652" s="23">
        <f t="shared" si="115"/>
        <v>19020</v>
      </c>
    </row>
    <row r="653">
      <c r="A653" s="22" t="s">
        <v>95</v>
      </c>
      <c r="B653" s="24">
        <v>27.0</v>
      </c>
      <c r="C653" s="24">
        <v>25.0</v>
      </c>
      <c r="D653" s="24">
        <v>26.0</v>
      </c>
      <c r="E653" s="24">
        <v>23.0</v>
      </c>
    </row>
    <row r="654">
      <c r="A654" s="22" t="s">
        <v>96</v>
      </c>
      <c r="B654" s="24">
        <v>10.0</v>
      </c>
      <c r="C654" s="24">
        <v>5.0</v>
      </c>
      <c r="D654" s="24">
        <v>4.0</v>
      </c>
      <c r="E654" s="24">
        <v>6.0</v>
      </c>
    </row>
    <row r="655">
      <c r="A655" s="22" t="s">
        <v>111</v>
      </c>
      <c r="B655" s="24"/>
      <c r="C655" s="24"/>
      <c r="D655" s="24"/>
      <c r="E655" s="24"/>
    </row>
    <row r="656">
      <c r="A656" s="22" t="s">
        <v>98</v>
      </c>
      <c r="B656" s="24">
        <v>4.0</v>
      </c>
      <c r="C656" s="24">
        <v>3.0</v>
      </c>
      <c r="D656" s="24">
        <v>2.0</v>
      </c>
      <c r="E656" s="24">
        <v>3.0</v>
      </c>
    </row>
    <row r="657">
      <c r="A657" s="22" t="s">
        <v>112</v>
      </c>
      <c r="B657" s="26">
        <f t="shared" ref="B657:E657" si="116">round(((B652/B651)*100),2)</f>
        <v>84.6</v>
      </c>
      <c r="C657" s="26">
        <f t="shared" si="116"/>
        <v>85.06</v>
      </c>
      <c r="D657" s="26">
        <f t="shared" si="116"/>
        <v>85.29</v>
      </c>
      <c r="E657" s="26">
        <f t="shared" si="116"/>
        <v>84.1</v>
      </c>
    </row>
    <row r="658">
      <c r="A658" s="22" t="s">
        <v>100</v>
      </c>
      <c r="B658" s="24">
        <v>633.0</v>
      </c>
      <c r="C658" s="24">
        <v>635.0</v>
      </c>
      <c r="D658" s="24">
        <v>208.0</v>
      </c>
      <c r="E658" s="24">
        <v>634.0</v>
      </c>
    </row>
    <row r="659">
      <c r="A659" s="24" t="s">
        <v>1159</v>
      </c>
      <c r="B659" s="32" t="s">
        <v>984</v>
      </c>
      <c r="C659" s="32" t="s">
        <v>132</v>
      </c>
      <c r="D659" s="32" t="s">
        <v>1178</v>
      </c>
      <c r="E659" s="32" t="s">
        <v>983</v>
      </c>
    </row>
    <row r="660">
      <c r="A660" s="22" t="s">
        <v>178</v>
      </c>
      <c r="B660" s="24" t="s">
        <v>1275</v>
      </c>
      <c r="C660" s="24" t="s">
        <v>909</v>
      </c>
      <c r="D660" s="18"/>
      <c r="E660" s="18"/>
    </row>
    <row r="661">
      <c r="A661" s="22" t="s">
        <v>103</v>
      </c>
      <c r="B661" s="24" t="s">
        <v>1324</v>
      </c>
      <c r="D661" s="24" t="s">
        <v>1325</v>
      </c>
    </row>
    <row r="664">
      <c r="A664" s="19" t="s">
        <v>50</v>
      </c>
      <c r="B664" s="29">
        <v>46270.0</v>
      </c>
    </row>
    <row r="665">
      <c r="B665" s="21" t="s">
        <v>4</v>
      </c>
      <c r="C665" s="21" t="s">
        <v>5</v>
      </c>
      <c r="D665" s="21" t="s">
        <v>6</v>
      </c>
      <c r="E665" s="21" t="s">
        <v>7</v>
      </c>
    </row>
    <row r="666">
      <c r="A666" s="22" t="s">
        <v>91</v>
      </c>
      <c r="B666" s="24">
        <v>93.3</v>
      </c>
      <c r="C666" s="24">
        <v>92.1</v>
      </c>
      <c r="D666" s="24">
        <v>98.1</v>
      </c>
      <c r="E666" s="24">
        <v>95.6</v>
      </c>
    </row>
    <row r="667">
      <c r="A667" s="22" t="s">
        <v>92</v>
      </c>
      <c r="B667" s="24">
        <v>5.0</v>
      </c>
      <c r="C667" s="24">
        <v>4.0</v>
      </c>
      <c r="D667" s="24">
        <v>2.0</v>
      </c>
      <c r="E667" s="24">
        <v>4.0</v>
      </c>
    </row>
    <row r="668">
      <c r="A668" s="22" t="s">
        <v>93</v>
      </c>
      <c r="B668" s="24">
        <f t="shared" ref="B668:E668" si="117">B651-B667</f>
        <v>22442</v>
      </c>
      <c r="C668" s="24">
        <f t="shared" si="117"/>
        <v>22393</v>
      </c>
      <c r="D668" s="24">
        <f t="shared" si="117"/>
        <v>7314</v>
      </c>
      <c r="E668" s="24">
        <f t="shared" si="117"/>
        <v>22613</v>
      </c>
    </row>
    <row r="669">
      <c r="A669" s="22" t="s">
        <v>94</v>
      </c>
      <c r="B669" s="23">
        <f t="shared" ref="B669:E669" si="118">B675*30</f>
        <v>19230</v>
      </c>
      <c r="C669" s="23">
        <f t="shared" si="118"/>
        <v>19260</v>
      </c>
      <c r="D669" s="23">
        <f t="shared" si="118"/>
        <v>6300</v>
      </c>
      <c r="E669" s="23">
        <f t="shared" si="118"/>
        <v>18870</v>
      </c>
    </row>
    <row r="670">
      <c r="A670" s="22" t="s">
        <v>95</v>
      </c>
      <c r="B670" s="24">
        <v>25.0</v>
      </c>
      <c r="C670" s="24">
        <v>28.0</v>
      </c>
      <c r="D670" s="24">
        <v>29.0</v>
      </c>
      <c r="E670" s="24">
        <v>13.0</v>
      </c>
    </row>
    <row r="671">
      <c r="A671" s="22" t="s">
        <v>96</v>
      </c>
      <c r="B671" s="24">
        <v>5.0</v>
      </c>
      <c r="C671" s="24">
        <v>5.0</v>
      </c>
      <c r="D671" s="24">
        <v>1.0</v>
      </c>
      <c r="E671" s="24">
        <v>4.0</v>
      </c>
    </row>
    <row r="672">
      <c r="A672" s="22" t="s">
        <v>111</v>
      </c>
      <c r="B672" s="24"/>
      <c r="C672" s="24"/>
      <c r="D672" s="24"/>
      <c r="E672" s="24"/>
    </row>
    <row r="673">
      <c r="A673" s="22" t="s">
        <v>98</v>
      </c>
      <c r="B673" s="24">
        <v>4.0</v>
      </c>
      <c r="C673" s="24">
        <v>3.0</v>
      </c>
      <c r="D673" s="24">
        <v>2.0</v>
      </c>
      <c r="E673" s="24">
        <v>3.0</v>
      </c>
    </row>
    <row r="674">
      <c r="A674" s="22" t="s">
        <v>112</v>
      </c>
      <c r="B674" s="26">
        <f t="shared" ref="B674:E674" si="119">round(((B669/B668)*100),2)</f>
        <v>85.69</v>
      </c>
      <c r="C674" s="26">
        <f t="shared" si="119"/>
        <v>86.01</v>
      </c>
      <c r="D674" s="26">
        <f t="shared" si="119"/>
        <v>86.14</v>
      </c>
      <c r="E674" s="26">
        <f t="shared" si="119"/>
        <v>83.45</v>
      </c>
    </row>
    <row r="675">
      <c r="A675" s="22" t="s">
        <v>100</v>
      </c>
      <c r="B675" s="24">
        <v>641.0</v>
      </c>
      <c r="C675" s="24">
        <v>642.0</v>
      </c>
      <c r="D675" s="24">
        <v>210.0</v>
      </c>
      <c r="E675" s="24">
        <v>629.0</v>
      </c>
    </row>
    <row r="676">
      <c r="A676" s="24" t="s">
        <v>1159</v>
      </c>
      <c r="B676" s="32" t="s">
        <v>984</v>
      </c>
      <c r="C676" s="32" t="s">
        <v>132</v>
      </c>
      <c r="D676" s="32" t="s">
        <v>1178</v>
      </c>
      <c r="E676" s="32" t="s">
        <v>983</v>
      </c>
    </row>
    <row r="677">
      <c r="A677" s="22" t="s">
        <v>178</v>
      </c>
      <c r="B677" s="24" t="s">
        <v>1326</v>
      </c>
      <c r="C677" s="24" t="s">
        <v>909</v>
      </c>
      <c r="D677" s="18"/>
      <c r="E677" s="18"/>
    </row>
    <row r="678">
      <c r="A678" s="22" t="s">
        <v>103</v>
      </c>
      <c r="B678" s="24" t="s">
        <v>1327</v>
      </c>
      <c r="D678" s="24" t="s">
        <v>1328</v>
      </c>
    </row>
    <row r="681">
      <c r="A681" s="19" t="s">
        <v>50</v>
      </c>
      <c r="B681" s="29">
        <v>46300.0</v>
      </c>
    </row>
    <row r="682">
      <c r="B682" s="21" t="s">
        <v>4</v>
      </c>
      <c r="C682" s="21" t="s">
        <v>5</v>
      </c>
      <c r="D682" s="21" t="s">
        <v>6</v>
      </c>
      <c r="E682" s="21" t="s">
        <v>7</v>
      </c>
    </row>
    <row r="683">
      <c r="A683" s="22" t="s">
        <v>91</v>
      </c>
      <c r="B683" s="24">
        <v>93.4</v>
      </c>
      <c r="C683" s="24">
        <v>92.2</v>
      </c>
      <c r="D683" s="24">
        <v>98.2</v>
      </c>
      <c r="E683" s="24">
        <v>95.7</v>
      </c>
    </row>
    <row r="684">
      <c r="A684" s="22" t="s">
        <v>92</v>
      </c>
      <c r="B684" s="24">
        <v>3.0</v>
      </c>
      <c r="C684" s="24">
        <v>3.0</v>
      </c>
      <c r="D684" s="24">
        <v>2.0</v>
      </c>
      <c r="E684" s="24">
        <v>3.0</v>
      </c>
    </row>
    <row r="685">
      <c r="A685" s="22" t="s">
        <v>93</v>
      </c>
      <c r="B685" s="24">
        <f t="shared" ref="B685:E685" si="120">B668-B684</f>
        <v>22439</v>
      </c>
      <c r="C685" s="24">
        <f t="shared" si="120"/>
        <v>22390</v>
      </c>
      <c r="D685" s="24">
        <f t="shared" si="120"/>
        <v>7312</v>
      </c>
      <c r="E685" s="24">
        <f t="shared" si="120"/>
        <v>22610</v>
      </c>
    </row>
    <row r="686">
      <c r="A686" s="22" t="s">
        <v>94</v>
      </c>
      <c r="B686" s="23">
        <f t="shared" ref="B686:E686" si="121">B692*30</f>
        <v>19260</v>
      </c>
      <c r="C686" s="23">
        <f t="shared" si="121"/>
        <v>19470</v>
      </c>
      <c r="D686" s="23">
        <f t="shared" si="121"/>
        <v>6360</v>
      </c>
      <c r="E686" s="23">
        <f t="shared" si="121"/>
        <v>18930</v>
      </c>
    </row>
    <row r="687">
      <c r="A687" s="22" t="s">
        <v>95</v>
      </c>
      <c r="B687" s="24">
        <v>23.0</v>
      </c>
      <c r="C687" s="24">
        <v>40.0</v>
      </c>
      <c r="D687" s="24">
        <v>28.0</v>
      </c>
      <c r="E687" s="24">
        <v>13.0</v>
      </c>
    </row>
    <row r="688">
      <c r="A688" s="22" t="s">
        <v>96</v>
      </c>
      <c r="B688" s="24">
        <v>5.0</v>
      </c>
      <c r="C688" s="24">
        <v>7.0</v>
      </c>
      <c r="D688" s="24">
        <v>1.0</v>
      </c>
      <c r="E688" s="24">
        <v>10.0</v>
      </c>
    </row>
    <row r="689">
      <c r="A689" s="22" t="s">
        <v>111</v>
      </c>
      <c r="B689" s="24"/>
      <c r="C689" s="24"/>
      <c r="D689" s="24"/>
      <c r="E689" s="24"/>
    </row>
    <row r="690">
      <c r="A690" s="22" t="s">
        <v>98</v>
      </c>
      <c r="B690" s="24">
        <v>3.0</v>
      </c>
      <c r="C690" s="24">
        <v>3.0</v>
      </c>
      <c r="D690" s="24">
        <v>2.0</v>
      </c>
      <c r="E690" s="24">
        <v>3.0</v>
      </c>
    </row>
    <row r="691">
      <c r="A691" s="22" t="s">
        <v>112</v>
      </c>
      <c r="B691" s="26">
        <f t="shared" ref="B691:E691" si="122">round(((B686/B685)*100),2)</f>
        <v>85.83</v>
      </c>
      <c r="C691" s="26">
        <f t="shared" si="122"/>
        <v>86.96</v>
      </c>
      <c r="D691" s="26">
        <f t="shared" si="122"/>
        <v>86.98</v>
      </c>
      <c r="E691" s="26">
        <f t="shared" si="122"/>
        <v>83.72</v>
      </c>
    </row>
    <row r="692">
      <c r="A692" s="22" t="s">
        <v>100</v>
      </c>
      <c r="B692" s="24">
        <v>642.0</v>
      </c>
      <c r="C692" s="24">
        <v>649.0</v>
      </c>
      <c r="D692" s="24">
        <v>212.0</v>
      </c>
      <c r="E692" s="24">
        <v>631.0</v>
      </c>
    </row>
    <row r="693">
      <c r="A693" s="24" t="s">
        <v>1159</v>
      </c>
      <c r="B693" s="32" t="s">
        <v>984</v>
      </c>
      <c r="C693" s="32" t="s">
        <v>132</v>
      </c>
      <c r="D693" s="32" t="s">
        <v>1178</v>
      </c>
      <c r="E693" s="32" t="s">
        <v>983</v>
      </c>
    </row>
    <row r="694">
      <c r="A694" s="22" t="s">
        <v>178</v>
      </c>
      <c r="B694" s="24" t="s">
        <v>1329</v>
      </c>
      <c r="C694" s="24" t="s">
        <v>1244</v>
      </c>
      <c r="D694" s="18"/>
      <c r="E694" s="18"/>
    </row>
    <row r="695">
      <c r="A695" s="22" t="s">
        <v>103</v>
      </c>
      <c r="B695" s="24" t="s">
        <v>1330</v>
      </c>
      <c r="D695" s="24" t="s">
        <v>1331</v>
      </c>
    </row>
    <row r="698">
      <c r="A698" s="19" t="s">
        <v>50</v>
      </c>
      <c r="B698" s="29">
        <v>46331.0</v>
      </c>
    </row>
    <row r="699">
      <c r="B699" s="21" t="s">
        <v>4</v>
      </c>
      <c r="C699" s="21" t="s">
        <v>5</v>
      </c>
      <c r="D699" s="21" t="s">
        <v>6</v>
      </c>
      <c r="E699" s="21" t="s">
        <v>7</v>
      </c>
    </row>
    <row r="700">
      <c r="A700" s="22" t="s">
        <v>91</v>
      </c>
      <c r="B700" s="24">
        <v>93.5</v>
      </c>
      <c r="C700" s="24">
        <v>92.3</v>
      </c>
      <c r="D700" s="24">
        <v>98.3</v>
      </c>
      <c r="E700" s="24">
        <v>96.1</v>
      </c>
    </row>
    <row r="701">
      <c r="A701" s="22" t="s">
        <v>92</v>
      </c>
      <c r="B701" s="24">
        <v>0.0</v>
      </c>
      <c r="C701" s="24">
        <v>6.0</v>
      </c>
      <c r="D701" s="24">
        <v>0.0</v>
      </c>
      <c r="E701" s="24">
        <v>4.0</v>
      </c>
    </row>
    <row r="702">
      <c r="A702" s="22" t="s">
        <v>93</v>
      </c>
      <c r="B702" s="24">
        <f t="shared" ref="B702:E702" si="123">B685-B701</f>
        <v>22439</v>
      </c>
      <c r="C702" s="24">
        <f t="shared" si="123"/>
        <v>22384</v>
      </c>
      <c r="D702" s="24">
        <f t="shared" si="123"/>
        <v>7312</v>
      </c>
      <c r="E702" s="24">
        <f t="shared" si="123"/>
        <v>22606</v>
      </c>
    </row>
    <row r="703">
      <c r="A703" s="22" t="s">
        <v>94</v>
      </c>
      <c r="B703" s="23">
        <f t="shared" ref="B703:E703" si="124">B709*30</f>
        <v>19470</v>
      </c>
      <c r="C703" s="23">
        <f t="shared" si="124"/>
        <v>19470</v>
      </c>
      <c r="D703" s="23">
        <f t="shared" si="124"/>
        <v>6330</v>
      </c>
      <c r="E703" s="23">
        <f t="shared" si="124"/>
        <v>19020</v>
      </c>
    </row>
    <row r="704">
      <c r="A704" s="22" t="s">
        <v>95</v>
      </c>
      <c r="B704" s="24">
        <v>26.0</v>
      </c>
      <c r="C704" s="24">
        <v>27.0</v>
      </c>
      <c r="D704" s="24">
        <v>27.0</v>
      </c>
      <c r="E704" s="24">
        <v>13.0</v>
      </c>
    </row>
    <row r="705">
      <c r="A705" s="22" t="s">
        <v>96</v>
      </c>
      <c r="B705" s="24">
        <v>6.0</v>
      </c>
      <c r="C705" s="24">
        <v>7.0</v>
      </c>
      <c r="D705" s="24">
        <v>3.0</v>
      </c>
      <c r="E705" s="24">
        <v>4.0</v>
      </c>
    </row>
    <row r="706">
      <c r="A706" s="22" t="s">
        <v>111</v>
      </c>
      <c r="B706" s="24">
        <v>90.0</v>
      </c>
      <c r="C706" s="24">
        <v>90.0</v>
      </c>
      <c r="D706" s="24">
        <v>30.0</v>
      </c>
      <c r="E706" s="24">
        <v>90.0</v>
      </c>
    </row>
    <row r="707">
      <c r="A707" s="22" t="s">
        <v>98</v>
      </c>
      <c r="B707" s="24">
        <v>4.0</v>
      </c>
      <c r="C707" s="24">
        <v>3.0</v>
      </c>
      <c r="D707" s="24">
        <v>2.0</v>
      </c>
      <c r="E707" s="24">
        <v>3.0</v>
      </c>
    </row>
    <row r="708">
      <c r="A708" s="22" t="s">
        <v>112</v>
      </c>
      <c r="B708" s="26">
        <f t="shared" ref="B708:E708" si="125">round(((B703/B702)*100),2)</f>
        <v>86.77</v>
      </c>
      <c r="C708" s="26">
        <f t="shared" si="125"/>
        <v>86.98</v>
      </c>
      <c r="D708" s="26">
        <f t="shared" si="125"/>
        <v>86.57</v>
      </c>
      <c r="E708" s="26">
        <f t="shared" si="125"/>
        <v>84.14</v>
      </c>
    </row>
    <row r="709">
      <c r="A709" s="22" t="s">
        <v>100</v>
      </c>
      <c r="B709" s="24">
        <v>649.0</v>
      </c>
      <c r="C709" s="24">
        <v>649.0</v>
      </c>
      <c r="D709" s="24">
        <v>211.0</v>
      </c>
      <c r="E709" s="24">
        <v>634.0</v>
      </c>
    </row>
    <row r="710">
      <c r="A710" s="24" t="s">
        <v>1159</v>
      </c>
      <c r="B710" s="32" t="s">
        <v>984</v>
      </c>
      <c r="C710" s="32" t="s">
        <v>132</v>
      </c>
      <c r="D710" s="32" t="s">
        <v>1178</v>
      </c>
      <c r="E710" s="32" t="s">
        <v>983</v>
      </c>
    </row>
    <row r="711">
      <c r="A711" s="22" t="s">
        <v>178</v>
      </c>
      <c r="B711" s="24" t="s">
        <v>1326</v>
      </c>
      <c r="C711" s="24" t="s">
        <v>1093</v>
      </c>
      <c r="D711" s="18"/>
      <c r="E711" s="18"/>
    </row>
    <row r="712">
      <c r="A712" s="22" t="s">
        <v>103</v>
      </c>
      <c r="B712" s="24" t="s">
        <v>1332</v>
      </c>
      <c r="D712" s="24" t="s">
        <v>1333</v>
      </c>
    </row>
    <row r="715">
      <c r="A715" s="19" t="s">
        <v>50</v>
      </c>
      <c r="B715" s="29">
        <v>46361.0</v>
      </c>
    </row>
    <row r="716">
      <c r="B716" s="21" t="s">
        <v>4</v>
      </c>
      <c r="C716" s="21" t="s">
        <v>5</v>
      </c>
      <c r="D716" s="21" t="s">
        <v>6</v>
      </c>
      <c r="E716" s="21" t="s">
        <v>7</v>
      </c>
    </row>
    <row r="717">
      <c r="A717" s="22" t="s">
        <v>91</v>
      </c>
      <c r="B717" s="24">
        <v>93.6</v>
      </c>
      <c r="C717" s="24">
        <v>92.4</v>
      </c>
      <c r="D717" s="24">
        <v>98.4</v>
      </c>
      <c r="E717" s="24">
        <v>96.2</v>
      </c>
    </row>
    <row r="718">
      <c r="A718" s="22" t="s">
        <v>92</v>
      </c>
      <c r="B718" s="24">
        <v>4.0</v>
      </c>
      <c r="C718" s="24">
        <v>5.0</v>
      </c>
      <c r="D718" s="24">
        <v>1.0</v>
      </c>
      <c r="E718" s="24">
        <v>13.0</v>
      </c>
    </row>
    <row r="719">
      <c r="A719" s="22" t="s">
        <v>93</v>
      </c>
      <c r="B719" s="24">
        <f t="shared" ref="B719:E719" si="126">B702-B718</f>
        <v>22435</v>
      </c>
      <c r="C719" s="24">
        <f t="shared" si="126"/>
        <v>22379</v>
      </c>
      <c r="D719" s="24">
        <f t="shared" si="126"/>
        <v>7311</v>
      </c>
      <c r="E719" s="24">
        <f t="shared" si="126"/>
        <v>22593</v>
      </c>
    </row>
    <row r="720">
      <c r="A720" s="22" t="s">
        <v>94</v>
      </c>
      <c r="B720" s="23">
        <f t="shared" ref="B720:E720" si="127">B726*30</f>
        <v>19320</v>
      </c>
      <c r="C720" s="23">
        <f t="shared" si="127"/>
        <v>19200</v>
      </c>
      <c r="D720" s="23">
        <f t="shared" si="127"/>
        <v>6330</v>
      </c>
      <c r="E720" s="23">
        <f t="shared" si="127"/>
        <v>18390</v>
      </c>
    </row>
    <row r="721">
      <c r="A721" s="22" t="s">
        <v>95</v>
      </c>
      <c r="B721" s="24">
        <v>28.0</v>
      </c>
      <c r="C721" s="24">
        <v>17.0</v>
      </c>
      <c r="D721" s="24">
        <v>28.0</v>
      </c>
      <c r="E721" s="24">
        <v>19.0</v>
      </c>
    </row>
    <row r="722">
      <c r="A722" s="22" t="s">
        <v>96</v>
      </c>
      <c r="B722" s="24">
        <v>6.0</v>
      </c>
      <c r="C722" s="24">
        <v>14.0</v>
      </c>
      <c r="D722" s="24">
        <v>2.0</v>
      </c>
      <c r="E722" s="24">
        <v>4.0</v>
      </c>
    </row>
    <row r="723">
      <c r="A723" s="22" t="s">
        <v>111</v>
      </c>
      <c r="B723" s="24"/>
      <c r="C723" s="24"/>
      <c r="D723" s="24"/>
      <c r="E723" s="24"/>
    </row>
    <row r="724">
      <c r="A724" s="22" t="s">
        <v>98</v>
      </c>
      <c r="B724" s="24">
        <v>4.0</v>
      </c>
      <c r="C724" s="24">
        <v>3.0</v>
      </c>
      <c r="D724" s="24">
        <v>3.0</v>
      </c>
      <c r="E724" s="24">
        <v>3.0</v>
      </c>
    </row>
    <row r="725">
      <c r="A725" s="22" t="s">
        <v>112</v>
      </c>
      <c r="B725" s="26">
        <f t="shared" ref="B725:E725" si="128">round(((B720/B719)*100),2)</f>
        <v>86.12</v>
      </c>
      <c r="C725" s="26">
        <f t="shared" si="128"/>
        <v>85.79</v>
      </c>
      <c r="D725" s="26">
        <f t="shared" si="128"/>
        <v>86.58</v>
      </c>
      <c r="E725" s="26">
        <f t="shared" si="128"/>
        <v>81.4</v>
      </c>
    </row>
    <row r="726">
      <c r="A726" s="22" t="s">
        <v>100</v>
      </c>
      <c r="B726" s="24">
        <v>644.0</v>
      </c>
      <c r="C726" s="24">
        <v>640.0</v>
      </c>
      <c r="D726" s="24">
        <v>211.0</v>
      </c>
      <c r="E726" s="24">
        <v>613.0</v>
      </c>
    </row>
    <row r="727">
      <c r="A727" s="24" t="s">
        <v>1159</v>
      </c>
      <c r="B727" s="32" t="s">
        <v>984</v>
      </c>
      <c r="C727" s="32" t="s">
        <v>132</v>
      </c>
      <c r="D727" s="32" t="s">
        <v>1178</v>
      </c>
      <c r="E727" s="32" t="s">
        <v>983</v>
      </c>
    </row>
    <row r="728">
      <c r="A728" s="22" t="s">
        <v>178</v>
      </c>
      <c r="B728" s="24" t="s">
        <v>1307</v>
      </c>
      <c r="C728" s="24" t="s">
        <v>1194</v>
      </c>
      <c r="D728" s="18"/>
      <c r="E728" s="18"/>
    </row>
    <row r="729">
      <c r="A729" s="22" t="s">
        <v>103</v>
      </c>
      <c r="B729" s="24" t="s">
        <v>1334</v>
      </c>
      <c r="D729" s="24" t="s">
        <v>1335</v>
      </c>
    </row>
    <row r="732">
      <c r="A732" s="19" t="s">
        <v>50</v>
      </c>
      <c r="B732" s="20" t="s">
        <v>1336</v>
      </c>
    </row>
    <row r="733">
      <c r="B733" s="21" t="s">
        <v>4</v>
      </c>
      <c r="C733" s="21" t="s">
        <v>5</v>
      </c>
      <c r="D733" s="21" t="s">
        <v>6</v>
      </c>
      <c r="E733" s="21" t="s">
        <v>7</v>
      </c>
    </row>
    <row r="734">
      <c r="A734" s="22" t="s">
        <v>91</v>
      </c>
      <c r="B734" s="24">
        <v>93.7</v>
      </c>
      <c r="C734" s="24">
        <v>92.5</v>
      </c>
      <c r="D734" s="24">
        <v>98.5</v>
      </c>
      <c r="E734" s="24">
        <v>96.3</v>
      </c>
    </row>
    <row r="735">
      <c r="A735" s="22" t="s">
        <v>92</v>
      </c>
      <c r="B735" s="24">
        <v>5.0</v>
      </c>
      <c r="C735" s="24">
        <v>3.0</v>
      </c>
      <c r="D735" s="24">
        <v>1.0</v>
      </c>
      <c r="E735" s="24">
        <v>10.0</v>
      </c>
    </row>
    <row r="736">
      <c r="A736" s="22" t="s">
        <v>93</v>
      </c>
      <c r="B736" s="24">
        <f t="shared" ref="B736:E736" si="129">B719-B735</f>
        <v>22430</v>
      </c>
      <c r="C736" s="24">
        <f t="shared" si="129"/>
        <v>22376</v>
      </c>
      <c r="D736" s="24">
        <f t="shared" si="129"/>
        <v>7310</v>
      </c>
      <c r="E736" s="24">
        <f t="shared" si="129"/>
        <v>22583</v>
      </c>
    </row>
    <row r="737">
      <c r="A737" s="22" t="s">
        <v>94</v>
      </c>
      <c r="B737" s="23">
        <f t="shared" ref="B737:E737" si="130">B743*30</f>
        <v>19200</v>
      </c>
      <c r="C737" s="23">
        <f t="shared" si="130"/>
        <v>19020</v>
      </c>
      <c r="D737" s="23">
        <f t="shared" si="130"/>
        <v>6300</v>
      </c>
      <c r="E737" s="23">
        <f t="shared" si="130"/>
        <v>18930</v>
      </c>
    </row>
    <row r="738">
      <c r="A738" s="22" t="s">
        <v>95</v>
      </c>
      <c r="B738" s="24">
        <v>25.0</v>
      </c>
      <c r="C738" s="24">
        <v>27.0</v>
      </c>
      <c r="D738" s="24">
        <v>25.0</v>
      </c>
      <c r="E738" s="24">
        <v>12.0</v>
      </c>
    </row>
    <row r="739">
      <c r="A739" s="22" t="s">
        <v>96</v>
      </c>
      <c r="B739" s="24">
        <v>11.0</v>
      </c>
      <c r="C739" s="24">
        <v>5.0</v>
      </c>
      <c r="D739" s="24">
        <v>4.0</v>
      </c>
      <c r="E739" s="24">
        <v>6.0</v>
      </c>
    </row>
    <row r="740">
      <c r="A740" s="22" t="s">
        <v>111</v>
      </c>
      <c r="B740" s="24"/>
      <c r="C740" s="24"/>
      <c r="D740" s="24"/>
      <c r="E740" s="24"/>
    </row>
    <row r="741">
      <c r="A741" s="22" t="s">
        <v>98</v>
      </c>
      <c r="B741" s="24">
        <v>4.0</v>
      </c>
      <c r="C741" s="24">
        <v>4.0</v>
      </c>
      <c r="D741" s="24">
        <v>2.0</v>
      </c>
      <c r="E741" s="24">
        <v>3.0</v>
      </c>
    </row>
    <row r="742">
      <c r="A742" s="22" t="s">
        <v>112</v>
      </c>
      <c r="B742" s="26">
        <f t="shared" ref="B742:E742" si="131">round(((B737/B736)*100),2)</f>
        <v>85.6</v>
      </c>
      <c r="C742" s="26">
        <f t="shared" si="131"/>
        <v>85</v>
      </c>
      <c r="D742" s="26">
        <f t="shared" si="131"/>
        <v>86.18</v>
      </c>
      <c r="E742" s="26">
        <f t="shared" si="131"/>
        <v>83.82</v>
      </c>
    </row>
    <row r="743">
      <c r="A743" s="22" t="s">
        <v>100</v>
      </c>
      <c r="B743" s="24">
        <v>640.0</v>
      </c>
      <c r="C743" s="24">
        <v>634.0</v>
      </c>
      <c r="D743" s="24">
        <v>210.0</v>
      </c>
      <c r="E743" s="24">
        <v>631.0</v>
      </c>
    </row>
    <row r="744">
      <c r="A744" s="24" t="s">
        <v>1159</v>
      </c>
      <c r="B744" s="32" t="s">
        <v>984</v>
      </c>
      <c r="C744" s="32" t="s">
        <v>132</v>
      </c>
      <c r="D744" s="32" t="s">
        <v>1178</v>
      </c>
      <c r="E744" s="32" t="s">
        <v>983</v>
      </c>
    </row>
    <row r="745">
      <c r="A745" s="22" t="s">
        <v>178</v>
      </c>
      <c r="B745" s="24" t="s">
        <v>1321</v>
      </c>
      <c r="C745" s="24" t="s">
        <v>909</v>
      </c>
      <c r="D745" s="18"/>
      <c r="E745" s="18"/>
    </row>
    <row r="746">
      <c r="A746" s="22" t="s">
        <v>103</v>
      </c>
      <c r="B746" s="24"/>
      <c r="D746" s="24" t="s">
        <v>1337</v>
      </c>
    </row>
    <row r="749">
      <c r="A749" s="19" t="s">
        <v>50</v>
      </c>
      <c r="B749" s="20" t="s">
        <v>1338</v>
      </c>
    </row>
    <row r="750">
      <c r="B750" s="21" t="s">
        <v>4</v>
      </c>
      <c r="C750" s="21" t="s">
        <v>5</v>
      </c>
      <c r="D750" s="21" t="s">
        <v>6</v>
      </c>
      <c r="E750" s="21" t="s">
        <v>7</v>
      </c>
    </row>
    <row r="751">
      <c r="A751" s="22" t="s">
        <v>91</v>
      </c>
      <c r="B751" s="24">
        <v>94.1</v>
      </c>
      <c r="C751" s="24">
        <v>92.6</v>
      </c>
      <c r="D751" s="24">
        <v>98.6</v>
      </c>
      <c r="E751" s="24">
        <v>96.4</v>
      </c>
    </row>
    <row r="752">
      <c r="A752" s="22" t="s">
        <v>92</v>
      </c>
      <c r="B752" s="24">
        <v>0.0</v>
      </c>
      <c r="C752" s="24">
        <v>7.0</v>
      </c>
      <c r="D752" s="24">
        <v>1.0</v>
      </c>
      <c r="E752" s="24">
        <v>2.0</v>
      </c>
    </row>
    <row r="753">
      <c r="A753" s="22" t="s">
        <v>93</v>
      </c>
      <c r="B753" s="24">
        <f t="shared" ref="B753:E753" si="132">B736-B752</f>
        <v>22430</v>
      </c>
      <c r="C753" s="24">
        <f t="shared" si="132"/>
        <v>22369</v>
      </c>
      <c r="D753" s="24">
        <f t="shared" si="132"/>
        <v>7309</v>
      </c>
      <c r="E753" s="24">
        <f t="shared" si="132"/>
        <v>22581</v>
      </c>
    </row>
    <row r="754">
      <c r="A754" s="22" t="s">
        <v>94</v>
      </c>
      <c r="B754" s="23">
        <f t="shared" ref="B754:E754" si="133">B760*30</f>
        <v>18900</v>
      </c>
      <c r="C754" s="23">
        <f t="shared" si="133"/>
        <v>18930</v>
      </c>
      <c r="D754" s="23">
        <f t="shared" si="133"/>
        <v>6150</v>
      </c>
      <c r="E754" s="23">
        <f t="shared" si="133"/>
        <v>18540</v>
      </c>
    </row>
    <row r="755">
      <c r="A755" s="22" t="s">
        <v>95</v>
      </c>
      <c r="B755" s="24">
        <v>18.0</v>
      </c>
      <c r="C755" s="24">
        <v>29.0</v>
      </c>
      <c r="D755" s="24">
        <v>20.0</v>
      </c>
      <c r="E755" s="24">
        <v>22.0</v>
      </c>
    </row>
    <row r="756">
      <c r="A756" s="22" t="s">
        <v>96</v>
      </c>
      <c r="B756" s="24">
        <v>12.0</v>
      </c>
      <c r="C756" s="24">
        <v>3.0</v>
      </c>
      <c r="D756" s="24">
        <v>4.0</v>
      </c>
      <c r="E756" s="24">
        <v>8.0</v>
      </c>
    </row>
    <row r="757">
      <c r="A757" s="22" t="s">
        <v>111</v>
      </c>
      <c r="B757" s="24"/>
      <c r="C757" s="24"/>
      <c r="D757" s="24"/>
      <c r="E757" s="24"/>
    </row>
    <row r="758">
      <c r="A758" s="22" t="s">
        <v>98</v>
      </c>
      <c r="B758" s="24">
        <v>5.0</v>
      </c>
      <c r="C758" s="24">
        <v>4.0</v>
      </c>
      <c r="D758" s="24">
        <v>2.0</v>
      </c>
      <c r="E758" s="24">
        <v>3.0</v>
      </c>
    </row>
    <row r="759">
      <c r="A759" s="22" t="s">
        <v>112</v>
      </c>
      <c r="B759" s="26">
        <f t="shared" ref="B759:E759" si="134">round(((B754/B753)*100),2)</f>
        <v>84.26</v>
      </c>
      <c r="C759" s="26">
        <f t="shared" si="134"/>
        <v>84.63</v>
      </c>
      <c r="D759" s="26">
        <f t="shared" si="134"/>
        <v>84.14</v>
      </c>
      <c r="E759" s="26">
        <f t="shared" si="134"/>
        <v>82.1</v>
      </c>
    </row>
    <row r="760">
      <c r="A760" s="22" t="s">
        <v>100</v>
      </c>
      <c r="B760" s="24">
        <v>630.0</v>
      </c>
      <c r="C760" s="24">
        <v>631.0</v>
      </c>
      <c r="D760" s="24">
        <v>205.0</v>
      </c>
      <c r="E760" s="24">
        <v>618.0</v>
      </c>
    </row>
    <row r="761">
      <c r="A761" s="24" t="s">
        <v>1159</v>
      </c>
      <c r="B761" s="32" t="s">
        <v>984</v>
      </c>
      <c r="C761" s="32" t="s">
        <v>132</v>
      </c>
      <c r="D761" s="32" t="s">
        <v>1178</v>
      </c>
      <c r="E761" s="32" t="s">
        <v>983</v>
      </c>
    </row>
    <row r="762">
      <c r="A762" s="22" t="s">
        <v>178</v>
      </c>
      <c r="B762" s="24" t="s">
        <v>1297</v>
      </c>
      <c r="C762" s="24" t="s">
        <v>909</v>
      </c>
      <c r="D762" s="18"/>
      <c r="E762" s="18"/>
    </row>
    <row r="763">
      <c r="A763" s="22" t="s">
        <v>103</v>
      </c>
      <c r="B763" s="24" t="s">
        <v>1339</v>
      </c>
      <c r="D763" s="24" t="s">
        <v>1340</v>
      </c>
    </row>
    <row r="766">
      <c r="A766" s="19" t="s">
        <v>50</v>
      </c>
      <c r="B766" s="20" t="s">
        <v>1341</v>
      </c>
    </row>
    <row r="767">
      <c r="B767" s="21" t="s">
        <v>4</v>
      </c>
      <c r="C767" s="21" t="s">
        <v>5</v>
      </c>
      <c r="D767" s="21" t="s">
        <v>6</v>
      </c>
      <c r="E767" s="21" t="s">
        <v>7</v>
      </c>
    </row>
    <row r="768">
      <c r="A768" s="22" t="s">
        <v>91</v>
      </c>
      <c r="B768" s="24">
        <v>94.2</v>
      </c>
      <c r="C768" s="24">
        <v>92.7</v>
      </c>
      <c r="D768" s="24">
        <v>98.7</v>
      </c>
      <c r="E768" s="24">
        <v>96.5</v>
      </c>
    </row>
    <row r="769">
      <c r="A769" s="22" t="s">
        <v>92</v>
      </c>
      <c r="B769" s="24">
        <v>3.0</v>
      </c>
      <c r="C769" s="24">
        <v>2.0</v>
      </c>
      <c r="D769" s="24">
        <v>1.0</v>
      </c>
      <c r="E769" s="24">
        <v>6.0</v>
      </c>
    </row>
    <row r="770">
      <c r="A770" s="22" t="s">
        <v>93</v>
      </c>
      <c r="B770" s="24">
        <f t="shared" ref="B770:E770" si="135">B753-B769</f>
        <v>22427</v>
      </c>
      <c r="C770" s="24">
        <f t="shared" si="135"/>
        <v>22367</v>
      </c>
      <c r="D770" s="24">
        <f t="shared" si="135"/>
        <v>7308</v>
      </c>
      <c r="E770" s="24">
        <f t="shared" si="135"/>
        <v>22575</v>
      </c>
    </row>
    <row r="771">
      <c r="A771" s="22" t="s">
        <v>94</v>
      </c>
      <c r="B771" s="23">
        <f t="shared" ref="B771:E771" si="136">B777*30</f>
        <v>18990</v>
      </c>
      <c r="C771" s="23">
        <f t="shared" si="136"/>
        <v>18780</v>
      </c>
      <c r="D771" s="23">
        <f t="shared" si="136"/>
        <v>6180</v>
      </c>
      <c r="E771" s="23">
        <f t="shared" si="136"/>
        <v>18420</v>
      </c>
    </row>
    <row r="772">
      <c r="A772" s="22" t="s">
        <v>95</v>
      </c>
      <c r="B772" s="24">
        <v>32.0</v>
      </c>
      <c r="C772" s="24">
        <v>17.0</v>
      </c>
      <c r="D772" s="24">
        <v>24.0</v>
      </c>
      <c r="E772" s="24">
        <v>15.0</v>
      </c>
    </row>
    <row r="773">
      <c r="A773" s="22" t="s">
        <v>96</v>
      </c>
      <c r="B773" s="24">
        <v>6.0</v>
      </c>
      <c r="C773" s="24">
        <v>3.0</v>
      </c>
      <c r="D773" s="24">
        <v>5.0</v>
      </c>
      <c r="E773" s="24">
        <v>12.0</v>
      </c>
    </row>
    <row r="774">
      <c r="A774" s="22" t="s">
        <v>111</v>
      </c>
      <c r="B774" s="24"/>
      <c r="C774" s="24"/>
      <c r="D774" s="24"/>
      <c r="E774" s="24"/>
    </row>
    <row r="775">
      <c r="A775" s="22" t="s">
        <v>98</v>
      </c>
      <c r="B775" s="24">
        <v>3.0</v>
      </c>
      <c r="C775" s="24">
        <v>2.0</v>
      </c>
      <c r="D775" s="24">
        <v>2.0</v>
      </c>
      <c r="E775" s="24">
        <v>3.0</v>
      </c>
    </row>
    <row r="776">
      <c r="A776" s="22" t="s">
        <v>112</v>
      </c>
      <c r="B776" s="26">
        <f t="shared" ref="B776:E776" si="137">round(((B771/B770)*100),2)</f>
        <v>84.67</v>
      </c>
      <c r="C776" s="26">
        <f t="shared" si="137"/>
        <v>83.96</v>
      </c>
      <c r="D776" s="26">
        <f t="shared" si="137"/>
        <v>84.56</v>
      </c>
      <c r="E776" s="26">
        <f t="shared" si="137"/>
        <v>81.59</v>
      </c>
    </row>
    <row r="777">
      <c r="A777" s="22" t="s">
        <v>100</v>
      </c>
      <c r="B777" s="24">
        <v>633.0</v>
      </c>
      <c r="C777" s="24">
        <v>626.0</v>
      </c>
      <c r="D777" s="24">
        <v>206.0</v>
      </c>
      <c r="E777" s="24">
        <v>614.0</v>
      </c>
    </row>
    <row r="778">
      <c r="A778" s="24" t="s">
        <v>1159</v>
      </c>
      <c r="B778" s="32" t="s">
        <v>984</v>
      </c>
      <c r="C778" s="32" t="s">
        <v>132</v>
      </c>
      <c r="D778" s="32" t="s">
        <v>1178</v>
      </c>
      <c r="E778" s="32" t="s">
        <v>983</v>
      </c>
    </row>
    <row r="779">
      <c r="A779" s="22" t="s">
        <v>178</v>
      </c>
      <c r="B779" s="24" t="s">
        <v>1342</v>
      </c>
      <c r="C779" s="24" t="s">
        <v>1194</v>
      </c>
      <c r="D779" s="18"/>
      <c r="E779" s="18"/>
    </row>
    <row r="780">
      <c r="A780" s="22" t="s">
        <v>103</v>
      </c>
      <c r="B780" s="24" t="s">
        <v>1343</v>
      </c>
      <c r="D780" s="24" t="s">
        <v>1344</v>
      </c>
    </row>
    <row r="783">
      <c r="A783" s="19" t="s">
        <v>50</v>
      </c>
      <c r="B783" s="20" t="s">
        <v>1345</v>
      </c>
    </row>
    <row r="784">
      <c r="B784" s="21" t="s">
        <v>4</v>
      </c>
      <c r="C784" s="21" t="s">
        <v>5</v>
      </c>
      <c r="D784" s="21" t="s">
        <v>6</v>
      </c>
      <c r="E784" s="21" t="s">
        <v>7</v>
      </c>
    </row>
    <row r="785">
      <c r="A785" s="22" t="s">
        <v>91</v>
      </c>
      <c r="B785" s="24">
        <v>94.3</v>
      </c>
      <c r="C785" s="24">
        <v>93.1</v>
      </c>
      <c r="D785" s="24">
        <v>99.1</v>
      </c>
      <c r="E785" s="24">
        <v>96.6</v>
      </c>
    </row>
    <row r="786">
      <c r="A786" s="22" t="s">
        <v>92</v>
      </c>
      <c r="B786" s="24">
        <v>4.0</v>
      </c>
      <c r="C786" s="24">
        <v>0.0</v>
      </c>
      <c r="D786" s="24">
        <v>3.0</v>
      </c>
      <c r="E786" s="24">
        <v>8.0</v>
      </c>
    </row>
    <row r="787">
      <c r="A787" s="22" t="s">
        <v>93</v>
      </c>
      <c r="B787" s="24">
        <f t="shared" ref="B787:E787" si="138">B770-B786</f>
        <v>22423</v>
      </c>
      <c r="C787" s="24">
        <f t="shared" si="138"/>
        <v>22367</v>
      </c>
      <c r="D787" s="24">
        <f t="shared" si="138"/>
        <v>7305</v>
      </c>
      <c r="E787" s="24">
        <f t="shared" si="138"/>
        <v>22567</v>
      </c>
    </row>
    <row r="788">
      <c r="A788" s="22" t="s">
        <v>94</v>
      </c>
      <c r="B788" s="23">
        <f t="shared" ref="B788:E788" si="139">B794*30</f>
        <v>18510</v>
      </c>
      <c r="C788" s="23">
        <f t="shared" si="139"/>
        <v>18750</v>
      </c>
      <c r="D788" s="23">
        <f t="shared" si="139"/>
        <v>6120</v>
      </c>
      <c r="E788" s="23">
        <f t="shared" si="139"/>
        <v>18390</v>
      </c>
    </row>
    <row r="789">
      <c r="A789" s="22" t="s">
        <v>95</v>
      </c>
      <c r="B789" s="24">
        <v>40.0</v>
      </c>
      <c r="C789" s="24">
        <v>16.0</v>
      </c>
      <c r="D789" s="24">
        <v>35.0</v>
      </c>
      <c r="E789" s="24">
        <v>18.0</v>
      </c>
    </row>
    <row r="790">
      <c r="A790" s="22" t="s">
        <v>96</v>
      </c>
      <c r="B790" s="24">
        <v>7.0</v>
      </c>
      <c r="C790" s="24">
        <v>10.0</v>
      </c>
      <c r="D790" s="24">
        <v>2.0</v>
      </c>
      <c r="E790" s="24">
        <v>8.0</v>
      </c>
    </row>
    <row r="791">
      <c r="A791" s="22" t="s">
        <v>111</v>
      </c>
      <c r="B791" s="24"/>
      <c r="C791" s="24"/>
      <c r="D791" s="24"/>
      <c r="E791" s="24"/>
    </row>
    <row r="792">
      <c r="A792" s="22" t="s">
        <v>98</v>
      </c>
      <c r="B792" s="24">
        <v>4.0</v>
      </c>
      <c r="C792" s="24">
        <v>2.0</v>
      </c>
      <c r="D792" s="24">
        <v>2.0</v>
      </c>
      <c r="E792" s="24">
        <v>2.0</v>
      </c>
    </row>
    <row r="793">
      <c r="A793" s="22" t="s">
        <v>112</v>
      </c>
      <c r="B793" s="26">
        <f t="shared" ref="B793:E793" si="140">round(((B788/B787)*100),2)</f>
        <v>82.55</v>
      </c>
      <c r="C793" s="26">
        <f t="shared" si="140"/>
        <v>83.83</v>
      </c>
      <c r="D793" s="26">
        <f t="shared" si="140"/>
        <v>83.78</v>
      </c>
      <c r="E793" s="26">
        <f t="shared" si="140"/>
        <v>81.49</v>
      </c>
    </row>
    <row r="794">
      <c r="A794" s="22" t="s">
        <v>100</v>
      </c>
      <c r="B794" s="24">
        <v>617.0</v>
      </c>
      <c r="C794" s="24">
        <v>625.0</v>
      </c>
      <c r="D794" s="24">
        <v>204.0</v>
      </c>
      <c r="E794" s="24">
        <v>613.0</v>
      </c>
    </row>
    <row r="795">
      <c r="A795" s="24" t="s">
        <v>1159</v>
      </c>
      <c r="B795" s="32" t="s">
        <v>984</v>
      </c>
      <c r="C795" s="32" t="s">
        <v>132</v>
      </c>
      <c r="D795" s="32" t="s">
        <v>1178</v>
      </c>
      <c r="E795" s="32" t="s">
        <v>983</v>
      </c>
    </row>
    <row r="796">
      <c r="A796" s="22" t="s">
        <v>178</v>
      </c>
      <c r="B796" s="24" t="s">
        <v>1297</v>
      </c>
      <c r="C796" s="24" t="s">
        <v>1244</v>
      </c>
      <c r="D796" s="18"/>
      <c r="E796" s="18"/>
    </row>
    <row r="797">
      <c r="A797" s="22" t="s">
        <v>103</v>
      </c>
      <c r="B797" s="24"/>
      <c r="D797" s="24" t="s">
        <v>1346</v>
      </c>
    </row>
    <row r="800">
      <c r="A800" s="19" t="s">
        <v>50</v>
      </c>
      <c r="B800" s="20" t="s">
        <v>1347</v>
      </c>
    </row>
    <row r="801">
      <c r="B801" s="21" t="s">
        <v>4</v>
      </c>
      <c r="C801" s="21" t="s">
        <v>5</v>
      </c>
      <c r="D801" s="21" t="s">
        <v>6</v>
      </c>
      <c r="E801" s="21" t="s">
        <v>7</v>
      </c>
    </row>
    <row r="802">
      <c r="A802" s="22" t="s">
        <v>91</v>
      </c>
      <c r="B802" s="24">
        <v>94.4</v>
      </c>
      <c r="C802" s="24">
        <v>93.2</v>
      </c>
      <c r="D802" s="24">
        <v>99.2</v>
      </c>
      <c r="E802" s="24">
        <v>96.7</v>
      </c>
    </row>
    <row r="803">
      <c r="A803" s="22" t="s">
        <v>92</v>
      </c>
      <c r="B803" s="24">
        <v>5.0</v>
      </c>
      <c r="C803" s="24">
        <v>3.0</v>
      </c>
      <c r="D803" s="24">
        <v>2.0</v>
      </c>
      <c r="E803" s="24">
        <v>3.0</v>
      </c>
    </row>
    <row r="804">
      <c r="A804" s="22" t="s">
        <v>93</v>
      </c>
      <c r="B804" s="24">
        <f t="shared" ref="B804:E804" si="141">B787-B803</f>
        <v>22418</v>
      </c>
      <c r="C804" s="24">
        <f t="shared" si="141"/>
        <v>22364</v>
      </c>
      <c r="D804" s="24">
        <f t="shared" si="141"/>
        <v>7303</v>
      </c>
      <c r="E804" s="24">
        <f t="shared" si="141"/>
        <v>22564</v>
      </c>
    </row>
    <row r="805">
      <c r="A805" s="22" t="s">
        <v>94</v>
      </c>
      <c r="B805" s="23">
        <f t="shared" ref="B805:E805" si="142">B811*30</f>
        <v>18690</v>
      </c>
      <c r="C805" s="23">
        <f t="shared" si="142"/>
        <v>19020</v>
      </c>
      <c r="D805" s="23">
        <f t="shared" si="142"/>
        <v>6300</v>
      </c>
      <c r="E805" s="23">
        <f t="shared" si="142"/>
        <v>18690</v>
      </c>
    </row>
    <row r="806">
      <c r="A806" s="22" t="s">
        <v>95</v>
      </c>
      <c r="B806" s="24">
        <v>25.0</v>
      </c>
      <c r="C806" s="24">
        <v>32.0</v>
      </c>
      <c r="D806" s="24">
        <v>24.0</v>
      </c>
      <c r="E806" s="24">
        <v>12.0</v>
      </c>
    </row>
    <row r="807">
      <c r="A807" s="22" t="s">
        <v>96</v>
      </c>
      <c r="B807" s="24">
        <v>6.0</v>
      </c>
      <c r="C807" s="24">
        <v>6.0</v>
      </c>
      <c r="D807" s="24">
        <v>1.0</v>
      </c>
      <c r="E807" s="24">
        <v>1.0</v>
      </c>
    </row>
    <row r="808">
      <c r="A808" s="22" t="s">
        <v>111</v>
      </c>
      <c r="B808" s="24"/>
      <c r="C808" s="24"/>
      <c r="D808" s="24"/>
      <c r="E808" s="24"/>
    </row>
    <row r="809">
      <c r="A809" s="22" t="s">
        <v>98</v>
      </c>
      <c r="B809" s="24">
        <v>3.0</v>
      </c>
      <c r="C809" s="24">
        <v>2.0</v>
      </c>
      <c r="D809" s="24">
        <v>2.0</v>
      </c>
      <c r="E809" s="24">
        <v>2.0</v>
      </c>
    </row>
    <row r="810">
      <c r="A810" s="22" t="s">
        <v>112</v>
      </c>
      <c r="B810" s="26">
        <f t="shared" ref="B810:E810" si="143">round(((B805/B804)*100),2)</f>
        <v>83.37</v>
      </c>
      <c r="C810" s="26">
        <f t="shared" si="143"/>
        <v>85.05</v>
      </c>
      <c r="D810" s="26">
        <f t="shared" si="143"/>
        <v>86.27</v>
      </c>
      <c r="E810" s="26">
        <f t="shared" si="143"/>
        <v>82.83</v>
      </c>
    </row>
    <row r="811">
      <c r="A811" s="22" t="s">
        <v>100</v>
      </c>
      <c r="B811" s="24">
        <v>623.0</v>
      </c>
      <c r="C811" s="24">
        <v>634.0</v>
      </c>
      <c r="D811" s="24">
        <v>210.0</v>
      </c>
      <c r="E811" s="24">
        <v>623.0</v>
      </c>
    </row>
    <row r="812">
      <c r="A812" s="24" t="s">
        <v>1159</v>
      </c>
      <c r="B812" s="32" t="s">
        <v>984</v>
      </c>
      <c r="C812" s="32" t="s">
        <v>132</v>
      </c>
      <c r="D812" s="32" t="s">
        <v>1178</v>
      </c>
      <c r="E812" s="32" t="s">
        <v>983</v>
      </c>
    </row>
    <row r="813">
      <c r="A813" s="22" t="s">
        <v>178</v>
      </c>
      <c r="B813" s="24" t="s">
        <v>1342</v>
      </c>
      <c r="C813" s="24" t="s">
        <v>1194</v>
      </c>
      <c r="D813" s="18"/>
      <c r="E813" s="18"/>
    </row>
    <row r="814">
      <c r="A814" s="22" t="s">
        <v>103</v>
      </c>
      <c r="B814" s="24" t="s">
        <v>1348</v>
      </c>
      <c r="D814" s="24" t="s">
        <v>1349</v>
      </c>
    </row>
    <row r="817">
      <c r="A817" s="19" t="s">
        <v>50</v>
      </c>
      <c r="B817" s="20" t="s">
        <v>1350</v>
      </c>
    </row>
    <row r="818">
      <c r="B818" s="21" t="s">
        <v>4</v>
      </c>
      <c r="C818" s="21" t="s">
        <v>5</v>
      </c>
      <c r="D818" s="21" t="s">
        <v>6</v>
      </c>
      <c r="E818" s="21" t="s">
        <v>7</v>
      </c>
    </row>
    <row r="819">
      <c r="A819" s="22" t="s">
        <v>91</v>
      </c>
      <c r="B819" s="24">
        <v>94.5</v>
      </c>
      <c r="C819" s="24">
        <v>93.3</v>
      </c>
      <c r="D819" s="24">
        <v>99.3</v>
      </c>
      <c r="E819" s="24">
        <v>97.1</v>
      </c>
    </row>
    <row r="820">
      <c r="A820" s="22" t="s">
        <v>92</v>
      </c>
      <c r="B820" s="24">
        <v>4.0</v>
      </c>
      <c r="C820" s="24">
        <v>4.0</v>
      </c>
      <c r="D820" s="24">
        <v>2.0</v>
      </c>
      <c r="E820" s="24">
        <v>12.0</v>
      </c>
    </row>
    <row r="821">
      <c r="A821" s="22" t="s">
        <v>93</v>
      </c>
      <c r="B821" s="24">
        <f t="shared" ref="B821:E821" si="144">B804-B820</f>
        <v>22414</v>
      </c>
      <c r="C821" s="24">
        <f t="shared" si="144"/>
        <v>22360</v>
      </c>
      <c r="D821" s="24">
        <f t="shared" si="144"/>
        <v>7301</v>
      </c>
      <c r="E821" s="24">
        <f t="shared" si="144"/>
        <v>22552</v>
      </c>
    </row>
    <row r="822">
      <c r="A822" s="22" t="s">
        <v>94</v>
      </c>
      <c r="B822" s="23">
        <f t="shared" ref="B822:E822" si="145">B828*30</f>
        <v>19200</v>
      </c>
      <c r="C822" s="23">
        <f t="shared" si="145"/>
        <v>19530</v>
      </c>
      <c r="D822" s="23">
        <f t="shared" si="145"/>
        <v>6240</v>
      </c>
      <c r="E822" s="23">
        <f t="shared" si="145"/>
        <v>19350</v>
      </c>
    </row>
    <row r="823">
      <c r="A823" s="22" t="s">
        <v>95</v>
      </c>
      <c r="B823" s="24">
        <v>30.0</v>
      </c>
      <c r="C823" s="24">
        <v>20.0</v>
      </c>
      <c r="D823" s="24">
        <v>25.0</v>
      </c>
      <c r="E823" s="24">
        <v>8.0</v>
      </c>
    </row>
    <row r="824">
      <c r="A824" s="22" t="s">
        <v>96</v>
      </c>
      <c r="B824" s="24">
        <v>13.0</v>
      </c>
      <c r="C824" s="24">
        <v>6.0</v>
      </c>
      <c r="D824" s="24">
        <v>5.0</v>
      </c>
      <c r="E824" s="24">
        <v>2.0</v>
      </c>
    </row>
    <row r="825">
      <c r="A825" s="22" t="s">
        <v>111</v>
      </c>
      <c r="B825" s="24">
        <v>90.0</v>
      </c>
      <c r="C825" s="24">
        <v>90.0</v>
      </c>
      <c r="D825" s="24">
        <v>30.0</v>
      </c>
      <c r="E825" s="24">
        <v>90.0</v>
      </c>
    </row>
    <row r="826">
      <c r="A826" s="22" t="s">
        <v>98</v>
      </c>
      <c r="B826" s="24">
        <v>3.0</v>
      </c>
      <c r="C826" s="24">
        <v>2.0</v>
      </c>
      <c r="D826" s="24">
        <v>2.0</v>
      </c>
      <c r="E826" s="24">
        <v>3.0</v>
      </c>
    </row>
    <row r="827">
      <c r="A827" s="22" t="s">
        <v>112</v>
      </c>
      <c r="B827" s="26">
        <f t="shared" ref="B827:E827" si="146">round(((B822/B821)*100),2)</f>
        <v>85.66</v>
      </c>
      <c r="C827" s="26">
        <f t="shared" si="146"/>
        <v>87.34</v>
      </c>
      <c r="D827" s="26">
        <f t="shared" si="146"/>
        <v>85.47</v>
      </c>
      <c r="E827" s="26">
        <f t="shared" si="146"/>
        <v>85.8</v>
      </c>
    </row>
    <row r="828">
      <c r="A828" s="22" t="s">
        <v>100</v>
      </c>
      <c r="B828" s="24">
        <v>640.0</v>
      </c>
      <c r="C828" s="24">
        <v>651.0</v>
      </c>
      <c r="D828" s="24">
        <v>208.0</v>
      </c>
      <c r="E828" s="24">
        <v>645.0</v>
      </c>
    </row>
    <row r="829">
      <c r="A829" s="24" t="s">
        <v>1159</v>
      </c>
      <c r="B829" s="32" t="s">
        <v>984</v>
      </c>
      <c r="C829" s="32" t="s">
        <v>132</v>
      </c>
      <c r="D829" s="32" t="s">
        <v>1178</v>
      </c>
      <c r="E829" s="32" t="s">
        <v>983</v>
      </c>
    </row>
    <row r="830">
      <c r="A830" s="22" t="s">
        <v>178</v>
      </c>
      <c r="B830" s="24" t="s">
        <v>1138</v>
      </c>
      <c r="C830" s="24" t="s">
        <v>1129</v>
      </c>
      <c r="D830" s="18"/>
      <c r="E830" s="18"/>
    </row>
    <row r="831">
      <c r="A831" s="22" t="s">
        <v>103</v>
      </c>
      <c r="B831" s="24"/>
      <c r="D831" s="24" t="s">
        <v>1351</v>
      </c>
    </row>
    <row r="834">
      <c r="A834" s="19" t="s">
        <v>50</v>
      </c>
      <c r="B834" s="20" t="s">
        <v>1352</v>
      </c>
    </row>
    <row r="835">
      <c r="B835" s="21" t="s">
        <v>4</v>
      </c>
      <c r="C835" s="21" t="s">
        <v>5</v>
      </c>
      <c r="D835" s="21" t="s">
        <v>6</v>
      </c>
      <c r="E835" s="21" t="s">
        <v>7</v>
      </c>
    </row>
    <row r="836">
      <c r="A836" s="22" t="s">
        <v>91</v>
      </c>
      <c r="B836" s="24">
        <v>94.6</v>
      </c>
      <c r="C836" s="24">
        <v>93.4</v>
      </c>
      <c r="D836" s="24">
        <v>99.4</v>
      </c>
      <c r="E836" s="24">
        <v>97.2</v>
      </c>
    </row>
    <row r="837">
      <c r="A837" s="22" t="s">
        <v>92</v>
      </c>
      <c r="B837" s="24">
        <v>10.0</v>
      </c>
      <c r="C837" s="24">
        <v>3.0</v>
      </c>
      <c r="D837" s="24">
        <v>2.0</v>
      </c>
      <c r="E837" s="24">
        <v>9.0</v>
      </c>
    </row>
    <row r="838">
      <c r="A838" s="22" t="s">
        <v>93</v>
      </c>
      <c r="B838" s="24">
        <f t="shared" ref="B838:E838" si="147">B821-B837</f>
        <v>22404</v>
      </c>
      <c r="C838" s="24">
        <f t="shared" si="147"/>
        <v>22357</v>
      </c>
      <c r="D838" s="24">
        <f t="shared" si="147"/>
        <v>7299</v>
      </c>
      <c r="E838" s="24">
        <f t="shared" si="147"/>
        <v>22543</v>
      </c>
    </row>
    <row r="839">
      <c r="A839" s="22" t="s">
        <v>94</v>
      </c>
      <c r="B839" s="23">
        <f t="shared" ref="B839:E839" si="148">B845*30</f>
        <v>19500</v>
      </c>
      <c r="C839" s="23">
        <f t="shared" si="148"/>
        <v>19410</v>
      </c>
      <c r="D839" s="23">
        <f t="shared" si="148"/>
        <v>6270</v>
      </c>
      <c r="E839" s="23">
        <f t="shared" si="148"/>
        <v>19410</v>
      </c>
    </row>
    <row r="840">
      <c r="A840" s="22" t="s">
        <v>95</v>
      </c>
      <c r="B840" s="24">
        <v>30.0</v>
      </c>
      <c r="C840" s="24">
        <v>25.0</v>
      </c>
      <c r="D840" s="24">
        <v>25.0</v>
      </c>
      <c r="E840" s="24">
        <v>16.0</v>
      </c>
    </row>
    <row r="841">
      <c r="A841" s="22" t="s">
        <v>96</v>
      </c>
      <c r="B841" s="24">
        <v>9.0</v>
      </c>
      <c r="C841" s="24">
        <v>6.0</v>
      </c>
      <c r="D841" s="24">
        <v>5.0</v>
      </c>
      <c r="E841" s="24">
        <v>3.0</v>
      </c>
    </row>
    <row r="842">
      <c r="A842" s="22" t="s">
        <v>111</v>
      </c>
      <c r="B842" s="24"/>
      <c r="C842" s="24"/>
      <c r="D842" s="24"/>
      <c r="E842" s="24"/>
    </row>
    <row r="843">
      <c r="A843" s="22" t="s">
        <v>98</v>
      </c>
      <c r="B843" s="24">
        <v>4.0</v>
      </c>
      <c r="C843" s="24">
        <v>2.0</v>
      </c>
      <c r="D843" s="24">
        <v>2.0</v>
      </c>
      <c r="E843" s="24">
        <v>3.0</v>
      </c>
    </row>
    <row r="844">
      <c r="A844" s="22" t="s">
        <v>112</v>
      </c>
      <c r="B844" s="26">
        <f t="shared" ref="B844:E844" si="149">round(((B839/B838)*100),2)</f>
        <v>87.04</v>
      </c>
      <c r="C844" s="26">
        <f t="shared" si="149"/>
        <v>86.82</v>
      </c>
      <c r="D844" s="26">
        <f t="shared" si="149"/>
        <v>85.9</v>
      </c>
      <c r="E844" s="26">
        <f t="shared" si="149"/>
        <v>86.1</v>
      </c>
    </row>
    <row r="845">
      <c r="A845" s="22" t="s">
        <v>100</v>
      </c>
      <c r="B845" s="24">
        <v>650.0</v>
      </c>
      <c r="C845" s="24">
        <v>647.0</v>
      </c>
      <c r="D845" s="24">
        <v>209.0</v>
      </c>
      <c r="E845" s="24">
        <v>647.0</v>
      </c>
    </row>
    <row r="846">
      <c r="A846" s="24" t="s">
        <v>1159</v>
      </c>
      <c r="B846" s="32" t="s">
        <v>984</v>
      </c>
      <c r="C846" s="32" t="s">
        <v>132</v>
      </c>
      <c r="D846" s="32" t="s">
        <v>1178</v>
      </c>
      <c r="E846" s="32" t="s">
        <v>983</v>
      </c>
    </row>
    <row r="847">
      <c r="A847" s="22" t="s">
        <v>178</v>
      </c>
      <c r="B847" s="24" t="s">
        <v>1121</v>
      </c>
      <c r="C847" s="24" t="s">
        <v>1174</v>
      </c>
      <c r="D847" s="18"/>
      <c r="E847" s="18"/>
    </row>
    <row r="848">
      <c r="A848" s="22" t="s">
        <v>103</v>
      </c>
      <c r="B848" s="24" t="s">
        <v>1353</v>
      </c>
      <c r="D848" s="24" t="s">
        <v>1354</v>
      </c>
    </row>
    <row r="851">
      <c r="A851" s="19" t="s">
        <v>50</v>
      </c>
      <c r="B851" s="20" t="s">
        <v>1355</v>
      </c>
    </row>
    <row r="852">
      <c r="B852" s="21" t="s">
        <v>4</v>
      </c>
      <c r="C852" s="21" t="s">
        <v>5</v>
      </c>
      <c r="D852" s="21" t="s">
        <v>6</v>
      </c>
      <c r="E852" s="21" t="s">
        <v>7</v>
      </c>
    </row>
    <row r="853">
      <c r="A853" s="22" t="s">
        <v>91</v>
      </c>
      <c r="B853" s="24">
        <v>94.7</v>
      </c>
      <c r="C853" s="24">
        <v>93.5</v>
      </c>
      <c r="D853" s="24">
        <v>99.5</v>
      </c>
      <c r="E853" s="24">
        <v>97.3</v>
      </c>
    </row>
    <row r="854">
      <c r="A854" s="22" t="s">
        <v>92</v>
      </c>
      <c r="B854" s="24">
        <v>4.0</v>
      </c>
      <c r="C854" s="24">
        <v>3.0</v>
      </c>
      <c r="D854" s="24">
        <v>3.0</v>
      </c>
      <c r="E854" s="24">
        <v>5.0</v>
      </c>
    </row>
    <row r="855">
      <c r="A855" s="22" t="s">
        <v>93</v>
      </c>
      <c r="B855" s="24">
        <f t="shared" ref="B855:E855" si="150">B838-B854</f>
        <v>22400</v>
      </c>
      <c r="C855" s="24">
        <f t="shared" si="150"/>
        <v>22354</v>
      </c>
      <c r="D855" s="24">
        <f t="shared" si="150"/>
        <v>7296</v>
      </c>
      <c r="E855" s="24">
        <f t="shared" si="150"/>
        <v>22538</v>
      </c>
    </row>
    <row r="856">
      <c r="A856" s="22" t="s">
        <v>94</v>
      </c>
      <c r="B856" s="23">
        <f t="shared" ref="B856:E856" si="151">B862*30</f>
        <v>19380</v>
      </c>
      <c r="C856" s="23">
        <f t="shared" si="151"/>
        <v>19470</v>
      </c>
      <c r="D856" s="23">
        <f t="shared" si="151"/>
        <v>6240</v>
      </c>
      <c r="E856" s="23">
        <f t="shared" si="151"/>
        <v>19080</v>
      </c>
    </row>
    <row r="857">
      <c r="A857" s="22" t="s">
        <v>95</v>
      </c>
      <c r="B857" s="24">
        <v>38.0</v>
      </c>
      <c r="C857" s="24">
        <v>27.0</v>
      </c>
      <c r="D857" s="24">
        <v>22.0</v>
      </c>
      <c r="E857" s="24">
        <v>11.0</v>
      </c>
    </row>
    <row r="858">
      <c r="A858" s="22" t="s">
        <v>96</v>
      </c>
      <c r="B858" s="24">
        <v>6.0</v>
      </c>
      <c r="C858" s="24">
        <v>8.0</v>
      </c>
      <c r="D858" s="24">
        <v>3.0</v>
      </c>
      <c r="E858" s="24">
        <v>7.0</v>
      </c>
    </row>
    <row r="859">
      <c r="A859" s="22" t="s">
        <v>111</v>
      </c>
      <c r="B859" s="24"/>
      <c r="C859" s="24"/>
      <c r="D859" s="24"/>
      <c r="E859" s="24"/>
    </row>
    <row r="860">
      <c r="A860" s="22" t="s">
        <v>98</v>
      </c>
      <c r="B860" s="24">
        <v>5.0</v>
      </c>
      <c r="C860" s="24">
        <v>3.0</v>
      </c>
      <c r="D860" s="24">
        <v>2.0</v>
      </c>
      <c r="E860" s="24">
        <v>4.0</v>
      </c>
    </row>
    <row r="861">
      <c r="A861" s="22" t="s">
        <v>112</v>
      </c>
      <c r="B861" s="26">
        <f t="shared" ref="B861:E861" si="152">round(((B856/B855)*100),2)</f>
        <v>86.52</v>
      </c>
      <c r="C861" s="26">
        <f t="shared" si="152"/>
        <v>87.1</v>
      </c>
      <c r="D861" s="26">
        <f t="shared" si="152"/>
        <v>85.53</v>
      </c>
      <c r="E861" s="26">
        <f t="shared" si="152"/>
        <v>84.66</v>
      </c>
    </row>
    <row r="862">
      <c r="A862" s="22" t="s">
        <v>100</v>
      </c>
      <c r="B862" s="24">
        <v>646.0</v>
      </c>
      <c r="C862" s="24">
        <v>649.0</v>
      </c>
      <c r="D862" s="24">
        <v>208.0</v>
      </c>
      <c r="E862" s="24">
        <v>636.0</v>
      </c>
    </row>
    <row r="863">
      <c r="A863" s="24" t="s">
        <v>1159</v>
      </c>
      <c r="B863" s="32" t="s">
        <v>984</v>
      </c>
      <c r="C863" s="32" t="s">
        <v>132</v>
      </c>
      <c r="D863" s="32" t="s">
        <v>1178</v>
      </c>
      <c r="E863" s="32" t="s">
        <v>983</v>
      </c>
    </row>
    <row r="864">
      <c r="A864" s="22" t="s">
        <v>178</v>
      </c>
      <c r="B864" s="24" t="s">
        <v>1138</v>
      </c>
      <c r="C864" s="24" t="s">
        <v>1129</v>
      </c>
      <c r="D864" s="18"/>
      <c r="E864" s="18"/>
    </row>
    <row r="865">
      <c r="A865" s="22" t="s">
        <v>103</v>
      </c>
      <c r="B865" s="24" t="s">
        <v>1356</v>
      </c>
      <c r="D865" s="24" t="s">
        <v>1357</v>
      </c>
    </row>
    <row r="868">
      <c r="A868" s="19" t="s">
        <v>50</v>
      </c>
      <c r="B868" s="20" t="s">
        <v>1358</v>
      </c>
    </row>
    <row r="869">
      <c r="B869" s="21" t="s">
        <v>4</v>
      </c>
      <c r="C869" s="21" t="s">
        <v>5</v>
      </c>
      <c r="D869" s="21" t="s">
        <v>6</v>
      </c>
      <c r="E869" s="21" t="s">
        <v>7</v>
      </c>
    </row>
    <row r="870">
      <c r="A870" s="22" t="s">
        <v>91</v>
      </c>
      <c r="B870" s="24">
        <v>95.1</v>
      </c>
      <c r="C870" s="24">
        <v>93.6</v>
      </c>
      <c r="D870" s="24">
        <v>99.6</v>
      </c>
      <c r="E870" s="24">
        <v>97.4</v>
      </c>
    </row>
    <row r="871">
      <c r="A871" s="22" t="s">
        <v>92</v>
      </c>
      <c r="B871" s="24">
        <v>5.0</v>
      </c>
      <c r="C871" s="24">
        <v>6.0</v>
      </c>
      <c r="D871" s="24">
        <v>0.0</v>
      </c>
      <c r="E871" s="24">
        <v>3.0</v>
      </c>
    </row>
    <row r="872">
      <c r="A872" s="22" t="s">
        <v>93</v>
      </c>
      <c r="B872" s="24">
        <f t="shared" ref="B872:E872" si="153">B855-B871</f>
        <v>22395</v>
      </c>
      <c r="C872" s="24">
        <f t="shared" si="153"/>
        <v>22348</v>
      </c>
      <c r="D872" s="24">
        <f t="shared" si="153"/>
        <v>7296</v>
      </c>
      <c r="E872" s="24">
        <f t="shared" si="153"/>
        <v>22535</v>
      </c>
    </row>
    <row r="873">
      <c r="A873" s="22" t="s">
        <v>94</v>
      </c>
      <c r="B873" s="23">
        <f t="shared" ref="B873:E873" si="154">B879*30</f>
        <v>19500</v>
      </c>
      <c r="C873" s="23">
        <f t="shared" si="154"/>
        <v>19560</v>
      </c>
      <c r="D873" s="23">
        <f t="shared" si="154"/>
        <v>6090</v>
      </c>
      <c r="E873" s="23">
        <f t="shared" si="154"/>
        <v>19320</v>
      </c>
    </row>
    <row r="874">
      <c r="A874" s="22" t="s">
        <v>95</v>
      </c>
      <c r="B874" s="24">
        <v>28.0</v>
      </c>
      <c r="C874" s="24">
        <v>18.0</v>
      </c>
      <c r="D874" s="24">
        <v>23.0</v>
      </c>
      <c r="E874" s="24">
        <v>28.0</v>
      </c>
    </row>
    <row r="875">
      <c r="A875" s="22" t="s">
        <v>96</v>
      </c>
      <c r="B875" s="24">
        <v>8.0</v>
      </c>
      <c r="C875" s="24">
        <v>9.0</v>
      </c>
      <c r="D875" s="24">
        <v>2.0</v>
      </c>
      <c r="E875" s="24">
        <v>5.0</v>
      </c>
    </row>
    <row r="876">
      <c r="A876" s="22" t="s">
        <v>111</v>
      </c>
      <c r="B876" s="24"/>
      <c r="C876" s="24"/>
      <c r="D876" s="24"/>
      <c r="E876" s="24"/>
    </row>
    <row r="877">
      <c r="A877" s="22" t="s">
        <v>98</v>
      </c>
      <c r="B877" s="24">
        <v>7.0</v>
      </c>
      <c r="C877" s="24">
        <v>4.0</v>
      </c>
      <c r="D877" s="24">
        <v>2.0</v>
      </c>
      <c r="E877" s="24">
        <v>6.0</v>
      </c>
    </row>
    <row r="878">
      <c r="A878" s="22" t="s">
        <v>112</v>
      </c>
      <c r="B878" s="26">
        <f t="shared" ref="B878:E878" si="155">round(((B873/B872)*100),2)</f>
        <v>87.07</v>
      </c>
      <c r="C878" s="26">
        <f t="shared" si="155"/>
        <v>87.52</v>
      </c>
      <c r="D878" s="26">
        <f t="shared" si="155"/>
        <v>83.47</v>
      </c>
      <c r="E878" s="26">
        <f t="shared" si="155"/>
        <v>85.73</v>
      </c>
    </row>
    <row r="879">
      <c r="A879" s="22" t="s">
        <v>100</v>
      </c>
      <c r="B879" s="24">
        <v>650.0</v>
      </c>
      <c r="C879" s="24">
        <v>652.0</v>
      </c>
      <c r="D879" s="24">
        <v>203.0</v>
      </c>
      <c r="E879" s="24">
        <v>644.0</v>
      </c>
    </row>
    <row r="880">
      <c r="A880" s="24" t="s">
        <v>1159</v>
      </c>
      <c r="B880" s="32" t="s">
        <v>984</v>
      </c>
      <c r="C880" s="32" t="s">
        <v>132</v>
      </c>
      <c r="D880" s="32" t="s">
        <v>1178</v>
      </c>
      <c r="E880" s="32" t="s">
        <v>983</v>
      </c>
    </row>
    <row r="881">
      <c r="A881" s="22" t="s">
        <v>178</v>
      </c>
      <c r="B881" s="24" t="s">
        <v>1138</v>
      </c>
      <c r="C881" s="24" t="s">
        <v>1129</v>
      </c>
      <c r="D881" s="18"/>
      <c r="E881" s="18"/>
    </row>
    <row r="882">
      <c r="A882" s="22" t="s">
        <v>103</v>
      </c>
      <c r="B882" s="24"/>
      <c r="D882" s="24" t="s">
        <v>1359</v>
      </c>
    </row>
    <row r="885">
      <c r="A885" s="19" t="s">
        <v>50</v>
      </c>
      <c r="B885" s="20" t="s">
        <v>1360</v>
      </c>
    </row>
    <row r="886">
      <c r="B886" s="21" t="s">
        <v>4</v>
      </c>
      <c r="C886" s="21" t="s">
        <v>5</v>
      </c>
      <c r="D886" s="21" t="s">
        <v>6</v>
      </c>
      <c r="E886" s="21" t="s">
        <v>7</v>
      </c>
    </row>
    <row r="887">
      <c r="A887" s="22" t="s">
        <v>91</v>
      </c>
      <c r="B887" s="24">
        <v>95.2</v>
      </c>
      <c r="C887" s="24">
        <v>93.7</v>
      </c>
      <c r="D887" s="24">
        <v>99.7</v>
      </c>
      <c r="E887" s="24">
        <v>97.5</v>
      </c>
    </row>
    <row r="888">
      <c r="A888" s="22" t="s">
        <v>92</v>
      </c>
      <c r="B888" s="24">
        <v>2.0</v>
      </c>
      <c r="C888" s="24">
        <v>2.0</v>
      </c>
      <c r="D888" s="24">
        <v>0.0</v>
      </c>
      <c r="E888" s="24">
        <v>4.0</v>
      </c>
    </row>
    <row r="889">
      <c r="A889" s="22" t="s">
        <v>93</v>
      </c>
      <c r="B889" s="24">
        <f t="shared" ref="B889:E889" si="156">B872-B888</f>
        <v>22393</v>
      </c>
      <c r="C889" s="24">
        <f t="shared" si="156"/>
        <v>22346</v>
      </c>
      <c r="D889" s="24">
        <f t="shared" si="156"/>
        <v>7296</v>
      </c>
      <c r="E889" s="24">
        <f t="shared" si="156"/>
        <v>22531</v>
      </c>
    </row>
    <row r="890">
      <c r="A890" s="22" t="s">
        <v>94</v>
      </c>
      <c r="B890" s="23">
        <f t="shared" ref="B890:E890" si="157">B896*30</f>
        <v>19140</v>
      </c>
      <c r="C890" s="23">
        <f t="shared" si="157"/>
        <v>19020</v>
      </c>
      <c r="D890" s="23">
        <f t="shared" si="157"/>
        <v>6120</v>
      </c>
      <c r="E890" s="23">
        <f t="shared" si="157"/>
        <v>18810</v>
      </c>
    </row>
    <row r="891">
      <c r="A891" s="22" t="s">
        <v>95</v>
      </c>
      <c r="B891" s="24">
        <v>30.0</v>
      </c>
      <c r="C891" s="24">
        <v>29.0</v>
      </c>
      <c r="D891" s="24">
        <v>19.0</v>
      </c>
      <c r="E891" s="24">
        <v>26.0</v>
      </c>
    </row>
    <row r="892">
      <c r="A892" s="22" t="s">
        <v>96</v>
      </c>
      <c r="B892" s="24">
        <v>11.0</v>
      </c>
      <c r="C892" s="24">
        <v>5.0</v>
      </c>
      <c r="D892" s="24">
        <v>5.0</v>
      </c>
      <c r="E892" s="24">
        <v>7.0</v>
      </c>
    </row>
    <row r="893">
      <c r="A893" s="22" t="s">
        <v>111</v>
      </c>
      <c r="B893" s="24"/>
      <c r="C893" s="24"/>
      <c r="D893" s="24"/>
      <c r="E893" s="24"/>
    </row>
    <row r="894">
      <c r="A894" s="22" t="s">
        <v>98</v>
      </c>
      <c r="B894" s="24">
        <v>8.0</v>
      </c>
      <c r="C894" s="24">
        <v>5.0</v>
      </c>
      <c r="D894" s="24">
        <v>2.0</v>
      </c>
      <c r="E894" s="24">
        <v>5.0</v>
      </c>
    </row>
    <row r="895">
      <c r="A895" s="22" t="s">
        <v>112</v>
      </c>
      <c r="B895" s="26">
        <f t="shared" ref="B895:E895" si="158">round(((B890/B889)*100),2)</f>
        <v>85.47</v>
      </c>
      <c r="C895" s="26">
        <f t="shared" si="158"/>
        <v>85.12</v>
      </c>
      <c r="D895" s="26">
        <f t="shared" si="158"/>
        <v>83.88</v>
      </c>
      <c r="E895" s="26">
        <f t="shared" si="158"/>
        <v>83.48</v>
      </c>
    </row>
    <row r="896">
      <c r="A896" s="22" t="s">
        <v>100</v>
      </c>
      <c r="B896" s="24">
        <v>638.0</v>
      </c>
      <c r="C896" s="24">
        <v>634.0</v>
      </c>
      <c r="D896" s="24">
        <v>204.0</v>
      </c>
      <c r="E896" s="24">
        <v>627.0</v>
      </c>
    </row>
    <row r="897">
      <c r="A897" s="24" t="s">
        <v>1159</v>
      </c>
      <c r="B897" s="32" t="s">
        <v>984</v>
      </c>
      <c r="C897" s="32" t="s">
        <v>132</v>
      </c>
      <c r="D897" s="32" t="s">
        <v>1178</v>
      </c>
      <c r="E897" s="32" t="s">
        <v>983</v>
      </c>
    </row>
    <row r="898">
      <c r="A898" s="22" t="s">
        <v>178</v>
      </c>
      <c r="B898" s="24" t="s">
        <v>991</v>
      </c>
      <c r="C898" s="24" t="s">
        <v>1244</v>
      </c>
      <c r="D898" s="18"/>
      <c r="E898" s="18"/>
    </row>
    <row r="899">
      <c r="A899" s="22" t="s">
        <v>103</v>
      </c>
      <c r="B899" s="24" t="s">
        <v>1361</v>
      </c>
      <c r="D899" s="24" t="s">
        <v>1362</v>
      </c>
    </row>
    <row r="902">
      <c r="A902" s="19" t="s">
        <v>50</v>
      </c>
      <c r="B902" s="20" t="s">
        <v>1363</v>
      </c>
    </row>
    <row r="903">
      <c r="B903" s="21" t="s">
        <v>4</v>
      </c>
      <c r="C903" s="21" t="s">
        <v>5</v>
      </c>
      <c r="D903" s="21" t="s">
        <v>6</v>
      </c>
      <c r="E903" s="21" t="s">
        <v>7</v>
      </c>
    </row>
    <row r="904">
      <c r="A904" s="22" t="s">
        <v>91</v>
      </c>
      <c r="B904" s="24">
        <v>95.3</v>
      </c>
      <c r="C904" s="24">
        <v>94.1</v>
      </c>
      <c r="D904" s="24">
        <v>100.1</v>
      </c>
      <c r="E904" s="24">
        <v>97.6</v>
      </c>
    </row>
    <row r="905">
      <c r="A905" s="22" t="s">
        <v>92</v>
      </c>
      <c r="B905" s="24">
        <v>2.0</v>
      </c>
      <c r="C905" s="24">
        <v>3.0</v>
      </c>
      <c r="D905" s="24">
        <v>0.0</v>
      </c>
      <c r="E905" s="24">
        <v>4.0</v>
      </c>
    </row>
    <row r="906">
      <c r="A906" s="22" t="s">
        <v>93</v>
      </c>
      <c r="B906" s="24">
        <f t="shared" ref="B906:E906" si="159">B889-B905</f>
        <v>22391</v>
      </c>
      <c r="C906" s="24">
        <f t="shared" si="159"/>
        <v>22343</v>
      </c>
      <c r="D906" s="24">
        <f t="shared" si="159"/>
        <v>7296</v>
      </c>
      <c r="E906" s="24">
        <f t="shared" si="159"/>
        <v>22527</v>
      </c>
    </row>
    <row r="907">
      <c r="A907" s="22" t="s">
        <v>94</v>
      </c>
      <c r="B907" s="23">
        <f t="shared" ref="B907:E907" si="160">B913*30</f>
        <v>19140</v>
      </c>
      <c r="C907" s="23">
        <f t="shared" si="160"/>
        <v>18810</v>
      </c>
      <c r="D907" s="23">
        <f t="shared" si="160"/>
        <v>6150</v>
      </c>
      <c r="E907" s="23">
        <f t="shared" si="160"/>
        <v>18900</v>
      </c>
    </row>
    <row r="908">
      <c r="A908" s="22" t="s">
        <v>95</v>
      </c>
      <c r="B908" s="24">
        <v>31.0</v>
      </c>
      <c r="C908" s="24">
        <v>10.0</v>
      </c>
      <c r="D908" s="24">
        <v>25.0</v>
      </c>
      <c r="E908" s="24">
        <v>15.0</v>
      </c>
    </row>
    <row r="909">
      <c r="A909" s="22" t="s">
        <v>96</v>
      </c>
      <c r="B909" s="24">
        <v>18.0</v>
      </c>
      <c r="C909" s="24">
        <v>9.0</v>
      </c>
      <c r="D909" s="24">
        <v>5.0</v>
      </c>
      <c r="E909" s="24">
        <v>9.0</v>
      </c>
    </row>
    <row r="910">
      <c r="A910" s="22" t="s">
        <v>111</v>
      </c>
      <c r="B910" s="24"/>
      <c r="C910" s="24"/>
      <c r="D910" s="24"/>
      <c r="E910" s="24"/>
    </row>
    <row r="911">
      <c r="A911" s="22" t="s">
        <v>98</v>
      </c>
      <c r="B911" s="24">
        <v>10.0</v>
      </c>
      <c r="C911" s="24">
        <v>6.0</v>
      </c>
      <c r="D911" s="24">
        <v>2.0</v>
      </c>
      <c r="E911" s="24">
        <v>9.0</v>
      </c>
    </row>
    <row r="912">
      <c r="A912" s="22" t="s">
        <v>112</v>
      </c>
      <c r="B912" s="26">
        <f t="shared" ref="B912:E912" si="161">round(((B907/B906)*100),2)</f>
        <v>85.48</v>
      </c>
      <c r="C912" s="26">
        <f t="shared" si="161"/>
        <v>84.19</v>
      </c>
      <c r="D912" s="26">
        <f t="shared" si="161"/>
        <v>84.29</v>
      </c>
      <c r="E912" s="26">
        <f t="shared" si="161"/>
        <v>83.9</v>
      </c>
    </row>
    <row r="913">
      <c r="A913" s="22" t="s">
        <v>100</v>
      </c>
      <c r="B913" s="24">
        <v>638.0</v>
      </c>
      <c r="C913" s="24">
        <v>627.0</v>
      </c>
      <c r="D913" s="24">
        <v>205.0</v>
      </c>
      <c r="E913" s="24">
        <v>630.0</v>
      </c>
    </row>
    <row r="914">
      <c r="A914" s="24" t="s">
        <v>1159</v>
      </c>
      <c r="B914" s="32" t="s">
        <v>984</v>
      </c>
      <c r="C914" s="32" t="s">
        <v>132</v>
      </c>
      <c r="D914" s="32" t="s">
        <v>1178</v>
      </c>
      <c r="E914" s="32" t="s">
        <v>983</v>
      </c>
    </row>
    <row r="915">
      <c r="A915" s="22" t="s">
        <v>178</v>
      </c>
      <c r="B915" s="24" t="s">
        <v>1021</v>
      </c>
      <c r="C915" s="24" t="s">
        <v>909</v>
      </c>
      <c r="D915" s="18"/>
      <c r="E915" s="18"/>
    </row>
    <row r="916">
      <c r="A916" s="22" t="s">
        <v>103</v>
      </c>
      <c r="B916" s="24"/>
      <c r="D916" s="24" t="s">
        <v>1364</v>
      </c>
    </row>
    <row r="919">
      <c r="A919" s="19" t="s">
        <v>50</v>
      </c>
      <c r="B919" s="20" t="s">
        <v>1365</v>
      </c>
    </row>
    <row r="920">
      <c r="B920" s="21" t="s">
        <v>4</v>
      </c>
      <c r="C920" s="21" t="s">
        <v>5</v>
      </c>
      <c r="D920" s="21" t="s">
        <v>6</v>
      </c>
      <c r="E920" s="21" t="s">
        <v>7</v>
      </c>
    </row>
    <row r="921">
      <c r="A921" s="22" t="s">
        <v>91</v>
      </c>
      <c r="B921" s="24">
        <v>95.3</v>
      </c>
      <c r="C921" s="24">
        <v>94.2</v>
      </c>
      <c r="D921" s="24">
        <v>100.2</v>
      </c>
      <c r="E921" s="24">
        <v>97.7</v>
      </c>
    </row>
    <row r="922">
      <c r="A922" s="22" t="s">
        <v>92</v>
      </c>
      <c r="B922" s="24">
        <v>3.0</v>
      </c>
      <c r="C922" s="24">
        <v>7.0</v>
      </c>
      <c r="D922" s="24">
        <v>0.0</v>
      </c>
      <c r="E922" s="24">
        <v>4.0</v>
      </c>
    </row>
    <row r="923">
      <c r="A923" s="22" t="s">
        <v>93</v>
      </c>
      <c r="B923" s="24">
        <f t="shared" ref="B923:E923" si="162">B906-B922</f>
        <v>22388</v>
      </c>
      <c r="C923" s="24">
        <f t="shared" si="162"/>
        <v>22336</v>
      </c>
      <c r="D923" s="24">
        <f t="shared" si="162"/>
        <v>7296</v>
      </c>
      <c r="E923" s="24">
        <f t="shared" si="162"/>
        <v>22523</v>
      </c>
    </row>
    <row r="924">
      <c r="A924" s="22" t="s">
        <v>94</v>
      </c>
      <c r="B924" s="23">
        <f t="shared" ref="B924:E924" si="163">B930*30</f>
        <v>18600</v>
      </c>
      <c r="C924" s="23">
        <f t="shared" si="163"/>
        <v>18600</v>
      </c>
      <c r="D924" s="23">
        <f t="shared" si="163"/>
        <v>6090</v>
      </c>
      <c r="E924" s="23">
        <f t="shared" si="163"/>
        <v>18420</v>
      </c>
    </row>
    <row r="925">
      <c r="A925" s="22" t="s">
        <v>95</v>
      </c>
      <c r="B925" s="24">
        <v>28.0</v>
      </c>
      <c r="C925" s="24">
        <v>26.0</v>
      </c>
      <c r="D925" s="24">
        <v>28.0</v>
      </c>
      <c r="E925" s="24">
        <v>12.0</v>
      </c>
    </row>
    <row r="926">
      <c r="A926" s="22" t="s">
        <v>96</v>
      </c>
      <c r="B926" s="24">
        <v>10.0</v>
      </c>
      <c r="C926" s="24">
        <v>5.0</v>
      </c>
      <c r="D926" s="24">
        <v>1.0</v>
      </c>
      <c r="E926" s="24">
        <v>4.0</v>
      </c>
    </row>
    <row r="927">
      <c r="A927" s="22" t="s">
        <v>111</v>
      </c>
      <c r="B927" s="24"/>
      <c r="C927" s="24"/>
      <c r="D927" s="24"/>
      <c r="E927" s="24"/>
    </row>
    <row r="928">
      <c r="A928" s="22" t="s">
        <v>98</v>
      </c>
      <c r="B928" s="24">
        <v>8.0</v>
      </c>
      <c r="C928" s="24">
        <v>4.0</v>
      </c>
      <c r="D928" s="24">
        <v>2.0</v>
      </c>
      <c r="E928" s="24">
        <v>6.0</v>
      </c>
    </row>
    <row r="929">
      <c r="A929" s="22" t="s">
        <v>112</v>
      </c>
      <c r="B929" s="26">
        <f t="shared" ref="B929:E929" si="164">round(((B924/B923)*100),2)</f>
        <v>83.08</v>
      </c>
      <c r="C929" s="26">
        <f t="shared" si="164"/>
        <v>83.27</v>
      </c>
      <c r="D929" s="26">
        <f t="shared" si="164"/>
        <v>83.47</v>
      </c>
      <c r="E929" s="26">
        <f t="shared" si="164"/>
        <v>81.78</v>
      </c>
    </row>
    <row r="930">
      <c r="A930" s="22" t="s">
        <v>100</v>
      </c>
      <c r="B930" s="24">
        <v>620.0</v>
      </c>
      <c r="C930" s="24">
        <v>620.0</v>
      </c>
      <c r="D930" s="24">
        <v>203.0</v>
      </c>
      <c r="E930" s="24">
        <v>614.0</v>
      </c>
    </row>
    <row r="931">
      <c r="A931" s="24" t="s">
        <v>1159</v>
      </c>
      <c r="B931" s="32" t="s">
        <v>984</v>
      </c>
      <c r="C931" s="32" t="s">
        <v>132</v>
      </c>
      <c r="D931" s="32" t="s">
        <v>1178</v>
      </c>
      <c r="E931" s="32" t="s">
        <v>983</v>
      </c>
    </row>
    <row r="932">
      <c r="A932" s="22" t="s">
        <v>178</v>
      </c>
      <c r="B932" s="24" t="s">
        <v>1109</v>
      </c>
      <c r="C932" s="24" t="s">
        <v>1244</v>
      </c>
      <c r="D932" s="18"/>
      <c r="E932" s="18"/>
    </row>
    <row r="933">
      <c r="A933" s="22" t="s">
        <v>103</v>
      </c>
      <c r="B933" s="24"/>
      <c r="D933" s="24" t="s">
        <v>1366</v>
      </c>
    </row>
    <row r="936">
      <c r="A936" s="19" t="s">
        <v>50</v>
      </c>
      <c r="B936" s="20" t="s">
        <v>1367</v>
      </c>
    </row>
    <row r="937">
      <c r="B937" s="21" t="s">
        <v>4</v>
      </c>
      <c r="C937" s="21" t="s">
        <v>5</v>
      </c>
      <c r="D937" s="21" t="s">
        <v>6</v>
      </c>
      <c r="E937" s="21" t="s">
        <v>7</v>
      </c>
    </row>
    <row r="938">
      <c r="A938" s="22" t="s">
        <v>91</v>
      </c>
      <c r="B938" s="24">
        <v>95.4</v>
      </c>
      <c r="C938" s="24">
        <v>94.3</v>
      </c>
      <c r="D938" s="24">
        <v>100.3</v>
      </c>
      <c r="E938" s="24">
        <v>98.1</v>
      </c>
    </row>
    <row r="939">
      <c r="A939" s="22" t="s">
        <v>92</v>
      </c>
      <c r="B939" s="24">
        <v>6.0</v>
      </c>
      <c r="C939" s="24">
        <v>4.0</v>
      </c>
      <c r="D939" s="24">
        <v>2.0</v>
      </c>
      <c r="E939" s="24">
        <v>4.0</v>
      </c>
    </row>
    <row r="940">
      <c r="A940" s="22" t="s">
        <v>93</v>
      </c>
      <c r="B940" s="24">
        <f t="shared" ref="B940:E940" si="165">B923-B939</f>
        <v>22382</v>
      </c>
      <c r="C940" s="24">
        <f t="shared" si="165"/>
        <v>22332</v>
      </c>
      <c r="D940" s="24">
        <f t="shared" si="165"/>
        <v>7294</v>
      </c>
      <c r="E940" s="24">
        <f t="shared" si="165"/>
        <v>22519</v>
      </c>
    </row>
    <row r="941">
      <c r="A941" s="22" t="s">
        <v>94</v>
      </c>
      <c r="B941" s="23">
        <f t="shared" ref="B941:E941" si="166">B947*30</f>
        <v>18630</v>
      </c>
      <c r="C941" s="23">
        <f t="shared" si="166"/>
        <v>18780</v>
      </c>
      <c r="D941" s="23">
        <f t="shared" si="166"/>
        <v>6060</v>
      </c>
      <c r="E941" s="23">
        <f t="shared" si="166"/>
        <v>18900</v>
      </c>
    </row>
    <row r="942">
      <c r="A942" s="22" t="s">
        <v>95</v>
      </c>
      <c r="B942" s="24">
        <v>25.0</v>
      </c>
      <c r="C942" s="24">
        <v>17.0</v>
      </c>
      <c r="D942" s="24">
        <v>21.0</v>
      </c>
      <c r="E942" s="24">
        <v>26.0</v>
      </c>
    </row>
    <row r="943">
      <c r="A943" s="22" t="s">
        <v>96</v>
      </c>
      <c r="B943" s="24">
        <v>10.0</v>
      </c>
      <c r="C943" s="24">
        <v>8.0</v>
      </c>
      <c r="D943" s="24">
        <v>7.0</v>
      </c>
      <c r="E943" s="24">
        <v>2.0</v>
      </c>
    </row>
    <row r="944">
      <c r="A944" s="22" t="s">
        <v>111</v>
      </c>
      <c r="B944" s="24">
        <v>90.0</v>
      </c>
      <c r="C944" s="24">
        <v>90.0</v>
      </c>
      <c r="D944" s="24">
        <v>30.0</v>
      </c>
      <c r="E944" s="24">
        <v>90.0</v>
      </c>
    </row>
    <row r="945">
      <c r="A945" s="22" t="s">
        <v>98</v>
      </c>
      <c r="B945" s="24">
        <v>6.0</v>
      </c>
      <c r="C945" s="24">
        <v>3.0</v>
      </c>
      <c r="D945" s="24">
        <v>2.0</v>
      </c>
      <c r="E945" s="24">
        <v>5.0</v>
      </c>
    </row>
    <row r="946">
      <c r="A946" s="22" t="s">
        <v>112</v>
      </c>
      <c r="B946" s="26">
        <f t="shared" ref="B946:E946" si="167">round(((B941/B940)*100),2)</f>
        <v>83.24</v>
      </c>
      <c r="C946" s="26">
        <f t="shared" si="167"/>
        <v>84.09</v>
      </c>
      <c r="D946" s="26">
        <f t="shared" si="167"/>
        <v>83.08</v>
      </c>
      <c r="E946" s="26">
        <f t="shared" si="167"/>
        <v>83.93</v>
      </c>
    </row>
    <row r="947">
      <c r="A947" s="22" t="s">
        <v>100</v>
      </c>
      <c r="B947" s="24">
        <v>621.0</v>
      </c>
      <c r="C947" s="24">
        <v>626.0</v>
      </c>
      <c r="D947" s="24">
        <v>202.0</v>
      </c>
      <c r="E947" s="24">
        <v>630.0</v>
      </c>
    </row>
    <row r="948">
      <c r="A948" s="24" t="s">
        <v>1159</v>
      </c>
      <c r="B948" s="32" t="s">
        <v>984</v>
      </c>
      <c r="C948" s="32" t="s">
        <v>132</v>
      </c>
      <c r="D948" s="32" t="s">
        <v>1368</v>
      </c>
      <c r="E948" s="32" t="s">
        <v>983</v>
      </c>
    </row>
    <row r="949">
      <c r="A949" s="22" t="s">
        <v>178</v>
      </c>
      <c r="B949" s="24" t="s">
        <v>999</v>
      </c>
      <c r="C949" s="24" t="s">
        <v>1129</v>
      </c>
      <c r="D949" s="18"/>
      <c r="E949" s="18"/>
    </row>
    <row r="950">
      <c r="A950" s="22" t="s">
        <v>103</v>
      </c>
      <c r="B950" s="24" t="s">
        <v>1369</v>
      </c>
      <c r="D950" s="24" t="s">
        <v>1370</v>
      </c>
    </row>
    <row r="953">
      <c r="A953" s="19" t="s">
        <v>50</v>
      </c>
      <c r="B953" s="20" t="s">
        <v>1371</v>
      </c>
    </row>
    <row r="954">
      <c r="B954" s="21" t="s">
        <v>4</v>
      </c>
      <c r="C954" s="21" t="s">
        <v>5</v>
      </c>
      <c r="D954" s="21" t="s">
        <v>6</v>
      </c>
      <c r="E954" s="21" t="s">
        <v>7</v>
      </c>
    </row>
    <row r="955">
      <c r="A955" s="22" t="s">
        <v>91</v>
      </c>
      <c r="B955" s="24">
        <v>95.5</v>
      </c>
      <c r="C955" s="24">
        <v>94.4</v>
      </c>
      <c r="D955" s="24">
        <v>100.4</v>
      </c>
      <c r="E955" s="24">
        <v>98.2</v>
      </c>
    </row>
    <row r="956">
      <c r="A956" s="22" t="s">
        <v>92</v>
      </c>
      <c r="B956" s="24">
        <v>6.0</v>
      </c>
      <c r="C956" s="24">
        <v>4.0</v>
      </c>
      <c r="D956" s="24">
        <v>1.0</v>
      </c>
      <c r="E956" s="24">
        <v>6.0</v>
      </c>
    </row>
    <row r="957">
      <c r="A957" s="22" t="s">
        <v>93</v>
      </c>
      <c r="B957" s="24">
        <f t="shared" ref="B957:E957" si="168">B940-B956</f>
        <v>22376</v>
      </c>
      <c r="C957" s="24">
        <f t="shared" si="168"/>
        <v>22328</v>
      </c>
      <c r="D957" s="24">
        <f t="shared" si="168"/>
        <v>7293</v>
      </c>
      <c r="E957" s="24">
        <f t="shared" si="168"/>
        <v>22513</v>
      </c>
    </row>
    <row r="958">
      <c r="A958" s="22" t="s">
        <v>94</v>
      </c>
      <c r="B958" s="23">
        <f t="shared" ref="B958:E958" si="169">B964*30</f>
        <v>18930</v>
      </c>
      <c r="C958" s="23">
        <f t="shared" si="169"/>
        <v>18810</v>
      </c>
      <c r="D958" s="23">
        <f t="shared" si="169"/>
        <v>6180</v>
      </c>
      <c r="E958" s="23">
        <f t="shared" si="169"/>
        <v>19080</v>
      </c>
    </row>
    <row r="959">
      <c r="A959" s="22" t="s">
        <v>95</v>
      </c>
      <c r="B959" s="24">
        <v>24.0</v>
      </c>
      <c r="C959" s="24">
        <v>25.0</v>
      </c>
      <c r="D959" s="24">
        <v>27.0</v>
      </c>
      <c r="E959" s="24">
        <v>17.0</v>
      </c>
    </row>
    <row r="960">
      <c r="A960" s="22" t="s">
        <v>96</v>
      </c>
      <c r="B960" s="24">
        <v>5.0</v>
      </c>
      <c r="C960" s="24">
        <v>8.0</v>
      </c>
      <c r="D960" s="24">
        <v>0.0</v>
      </c>
      <c r="E960" s="24">
        <v>3.0</v>
      </c>
    </row>
    <row r="961">
      <c r="A961" s="22" t="s">
        <v>111</v>
      </c>
      <c r="B961" s="24"/>
      <c r="C961" s="24"/>
      <c r="D961" s="24"/>
      <c r="E961" s="24"/>
    </row>
    <row r="962">
      <c r="A962" s="22" t="s">
        <v>98</v>
      </c>
      <c r="B962" s="24">
        <v>4.0</v>
      </c>
      <c r="C962" s="24">
        <v>2.0</v>
      </c>
      <c r="D962" s="24">
        <v>1.0</v>
      </c>
      <c r="E962" s="24">
        <v>2.0</v>
      </c>
    </row>
    <row r="963">
      <c r="A963" s="22" t="s">
        <v>112</v>
      </c>
      <c r="B963" s="26">
        <f t="shared" ref="B963:E963" si="170">round(((B958/B957)*100),2)</f>
        <v>84.6</v>
      </c>
      <c r="C963" s="26">
        <f t="shared" si="170"/>
        <v>84.24</v>
      </c>
      <c r="D963" s="26">
        <f t="shared" si="170"/>
        <v>84.74</v>
      </c>
      <c r="E963" s="26">
        <f t="shared" si="170"/>
        <v>84.75</v>
      </c>
    </row>
    <row r="964">
      <c r="A964" s="22" t="s">
        <v>100</v>
      </c>
      <c r="B964" s="24">
        <v>631.0</v>
      </c>
      <c r="C964" s="24">
        <v>627.0</v>
      </c>
      <c r="D964" s="24">
        <v>206.0</v>
      </c>
      <c r="E964" s="24">
        <v>636.0</v>
      </c>
    </row>
    <row r="965">
      <c r="A965" s="24" t="s">
        <v>1159</v>
      </c>
      <c r="B965" s="32" t="s">
        <v>984</v>
      </c>
      <c r="C965" s="32" t="s">
        <v>132</v>
      </c>
      <c r="D965" s="32" t="s">
        <v>1368</v>
      </c>
      <c r="E965" s="32" t="s">
        <v>983</v>
      </c>
    </row>
    <row r="966">
      <c r="A966" s="22" t="s">
        <v>178</v>
      </c>
      <c r="B966" s="24" t="s">
        <v>1372</v>
      </c>
      <c r="C966" s="24" t="s">
        <v>1244</v>
      </c>
      <c r="D966" s="18"/>
      <c r="E966" s="18"/>
    </row>
    <row r="967">
      <c r="A967" s="22" t="s">
        <v>103</v>
      </c>
      <c r="B967" s="24"/>
      <c r="D967" s="24" t="s">
        <v>1373</v>
      </c>
    </row>
    <row r="970">
      <c r="A970" s="19" t="s">
        <v>50</v>
      </c>
      <c r="B970" s="20" t="s">
        <v>1374</v>
      </c>
    </row>
    <row r="971">
      <c r="B971" s="21" t="s">
        <v>4</v>
      </c>
      <c r="C971" s="21" t="s">
        <v>5</v>
      </c>
      <c r="D971" s="21" t="s">
        <v>6</v>
      </c>
      <c r="E971" s="21" t="s">
        <v>7</v>
      </c>
    </row>
    <row r="972">
      <c r="A972" s="22" t="s">
        <v>91</v>
      </c>
      <c r="B972" s="24">
        <v>95.6</v>
      </c>
      <c r="C972" s="24">
        <v>94.5</v>
      </c>
      <c r="D972" s="24">
        <v>100.5</v>
      </c>
      <c r="E972" s="24">
        <v>98.3</v>
      </c>
    </row>
    <row r="973">
      <c r="A973" s="22" t="s">
        <v>92</v>
      </c>
      <c r="B973" s="24">
        <v>1.0</v>
      </c>
      <c r="C973" s="24">
        <v>2.0</v>
      </c>
      <c r="D973" s="24">
        <v>0.0</v>
      </c>
      <c r="E973" s="24">
        <v>7.0</v>
      </c>
    </row>
    <row r="974">
      <c r="A974" s="22" t="s">
        <v>93</v>
      </c>
      <c r="B974" s="24">
        <f t="shared" ref="B974:E974" si="171">B957-B973</f>
        <v>22375</v>
      </c>
      <c r="C974" s="24">
        <f t="shared" si="171"/>
        <v>22326</v>
      </c>
      <c r="D974" s="24">
        <f t="shared" si="171"/>
        <v>7293</v>
      </c>
      <c r="E974" s="24">
        <f t="shared" si="171"/>
        <v>22506</v>
      </c>
    </row>
    <row r="975">
      <c r="A975" s="22" t="s">
        <v>94</v>
      </c>
      <c r="B975" s="23">
        <f t="shared" ref="B975:E975" si="172">B981*30</f>
        <v>18780</v>
      </c>
      <c r="C975" s="23">
        <f t="shared" si="172"/>
        <v>18870</v>
      </c>
      <c r="D975" s="23">
        <f t="shared" si="172"/>
        <v>6150</v>
      </c>
      <c r="E975" s="23">
        <f t="shared" si="172"/>
        <v>19110</v>
      </c>
    </row>
    <row r="976">
      <c r="A976" s="22" t="s">
        <v>95</v>
      </c>
      <c r="B976" s="24">
        <v>20.0</v>
      </c>
      <c r="C976" s="24">
        <v>17.0</v>
      </c>
      <c r="D976" s="24">
        <v>20.0</v>
      </c>
      <c r="E976" s="24">
        <v>30.0</v>
      </c>
    </row>
    <row r="977">
      <c r="A977" s="22" t="s">
        <v>96</v>
      </c>
      <c r="B977" s="24">
        <v>9.0</v>
      </c>
      <c r="C977" s="24">
        <v>5.0</v>
      </c>
      <c r="D977" s="24">
        <v>1.0</v>
      </c>
      <c r="E977" s="24">
        <v>3.0</v>
      </c>
    </row>
    <row r="978">
      <c r="A978" s="22" t="s">
        <v>111</v>
      </c>
      <c r="B978" s="24"/>
      <c r="C978" s="24"/>
      <c r="D978" s="24"/>
      <c r="E978" s="24"/>
    </row>
    <row r="979">
      <c r="A979" s="22" t="s">
        <v>98</v>
      </c>
      <c r="B979" s="24">
        <v>3.0</v>
      </c>
      <c r="C979" s="24">
        <v>2.0</v>
      </c>
      <c r="D979" s="24">
        <v>1.0</v>
      </c>
      <c r="E979" s="24">
        <v>2.0</v>
      </c>
    </row>
    <row r="980">
      <c r="A980" s="22" t="s">
        <v>112</v>
      </c>
      <c r="B980" s="26">
        <f t="shared" ref="B980:E980" si="173">round(((B975/B974)*100),2)</f>
        <v>83.93</v>
      </c>
      <c r="C980" s="26">
        <f t="shared" si="173"/>
        <v>84.52</v>
      </c>
      <c r="D980" s="26">
        <f t="shared" si="173"/>
        <v>84.33</v>
      </c>
      <c r="E980" s="26">
        <f t="shared" si="173"/>
        <v>84.91</v>
      </c>
    </row>
    <row r="981">
      <c r="A981" s="22" t="s">
        <v>100</v>
      </c>
      <c r="B981" s="24">
        <v>626.0</v>
      </c>
      <c r="C981" s="24">
        <v>629.0</v>
      </c>
      <c r="D981" s="24">
        <v>205.0</v>
      </c>
      <c r="E981" s="24">
        <v>637.0</v>
      </c>
    </row>
    <row r="982">
      <c r="A982" s="24" t="s">
        <v>1159</v>
      </c>
      <c r="B982" s="32" t="s">
        <v>984</v>
      </c>
      <c r="C982" s="32" t="s">
        <v>132</v>
      </c>
      <c r="D982" s="32" t="s">
        <v>1368</v>
      </c>
      <c r="E982" s="32" t="s">
        <v>983</v>
      </c>
    </row>
    <row r="983">
      <c r="A983" s="22" t="s">
        <v>178</v>
      </c>
      <c r="B983" s="24" t="s">
        <v>999</v>
      </c>
      <c r="C983" s="24" t="s">
        <v>1244</v>
      </c>
      <c r="D983" s="18"/>
      <c r="E983" s="18"/>
    </row>
    <row r="984">
      <c r="A984" s="22" t="s">
        <v>103</v>
      </c>
      <c r="B984" s="24" t="s">
        <v>1375</v>
      </c>
      <c r="D984" s="24" t="s">
        <v>1376</v>
      </c>
    </row>
    <row r="987">
      <c r="A987" s="19" t="s">
        <v>50</v>
      </c>
      <c r="B987" s="20" t="s">
        <v>1377</v>
      </c>
    </row>
    <row r="988">
      <c r="B988" s="21" t="s">
        <v>4</v>
      </c>
      <c r="C988" s="21" t="s">
        <v>5</v>
      </c>
      <c r="D988" s="21" t="s">
        <v>6</v>
      </c>
      <c r="E988" s="21" t="s">
        <v>7</v>
      </c>
    </row>
    <row r="989">
      <c r="A989" s="22" t="s">
        <v>91</v>
      </c>
      <c r="B989" s="24">
        <v>95.7</v>
      </c>
      <c r="C989" s="24">
        <v>94.6</v>
      </c>
      <c r="D989" s="24">
        <v>100.6</v>
      </c>
      <c r="E989" s="24">
        <v>98.4</v>
      </c>
    </row>
    <row r="990">
      <c r="A990" s="22" t="s">
        <v>92</v>
      </c>
      <c r="B990" s="24">
        <v>2.0</v>
      </c>
      <c r="C990" s="24">
        <v>4.0</v>
      </c>
      <c r="D990" s="24">
        <v>3.0</v>
      </c>
      <c r="E990" s="24">
        <v>7.0</v>
      </c>
    </row>
    <row r="991">
      <c r="A991" s="22" t="s">
        <v>93</v>
      </c>
      <c r="B991" s="24">
        <f t="shared" ref="B991:E991" si="174">B974-B990</f>
        <v>22373</v>
      </c>
      <c r="C991" s="24">
        <f t="shared" si="174"/>
        <v>22322</v>
      </c>
      <c r="D991" s="24">
        <f t="shared" si="174"/>
        <v>7290</v>
      </c>
      <c r="E991" s="24">
        <f t="shared" si="174"/>
        <v>22499</v>
      </c>
    </row>
    <row r="992">
      <c r="A992" s="22" t="s">
        <v>94</v>
      </c>
      <c r="B992" s="23">
        <f t="shared" ref="B992:E992" si="175">B998*30</f>
        <v>19110</v>
      </c>
      <c r="C992" s="23">
        <f t="shared" si="175"/>
        <v>19110</v>
      </c>
      <c r="D992" s="23">
        <f t="shared" si="175"/>
        <v>6300</v>
      </c>
      <c r="E992" s="23">
        <f t="shared" si="175"/>
        <v>19140</v>
      </c>
    </row>
    <row r="993">
      <c r="A993" s="22" t="s">
        <v>95</v>
      </c>
      <c r="B993" s="24">
        <v>31.0</v>
      </c>
      <c r="C993" s="24">
        <v>17.0</v>
      </c>
      <c r="D993" s="24">
        <v>19.0</v>
      </c>
      <c r="E993" s="24">
        <v>18.0</v>
      </c>
    </row>
    <row r="994">
      <c r="A994" s="22" t="s">
        <v>96</v>
      </c>
      <c r="B994" s="24">
        <v>7.0</v>
      </c>
      <c r="C994" s="24">
        <v>7.0</v>
      </c>
      <c r="D994" s="24">
        <v>3.0</v>
      </c>
      <c r="E994" s="24">
        <v>3.0</v>
      </c>
    </row>
    <row r="995">
      <c r="A995" s="22" t="s">
        <v>111</v>
      </c>
      <c r="B995" s="24"/>
      <c r="C995" s="24"/>
      <c r="D995" s="24"/>
      <c r="E995" s="24"/>
    </row>
    <row r="996">
      <c r="A996" s="22" t="s">
        <v>98</v>
      </c>
      <c r="B996" s="24">
        <v>3.0</v>
      </c>
      <c r="C996" s="24">
        <v>2.0</v>
      </c>
      <c r="D996" s="24">
        <v>2.0</v>
      </c>
      <c r="E996" s="24">
        <v>2.0</v>
      </c>
    </row>
    <row r="997">
      <c r="A997" s="22" t="s">
        <v>112</v>
      </c>
      <c r="B997" s="26">
        <f t="shared" ref="B997:E997" si="176">round(((B992/B991)*100),2)</f>
        <v>85.42</v>
      </c>
      <c r="C997" s="26">
        <f t="shared" si="176"/>
        <v>85.61</v>
      </c>
      <c r="D997" s="26">
        <f t="shared" si="176"/>
        <v>86.42</v>
      </c>
      <c r="E997" s="26">
        <f t="shared" si="176"/>
        <v>85.07</v>
      </c>
    </row>
    <row r="998">
      <c r="A998" s="22" t="s">
        <v>100</v>
      </c>
      <c r="B998" s="24">
        <v>637.0</v>
      </c>
      <c r="C998" s="24">
        <v>637.0</v>
      </c>
      <c r="D998" s="24">
        <v>210.0</v>
      </c>
      <c r="E998" s="24">
        <v>638.0</v>
      </c>
    </row>
    <row r="999">
      <c r="A999" s="24" t="s">
        <v>1159</v>
      </c>
      <c r="B999" s="32" t="s">
        <v>984</v>
      </c>
      <c r="C999" s="32" t="s">
        <v>132</v>
      </c>
      <c r="D999" s="32" t="s">
        <v>1368</v>
      </c>
      <c r="E999" s="32" t="s">
        <v>983</v>
      </c>
    </row>
    <row r="1000">
      <c r="A1000" s="22" t="s">
        <v>178</v>
      </c>
      <c r="B1000" s="24" t="s">
        <v>1067</v>
      </c>
      <c r="C1000" s="24" t="s">
        <v>901</v>
      </c>
      <c r="D1000" s="18"/>
      <c r="E1000" s="32"/>
    </row>
    <row r="1001">
      <c r="A1001" s="22" t="s">
        <v>103</v>
      </c>
      <c r="B1001" s="24" t="s">
        <v>1378</v>
      </c>
      <c r="D1001" s="24" t="s">
        <v>1379</v>
      </c>
    </row>
    <row r="1004">
      <c r="A1004" s="19" t="s">
        <v>50</v>
      </c>
      <c r="B1004" s="20" t="s">
        <v>1380</v>
      </c>
    </row>
    <row r="1005">
      <c r="B1005" s="21" t="s">
        <v>4</v>
      </c>
      <c r="C1005" s="21" t="s">
        <v>5</v>
      </c>
      <c r="D1005" s="21" t="s">
        <v>6</v>
      </c>
      <c r="E1005" s="21" t="s">
        <v>7</v>
      </c>
    </row>
    <row r="1006">
      <c r="A1006" s="22" t="s">
        <v>91</v>
      </c>
      <c r="B1006" s="24">
        <v>96.1</v>
      </c>
      <c r="C1006" s="24">
        <v>94.7</v>
      </c>
      <c r="D1006" s="24">
        <v>100.7</v>
      </c>
      <c r="E1006" s="24">
        <v>98.5</v>
      </c>
    </row>
    <row r="1007">
      <c r="A1007" s="22" t="s">
        <v>92</v>
      </c>
      <c r="B1007" s="24">
        <v>6.0</v>
      </c>
      <c r="C1007" s="24">
        <v>4.0</v>
      </c>
      <c r="D1007" s="24">
        <v>4.0</v>
      </c>
      <c r="E1007" s="24">
        <v>5.0</v>
      </c>
    </row>
    <row r="1008">
      <c r="A1008" s="22" t="s">
        <v>93</v>
      </c>
      <c r="B1008" s="24">
        <f t="shared" ref="B1008:E1008" si="177">B991-B1007</f>
        <v>22367</v>
      </c>
      <c r="C1008" s="24">
        <f t="shared" si="177"/>
        <v>22318</v>
      </c>
      <c r="D1008" s="24">
        <f t="shared" si="177"/>
        <v>7286</v>
      </c>
      <c r="E1008" s="24">
        <f t="shared" si="177"/>
        <v>22494</v>
      </c>
    </row>
    <row r="1009">
      <c r="A1009" s="22" t="s">
        <v>94</v>
      </c>
      <c r="B1009" s="23">
        <f t="shared" ref="B1009:E1009" si="178">B1015*30</f>
        <v>19020</v>
      </c>
      <c r="C1009" s="23">
        <f t="shared" si="178"/>
        <v>18930</v>
      </c>
      <c r="D1009" s="23">
        <f t="shared" si="178"/>
        <v>6210</v>
      </c>
      <c r="E1009" s="23">
        <f t="shared" si="178"/>
        <v>19110</v>
      </c>
    </row>
    <row r="1010">
      <c r="A1010" s="22" t="s">
        <v>95</v>
      </c>
      <c r="B1010" s="24">
        <v>30.0</v>
      </c>
      <c r="C1010" s="24">
        <v>26.0</v>
      </c>
      <c r="D1010" s="24">
        <v>16.0</v>
      </c>
      <c r="E1010" s="24">
        <v>12.0</v>
      </c>
    </row>
    <row r="1011">
      <c r="A1011" s="22" t="s">
        <v>96</v>
      </c>
      <c r="B1011" s="24">
        <v>6.0</v>
      </c>
      <c r="C1011" s="24">
        <v>7.0</v>
      </c>
      <c r="D1011" s="24">
        <v>4.0</v>
      </c>
      <c r="E1011" s="24">
        <v>2.0</v>
      </c>
    </row>
    <row r="1012">
      <c r="A1012" s="22" t="s">
        <v>111</v>
      </c>
      <c r="B1012" s="24"/>
      <c r="C1012" s="24"/>
      <c r="D1012" s="24"/>
      <c r="E1012" s="24"/>
    </row>
    <row r="1013">
      <c r="A1013" s="22" t="s">
        <v>98</v>
      </c>
      <c r="B1013" s="24">
        <v>4.0</v>
      </c>
      <c r="C1013" s="24">
        <v>4.0</v>
      </c>
      <c r="D1013" s="24">
        <v>2.0</v>
      </c>
      <c r="E1013" s="24">
        <v>3.0</v>
      </c>
    </row>
    <row r="1014">
      <c r="A1014" s="22" t="s">
        <v>112</v>
      </c>
      <c r="B1014" s="26">
        <f t="shared" ref="B1014:E1014" si="179">round(((B1009/B1008)*100),2)</f>
        <v>85.04</v>
      </c>
      <c r="C1014" s="26">
        <f t="shared" si="179"/>
        <v>84.82</v>
      </c>
      <c r="D1014" s="26">
        <f t="shared" si="179"/>
        <v>85.23</v>
      </c>
      <c r="E1014" s="26">
        <f t="shared" si="179"/>
        <v>84.96</v>
      </c>
    </row>
    <row r="1015">
      <c r="A1015" s="22" t="s">
        <v>100</v>
      </c>
      <c r="B1015" s="24">
        <v>634.0</v>
      </c>
      <c r="C1015" s="24">
        <v>631.0</v>
      </c>
      <c r="D1015" s="24">
        <v>207.0</v>
      </c>
      <c r="E1015" s="24">
        <v>637.0</v>
      </c>
    </row>
    <row r="1016">
      <c r="A1016" s="24" t="s">
        <v>1159</v>
      </c>
      <c r="B1016" s="32" t="s">
        <v>984</v>
      </c>
      <c r="C1016" s="32" t="s">
        <v>132</v>
      </c>
      <c r="D1016" s="32" t="s">
        <v>1368</v>
      </c>
      <c r="E1016" s="32" t="s">
        <v>983</v>
      </c>
    </row>
    <row r="1017">
      <c r="A1017" s="22" t="s">
        <v>178</v>
      </c>
      <c r="B1017" s="24" t="s">
        <v>1067</v>
      </c>
      <c r="C1017" s="24" t="s">
        <v>909</v>
      </c>
      <c r="D1017" s="18"/>
      <c r="E1017" s="32"/>
    </row>
    <row r="1018">
      <c r="A1018" s="22" t="s">
        <v>103</v>
      </c>
      <c r="B1018" s="24" t="s">
        <v>1381</v>
      </c>
      <c r="D1018" s="24" t="s">
        <v>1382</v>
      </c>
    </row>
    <row r="1021">
      <c r="A1021" s="19" t="s">
        <v>50</v>
      </c>
      <c r="B1021" s="20" t="s">
        <v>1383</v>
      </c>
    </row>
    <row r="1022">
      <c r="B1022" s="21" t="s">
        <v>4</v>
      </c>
      <c r="C1022" s="21" t="s">
        <v>5</v>
      </c>
      <c r="D1022" s="21" t="s">
        <v>6</v>
      </c>
      <c r="E1022" s="21" t="s">
        <v>7</v>
      </c>
    </row>
    <row r="1023">
      <c r="A1023" s="22" t="s">
        <v>91</v>
      </c>
      <c r="B1023" s="24">
        <v>96.2</v>
      </c>
      <c r="C1023" s="24">
        <v>95.1</v>
      </c>
      <c r="D1023" s="24">
        <v>101.1</v>
      </c>
      <c r="E1023" s="24">
        <v>98.6</v>
      </c>
    </row>
    <row r="1024">
      <c r="A1024" s="22" t="s">
        <v>92</v>
      </c>
      <c r="B1024" s="24">
        <v>3.0</v>
      </c>
      <c r="C1024" s="24">
        <v>4.0</v>
      </c>
      <c r="D1024" s="24">
        <v>2.0</v>
      </c>
      <c r="E1024" s="24">
        <v>5.0</v>
      </c>
    </row>
    <row r="1025">
      <c r="A1025" s="22" t="s">
        <v>93</v>
      </c>
      <c r="B1025" s="24">
        <f t="shared" ref="B1025:E1025" si="180">B1008-B1024</f>
        <v>22364</v>
      </c>
      <c r="C1025" s="24">
        <f t="shared" si="180"/>
        <v>22314</v>
      </c>
      <c r="D1025" s="24">
        <f t="shared" si="180"/>
        <v>7284</v>
      </c>
      <c r="E1025" s="24">
        <f t="shared" si="180"/>
        <v>22489</v>
      </c>
    </row>
    <row r="1026">
      <c r="A1026" s="22" t="s">
        <v>94</v>
      </c>
      <c r="B1026" s="23">
        <f t="shared" ref="B1026:E1026" si="181">B1032*30</f>
        <v>18390</v>
      </c>
      <c r="C1026" s="23">
        <f t="shared" si="181"/>
        <v>18390</v>
      </c>
      <c r="D1026" s="23">
        <f t="shared" si="181"/>
        <v>6120</v>
      </c>
      <c r="E1026" s="23">
        <f t="shared" si="181"/>
        <v>19020</v>
      </c>
    </row>
    <row r="1027">
      <c r="A1027" s="22" t="s">
        <v>95</v>
      </c>
      <c r="B1027" s="24">
        <v>35.0</v>
      </c>
      <c r="C1027" s="24">
        <v>17.0</v>
      </c>
      <c r="D1027" s="24">
        <v>24.0</v>
      </c>
      <c r="E1027" s="24">
        <v>8.0</v>
      </c>
    </row>
    <row r="1028">
      <c r="A1028" s="22" t="s">
        <v>96</v>
      </c>
      <c r="B1028" s="24">
        <v>3.0</v>
      </c>
      <c r="C1028" s="24">
        <v>6.0</v>
      </c>
      <c r="D1028" s="24">
        <v>3.0</v>
      </c>
      <c r="E1028" s="24">
        <v>4.0</v>
      </c>
    </row>
    <row r="1029">
      <c r="A1029" s="22" t="s">
        <v>111</v>
      </c>
      <c r="B1029" s="24"/>
      <c r="C1029" s="24"/>
      <c r="D1029" s="24"/>
      <c r="E1029" s="24"/>
    </row>
    <row r="1030">
      <c r="A1030" s="22" t="s">
        <v>98</v>
      </c>
      <c r="B1030" s="24">
        <v>6.0</v>
      </c>
      <c r="C1030" s="24">
        <v>5.0</v>
      </c>
      <c r="D1030" s="24">
        <v>2.0</v>
      </c>
      <c r="E1030" s="24">
        <v>4.0</v>
      </c>
    </row>
    <row r="1031">
      <c r="A1031" s="22" t="s">
        <v>112</v>
      </c>
      <c r="B1031" s="26">
        <f t="shared" ref="B1031:E1031" si="182">round(((B1026/B1025)*100),2)</f>
        <v>82.23</v>
      </c>
      <c r="C1031" s="26">
        <f t="shared" si="182"/>
        <v>82.41</v>
      </c>
      <c r="D1031" s="26">
        <f t="shared" si="182"/>
        <v>84.02</v>
      </c>
      <c r="E1031" s="26">
        <f t="shared" si="182"/>
        <v>84.57</v>
      </c>
    </row>
    <row r="1032">
      <c r="A1032" s="22" t="s">
        <v>100</v>
      </c>
      <c r="B1032" s="24">
        <v>613.0</v>
      </c>
      <c r="C1032" s="24">
        <v>613.0</v>
      </c>
      <c r="D1032" s="24">
        <v>204.0</v>
      </c>
      <c r="E1032" s="24">
        <v>634.0</v>
      </c>
    </row>
    <row r="1033">
      <c r="A1033" s="24" t="s">
        <v>1159</v>
      </c>
      <c r="B1033" s="32" t="s">
        <v>984</v>
      </c>
      <c r="C1033" s="32" t="s">
        <v>132</v>
      </c>
      <c r="D1033" s="32" t="s">
        <v>1368</v>
      </c>
      <c r="E1033" s="32" t="s">
        <v>983</v>
      </c>
    </row>
    <row r="1034">
      <c r="A1034" s="22" t="s">
        <v>178</v>
      </c>
      <c r="B1034" s="24" t="s">
        <v>1384</v>
      </c>
      <c r="C1034" s="24" t="s">
        <v>901</v>
      </c>
      <c r="D1034" s="18"/>
      <c r="E1034" s="32"/>
    </row>
    <row r="1035">
      <c r="A1035" s="22" t="s">
        <v>103</v>
      </c>
      <c r="B1035" s="24" t="s">
        <v>1385</v>
      </c>
      <c r="D1035" s="24" t="s">
        <v>1386</v>
      </c>
    </row>
    <row r="1038">
      <c r="A1038" s="19" t="s">
        <v>50</v>
      </c>
      <c r="B1038" s="20" t="s">
        <v>1387</v>
      </c>
    </row>
    <row r="1039">
      <c r="B1039" s="21" t="s">
        <v>4</v>
      </c>
      <c r="C1039" s="21" t="s">
        <v>5</v>
      </c>
      <c r="D1039" s="21" t="s">
        <v>6</v>
      </c>
      <c r="E1039" s="21" t="s">
        <v>7</v>
      </c>
    </row>
    <row r="1040">
      <c r="A1040" s="22" t="s">
        <v>91</v>
      </c>
      <c r="B1040" s="24">
        <v>96.3</v>
      </c>
      <c r="C1040" s="24">
        <v>95.2</v>
      </c>
      <c r="D1040" s="24">
        <v>101.2</v>
      </c>
      <c r="E1040" s="24">
        <v>98.7</v>
      </c>
    </row>
    <row r="1041">
      <c r="A1041" s="22" t="s">
        <v>92</v>
      </c>
      <c r="B1041" s="24">
        <v>5.0</v>
      </c>
      <c r="C1041" s="24">
        <v>7.0</v>
      </c>
      <c r="D1041" s="24">
        <v>1.0</v>
      </c>
      <c r="E1041" s="24">
        <v>6.0</v>
      </c>
    </row>
    <row r="1042">
      <c r="A1042" s="22" t="s">
        <v>93</v>
      </c>
      <c r="B1042" s="24">
        <f t="shared" ref="B1042:E1042" si="183">B1025-B1041</f>
        <v>22359</v>
      </c>
      <c r="C1042" s="24">
        <f t="shared" si="183"/>
        <v>22307</v>
      </c>
      <c r="D1042" s="24">
        <f t="shared" si="183"/>
        <v>7283</v>
      </c>
      <c r="E1042" s="24">
        <f t="shared" si="183"/>
        <v>22483</v>
      </c>
    </row>
    <row r="1043">
      <c r="A1043" s="22" t="s">
        <v>94</v>
      </c>
      <c r="B1043" s="23">
        <f t="shared" ref="B1043:E1043" si="184">B1049*30</f>
        <v>18990</v>
      </c>
      <c r="C1043" s="23">
        <f t="shared" si="184"/>
        <v>19110</v>
      </c>
      <c r="D1043" s="23">
        <f t="shared" si="184"/>
        <v>6240</v>
      </c>
      <c r="E1043" s="23">
        <f t="shared" si="184"/>
        <v>19140</v>
      </c>
    </row>
    <row r="1044">
      <c r="A1044" s="22" t="s">
        <v>95</v>
      </c>
      <c r="B1044" s="24">
        <v>30.0</v>
      </c>
      <c r="C1044" s="24">
        <v>25.0</v>
      </c>
      <c r="D1044" s="24">
        <v>25.0</v>
      </c>
      <c r="E1044" s="24">
        <v>29.0</v>
      </c>
    </row>
    <row r="1045">
      <c r="A1045" s="22" t="s">
        <v>96</v>
      </c>
      <c r="B1045" s="24">
        <v>6.0</v>
      </c>
      <c r="C1045" s="24">
        <v>13.0</v>
      </c>
      <c r="D1045" s="24">
        <v>6.0</v>
      </c>
      <c r="E1045" s="24">
        <v>12.0</v>
      </c>
    </row>
    <row r="1046">
      <c r="A1046" s="22" t="s">
        <v>111</v>
      </c>
      <c r="B1046" s="24"/>
      <c r="C1046" s="24"/>
      <c r="D1046" s="24"/>
      <c r="E1046" s="24"/>
    </row>
    <row r="1047">
      <c r="A1047" s="22" t="s">
        <v>98</v>
      </c>
      <c r="B1047" s="24">
        <v>6.0</v>
      </c>
      <c r="C1047" s="24">
        <v>5.0</v>
      </c>
      <c r="D1047" s="24">
        <v>2.0</v>
      </c>
      <c r="E1047" s="24">
        <v>6.0</v>
      </c>
    </row>
    <row r="1048">
      <c r="A1048" s="22" t="s">
        <v>112</v>
      </c>
      <c r="B1048" s="26">
        <f t="shared" ref="B1048:E1048" si="185">round(((B1043/B1042)*100),2)</f>
        <v>84.93</v>
      </c>
      <c r="C1048" s="26">
        <f t="shared" si="185"/>
        <v>85.67</v>
      </c>
      <c r="D1048" s="26">
        <f t="shared" si="185"/>
        <v>85.68</v>
      </c>
      <c r="E1048" s="26">
        <f t="shared" si="185"/>
        <v>85.13</v>
      </c>
    </row>
    <row r="1049">
      <c r="A1049" s="22" t="s">
        <v>100</v>
      </c>
      <c r="B1049" s="24">
        <v>633.0</v>
      </c>
      <c r="C1049" s="24">
        <v>637.0</v>
      </c>
      <c r="D1049" s="24">
        <v>208.0</v>
      </c>
      <c r="E1049" s="24">
        <v>638.0</v>
      </c>
    </row>
    <row r="1050">
      <c r="A1050" s="24" t="s">
        <v>1159</v>
      </c>
      <c r="B1050" s="32" t="s">
        <v>984</v>
      </c>
      <c r="C1050" s="32" t="s">
        <v>132</v>
      </c>
      <c r="D1050" s="32" t="s">
        <v>1368</v>
      </c>
      <c r="E1050" s="32" t="s">
        <v>983</v>
      </c>
    </row>
    <row r="1051">
      <c r="A1051" s="22" t="s">
        <v>178</v>
      </c>
      <c r="B1051" s="24" t="s">
        <v>1384</v>
      </c>
      <c r="C1051" s="24" t="s">
        <v>901</v>
      </c>
      <c r="D1051" s="18"/>
      <c r="E1051" s="32"/>
    </row>
    <row r="1052">
      <c r="A1052" s="22" t="s">
        <v>103</v>
      </c>
      <c r="B1052" s="24"/>
      <c r="D1052" s="24" t="s">
        <v>1388</v>
      </c>
    </row>
  </sheetData>
  <mergeCells count="248">
    <mergeCell ref="A596:A597"/>
    <mergeCell ref="B596:E596"/>
    <mergeCell ref="B610:C610"/>
    <mergeCell ref="D610:E610"/>
    <mergeCell ref="A613:A614"/>
    <mergeCell ref="B613:E613"/>
    <mergeCell ref="D627:E627"/>
    <mergeCell ref="B627:C627"/>
    <mergeCell ref="A630:A631"/>
    <mergeCell ref="B630:E630"/>
    <mergeCell ref="B644:C644"/>
    <mergeCell ref="D644:E644"/>
    <mergeCell ref="A647:A648"/>
    <mergeCell ref="B647:E647"/>
    <mergeCell ref="B661:C661"/>
    <mergeCell ref="D661:E661"/>
    <mergeCell ref="A664:A665"/>
    <mergeCell ref="B664:E664"/>
    <mergeCell ref="D678:E678"/>
    <mergeCell ref="A681:A682"/>
    <mergeCell ref="B681:E681"/>
    <mergeCell ref="B678:C678"/>
    <mergeCell ref="B695:C695"/>
    <mergeCell ref="D695:E695"/>
    <mergeCell ref="A698:A699"/>
    <mergeCell ref="B698:E698"/>
    <mergeCell ref="B712:C712"/>
    <mergeCell ref="D712:E712"/>
    <mergeCell ref="A715:A716"/>
    <mergeCell ref="B715:E715"/>
    <mergeCell ref="B729:C729"/>
    <mergeCell ref="D729:E729"/>
    <mergeCell ref="A732:A733"/>
    <mergeCell ref="B732:E732"/>
    <mergeCell ref="D746:E746"/>
    <mergeCell ref="B746:C746"/>
    <mergeCell ref="A749:A750"/>
    <mergeCell ref="B749:E749"/>
    <mergeCell ref="B763:C763"/>
    <mergeCell ref="D763:E763"/>
    <mergeCell ref="A766:A767"/>
    <mergeCell ref="B766:E766"/>
    <mergeCell ref="B780:C780"/>
    <mergeCell ref="D780:E780"/>
    <mergeCell ref="A783:A784"/>
    <mergeCell ref="B783:E783"/>
    <mergeCell ref="D797:E797"/>
    <mergeCell ref="A800:A801"/>
    <mergeCell ref="B800:E800"/>
    <mergeCell ref="B797:C797"/>
    <mergeCell ref="B814:C814"/>
    <mergeCell ref="D814:E814"/>
    <mergeCell ref="A817:A818"/>
    <mergeCell ref="B817:E817"/>
    <mergeCell ref="B831:C831"/>
    <mergeCell ref="D831:E831"/>
    <mergeCell ref="A834:A835"/>
    <mergeCell ref="B834:E834"/>
    <mergeCell ref="B848:C848"/>
    <mergeCell ref="D848:E848"/>
    <mergeCell ref="A851:A852"/>
    <mergeCell ref="B851:E851"/>
    <mergeCell ref="D865:E865"/>
    <mergeCell ref="B865:C865"/>
    <mergeCell ref="A868:A869"/>
    <mergeCell ref="B868:E868"/>
    <mergeCell ref="B882:C882"/>
    <mergeCell ref="D882:E882"/>
    <mergeCell ref="A885:A886"/>
    <mergeCell ref="B885:E885"/>
    <mergeCell ref="B899:C899"/>
    <mergeCell ref="D899:E899"/>
    <mergeCell ref="A902:A903"/>
    <mergeCell ref="B902:E902"/>
    <mergeCell ref="D916:E916"/>
    <mergeCell ref="A919:A920"/>
    <mergeCell ref="B919:E919"/>
    <mergeCell ref="B916:C916"/>
    <mergeCell ref="B933:C933"/>
    <mergeCell ref="D933:E933"/>
    <mergeCell ref="A936:A937"/>
    <mergeCell ref="B936:E936"/>
    <mergeCell ref="B950:C950"/>
    <mergeCell ref="D950:E950"/>
    <mergeCell ref="A953:A954"/>
    <mergeCell ref="B953:E953"/>
    <mergeCell ref="B967:C967"/>
    <mergeCell ref="D967:E967"/>
    <mergeCell ref="A970:A971"/>
    <mergeCell ref="B970:E970"/>
    <mergeCell ref="D984:E984"/>
    <mergeCell ref="B984:C984"/>
    <mergeCell ref="A987:A988"/>
    <mergeCell ref="B987:E987"/>
    <mergeCell ref="B1001:C1001"/>
    <mergeCell ref="D1001:E1001"/>
    <mergeCell ref="A1004:A1005"/>
    <mergeCell ref="B1004:E1004"/>
    <mergeCell ref="A1:A2"/>
    <mergeCell ref="B1:E1"/>
    <mergeCell ref="B15:C15"/>
    <mergeCell ref="D15:E15"/>
    <mergeCell ref="A18:A19"/>
    <mergeCell ref="B18:E18"/>
    <mergeCell ref="D32:E32"/>
    <mergeCell ref="B32:C32"/>
    <mergeCell ref="A35:A36"/>
    <mergeCell ref="B35:E35"/>
    <mergeCell ref="B49:C49"/>
    <mergeCell ref="D49:E49"/>
    <mergeCell ref="A52:A53"/>
    <mergeCell ref="B52:E52"/>
    <mergeCell ref="B66:C66"/>
    <mergeCell ref="D66:E66"/>
    <mergeCell ref="A69:A70"/>
    <mergeCell ref="B69:E69"/>
    <mergeCell ref="D83:E83"/>
    <mergeCell ref="A86:A87"/>
    <mergeCell ref="B86:E86"/>
    <mergeCell ref="B83:C83"/>
    <mergeCell ref="B100:C100"/>
    <mergeCell ref="D100:E100"/>
    <mergeCell ref="A103:A104"/>
    <mergeCell ref="B103:E103"/>
    <mergeCell ref="B117:C117"/>
    <mergeCell ref="D117:E117"/>
    <mergeCell ref="A120:A121"/>
    <mergeCell ref="B120:E120"/>
    <mergeCell ref="B134:C134"/>
    <mergeCell ref="D134:E134"/>
    <mergeCell ref="A137:A138"/>
    <mergeCell ref="B137:E137"/>
    <mergeCell ref="D151:E151"/>
    <mergeCell ref="B151:C151"/>
    <mergeCell ref="A154:A155"/>
    <mergeCell ref="B154:E154"/>
    <mergeCell ref="B168:C168"/>
    <mergeCell ref="D168:E168"/>
    <mergeCell ref="A171:A172"/>
    <mergeCell ref="B171:E171"/>
    <mergeCell ref="B1035:C1035"/>
    <mergeCell ref="B1052:C1052"/>
    <mergeCell ref="D1052:E1052"/>
    <mergeCell ref="B1018:C1018"/>
    <mergeCell ref="D1018:E1018"/>
    <mergeCell ref="A1021:A1022"/>
    <mergeCell ref="B1021:E1021"/>
    <mergeCell ref="D1035:E1035"/>
    <mergeCell ref="A1038:A1039"/>
    <mergeCell ref="B1038:E1038"/>
    <mergeCell ref="B185:C185"/>
    <mergeCell ref="D185:E185"/>
    <mergeCell ref="A188:A189"/>
    <mergeCell ref="B188:E188"/>
    <mergeCell ref="D202:E202"/>
    <mergeCell ref="A205:A206"/>
    <mergeCell ref="B205:E205"/>
    <mergeCell ref="B202:C202"/>
    <mergeCell ref="B219:C219"/>
    <mergeCell ref="D219:E219"/>
    <mergeCell ref="A222:A223"/>
    <mergeCell ref="B222:E222"/>
    <mergeCell ref="B236:C236"/>
    <mergeCell ref="D236:E236"/>
    <mergeCell ref="A239:A240"/>
    <mergeCell ref="B239:E239"/>
    <mergeCell ref="B253:C253"/>
    <mergeCell ref="D253:E253"/>
    <mergeCell ref="A256:A257"/>
    <mergeCell ref="B256:E256"/>
    <mergeCell ref="D270:E270"/>
    <mergeCell ref="B270:C270"/>
    <mergeCell ref="A273:A274"/>
    <mergeCell ref="B273:E273"/>
    <mergeCell ref="B287:C287"/>
    <mergeCell ref="D287:E287"/>
    <mergeCell ref="A290:A291"/>
    <mergeCell ref="B290:E290"/>
    <mergeCell ref="B304:C304"/>
    <mergeCell ref="D304:E304"/>
    <mergeCell ref="A307:A308"/>
    <mergeCell ref="B307:E307"/>
    <mergeCell ref="D321:E321"/>
    <mergeCell ref="A324:A325"/>
    <mergeCell ref="B324:E324"/>
    <mergeCell ref="B321:C321"/>
    <mergeCell ref="B338:C338"/>
    <mergeCell ref="D338:E338"/>
    <mergeCell ref="A341:A342"/>
    <mergeCell ref="B341:E341"/>
    <mergeCell ref="B355:C355"/>
    <mergeCell ref="D355:E355"/>
    <mergeCell ref="A358:A359"/>
    <mergeCell ref="B358:E358"/>
    <mergeCell ref="B372:C372"/>
    <mergeCell ref="D372:E372"/>
    <mergeCell ref="A375:A376"/>
    <mergeCell ref="B375:E375"/>
    <mergeCell ref="D389:E389"/>
    <mergeCell ref="B389:C389"/>
    <mergeCell ref="A392:A393"/>
    <mergeCell ref="B392:E392"/>
    <mergeCell ref="B406:C406"/>
    <mergeCell ref="D406:E406"/>
    <mergeCell ref="A409:A410"/>
    <mergeCell ref="B409:E409"/>
    <mergeCell ref="B423:C423"/>
    <mergeCell ref="D423:E423"/>
    <mergeCell ref="A426:A427"/>
    <mergeCell ref="B426:E426"/>
    <mergeCell ref="D440:E440"/>
    <mergeCell ref="A443:A444"/>
    <mergeCell ref="B443:E443"/>
    <mergeCell ref="B440:C440"/>
    <mergeCell ref="B457:C457"/>
    <mergeCell ref="D457:E457"/>
    <mergeCell ref="A460:A461"/>
    <mergeCell ref="B460:E460"/>
    <mergeCell ref="B474:C474"/>
    <mergeCell ref="D474:E474"/>
    <mergeCell ref="A477:A478"/>
    <mergeCell ref="B477:E477"/>
    <mergeCell ref="B491:C491"/>
    <mergeCell ref="D491:E491"/>
    <mergeCell ref="A494:A495"/>
    <mergeCell ref="B494:E494"/>
    <mergeCell ref="D508:E508"/>
    <mergeCell ref="B508:C508"/>
    <mergeCell ref="A511:A512"/>
    <mergeCell ref="B511:E511"/>
    <mergeCell ref="B525:C525"/>
    <mergeCell ref="D525:E525"/>
    <mergeCell ref="A528:A529"/>
    <mergeCell ref="B528:E528"/>
    <mergeCell ref="B542:C542"/>
    <mergeCell ref="D542:E542"/>
    <mergeCell ref="A545:A546"/>
    <mergeCell ref="B545:E545"/>
    <mergeCell ref="D559:E559"/>
    <mergeCell ref="A562:A563"/>
    <mergeCell ref="B562:E562"/>
    <mergeCell ref="B559:C559"/>
    <mergeCell ref="B576:C576"/>
    <mergeCell ref="D576:E576"/>
    <mergeCell ref="A579:A580"/>
    <mergeCell ref="B579:E579"/>
    <mergeCell ref="B593:C593"/>
    <mergeCell ref="D593:E59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50</v>
      </c>
      <c r="B1" s="29">
        <v>46028.0</v>
      </c>
    </row>
    <row r="2">
      <c r="B2" s="21" t="s">
        <v>4</v>
      </c>
      <c r="C2" s="21" t="s">
        <v>5</v>
      </c>
      <c r="D2" s="21" t="s">
        <v>6</v>
      </c>
      <c r="E2" s="21" t="s">
        <v>7</v>
      </c>
    </row>
    <row r="3">
      <c r="A3" s="22" t="s">
        <v>91</v>
      </c>
      <c r="B3" s="24">
        <v>96.4</v>
      </c>
      <c r="C3" s="24">
        <v>95.3</v>
      </c>
      <c r="D3" s="24">
        <v>101.3</v>
      </c>
      <c r="E3" s="24">
        <v>99.1</v>
      </c>
    </row>
    <row r="4">
      <c r="A4" s="22" t="s">
        <v>92</v>
      </c>
      <c r="B4" s="24">
        <v>9.0</v>
      </c>
      <c r="C4" s="24">
        <v>4.0</v>
      </c>
      <c r="D4" s="24">
        <v>2.0</v>
      </c>
      <c r="E4" s="24">
        <v>5.0</v>
      </c>
    </row>
    <row r="5">
      <c r="A5" s="22" t="s">
        <v>93</v>
      </c>
      <c r="B5" s="23">
        <f>22359-B4</f>
        <v>22350</v>
      </c>
      <c r="C5" s="23">
        <f>22307-C4</f>
        <v>22303</v>
      </c>
      <c r="D5" s="23">
        <f>7283-D4</f>
        <v>7281</v>
      </c>
      <c r="E5" s="23">
        <f>22483-E4</f>
        <v>22478</v>
      </c>
    </row>
    <row r="6">
      <c r="A6" s="22" t="s">
        <v>94</v>
      </c>
      <c r="B6" s="23">
        <f t="shared" ref="B6:E6" si="1">B12*30</f>
        <v>18780</v>
      </c>
      <c r="C6" s="23">
        <f t="shared" si="1"/>
        <v>18690</v>
      </c>
      <c r="D6" s="23">
        <f t="shared" si="1"/>
        <v>6090</v>
      </c>
      <c r="E6" s="23">
        <f t="shared" si="1"/>
        <v>18930</v>
      </c>
    </row>
    <row r="7">
      <c r="A7" s="22" t="s">
        <v>95</v>
      </c>
      <c r="B7" s="24">
        <v>15.0</v>
      </c>
      <c r="C7" s="24">
        <v>22.0</v>
      </c>
      <c r="D7" s="24">
        <v>16.0</v>
      </c>
      <c r="E7" s="24">
        <v>20.0</v>
      </c>
    </row>
    <row r="8">
      <c r="A8" s="22" t="s">
        <v>96</v>
      </c>
      <c r="B8" s="23">
        <v>6.0</v>
      </c>
      <c r="C8" s="24">
        <v>12.0</v>
      </c>
      <c r="D8" s="24">
        <v>8.0</v>
      </c>
      <c r="E8" s="24">
        <v>5.0</v>
      </c>
    </row>
    <row r="9">
      <c r="A9" s="22" t="s">
        <v>111</v>
      </c>
      <c r="B9" s="18"/>
      <c r="C9" s="18"/>
      <c r="D9" s="18"/>
      <c r="E9" s="18"/>
    </row>
    <row r="10">
      <c r="A10" s="22" t="s">
        <v>98</v>
      </c>
      <c r="B10" s="23">
        <v>6.0</v>
      </c>
      <c r="C10" s="24">
        <v>4.0</v>
      </c>
      <c r="D10" s="23">
        <v>2.0</v>
      </c>
      <c r="E10" s="24">
        <v>4.0</v>
      </c>
    </row>
    <row r="11">
      <c r="A11" s="22" t="s">
        <v>112</v>
      </c>
      <c r="B11" s="26">
        <f t="shared" ref="B11:E11" si="2">round(((B6/B5)*100),2)</f>
        <v>84.03</v>
      </c>
      <c r="C11" s="26">
        <f t="shared" si="2"/>
        <v>83.8</v>
      </c>
      <c r="D11" s="26">
        <f t="shared" si="2"/>
        <v>83.64</v>
      </c>
      <c r="E11" s="26">
        <f t="shared" si="2"/>
        <v>84.22</v>
      </c>
    </row>
    <row r="12">
      <c r="A12" s="22" t="s">
        <v>100</v>
      </c>
      <c r="B12" s="24">
        <v>626.0</v>
      </c>
      <c r="C12" s="24">
        <v>623.0</v>
      </c>
      <c r="D12" s="24">
        <v>203.0</v>
      </c>
      <c r="E12" s="24">
        <v>631.0</v>
      </c>
    </row>
    <row r="13">
      <c r="A13" s="23" t="s">
        <v>1159</v>
      </c>
      <c r="B13" s="18" t="s">
        <v>984</v>
      </c>
      <c r="C13" s="18" t="s">
        <v>132</v>
      </c>
      <c r="D13" s="18" t="s">
        <v>1368</v>
      </c>
      <c r="E13" s="18" t="s">
        <v>983</v>
      </c>
    </row>
    <row r="14">
      <c r="A14" s="22" t="s">
        <v>178</v>
      </c>
      <c r="B14" s="23" t="s">
        <v>1384</v>
      </c>
      <c r="C14" s="23" t="s">
        <v>901</v>
      </c>
      <c r="D14" s="18"/>
      <c r="E14" s="18"/>
    </row>
    <row r="15">
      <c r="A15" s="22" t="s">
        <v>103</v>
      </c>
      <c r="B15" s="32" t="s">
        <v>1389</v>
      </c>
      <c r="D15" s="24" t="s">
        <v>1390</v>
      </c>
    </row>
    <row r="18">
      <c r="A18" s="19" t="s">
        <v>50</v>
      </c>
      <c r="B18" s="29">
        <v>46059.0</v>
      </c>
    </row>
    <row r="19">
      <c r="B19" s="21" t="s">
        <v>4</v>
      </c>
      <c r="C19" s="21" t="s">
        <v>5</v>
      </c>
      <c r="D19" s="21" t="s">
        <v>6</v>
      </c>
      <c r="E19" s="21" t="s">
        <v>7</v>
      </c>
    </row>
    <row r="20">
      <c r="A20" s="22" t="s">
        <v>91</v>
      </c>
      <c r="B20" s="24">
        <v>96.5</v>
      </c>
      <c r="C20" s="24">
        <v>95.4</v>
      </c>
      <c r="D20" s="24">
        <v>101.4</v>
      </c>
      <c r="E20" s="24">
        <v>99.2</v>
      </c>
    </row>
    <row r="21">
      <c r="A21" s="22" t="s">
        <v>92</v>
      </c>
      <c r="B21" s="24">
        <v>7.0</v>
      </c>
      <c r="C21" s="24">
        <v>5.0</v>
      </c>
      <c r="D21" s="24">
        <v>1.0</v>
      </c>
      <c r="E21" s="24">
        <v>3.0</v>
      </c>
    </row>
    <row r="22">
      <c r="A22" s="22" t="s">
        <v>93</v>
      </c>
      <c r="B22" s="23">
        <f t="shared" ref="B22:E22" si="3">B5-B21</f>
        <v>22343</v>
      </c>
      <c r="C22" s="23">
        <f t="shared" si="3"/>
        <v>22298</v>
      </c>
      <c r="D22" s="23">
        <f t="shared" si="3"/>
        <v>7280</v>
      </c>
      <c r="E22" s="23">
        <f t="shared" si="3"/>
        <v>22475</v>
      </c>
    </row>
    <row r="23">
      <c r="A23" s="22" t="s">
        <v>94</v>
      </c>
      <c r="B23" s="23">
        <f t="shared" ref="B23:E23" si="4">B29*30</f>
        <v>18750</v>
      </c>
      <c r="C23" s="23">
        <f t="shared" si="4"/>
        <v>18750</v>
      </c>
      <c r="D23" s="23">
        <f t="shared" si="4"/>
        <v>6060</v>
      </c>
      <c r="E23" s="23">
        <f t="shared" si="4"/>
        <v>18840</v>
      </c>
    </row>
    <row r="24">
      <c r="A24" s="22" t="s">
        <v>95</v>
      </c>
      <c r="B24" s="24">
        <v>28.0</v>
      </c>
      <c r="C24" s="24">
        <v>26.0</v>
      </c>
      <c r="D24" s="24">
        <v>17.0</v>
      </c>
      <c r="E24" s="24">
        <v>30.0</v>
      </c>
    </row>
    <row r="25">
      <c r="A25" s="22" t="s">
        <v>96</v>
      </c>
      <c r="B25" s="23">
        <v>6.0</v>
      </c>
      <c r="C25" s="24">
        <v>8.0</v>
      </c>
      <c r="D25" s="24">
        <v>9.0</v>
      </c>
      <c r="E25" s="24">
        <v>16.0</v>
      </c>
    </row>
    <row r="26">
      <c r="A26" s="22" t="s">
        <v>111</v>
      </c>
      <c r="B26" s="18"/>
      <c r="C26" s="18"/>
      <c r="D26" s="18"/>
      <c r="E26" s="18"/>
    </row>
    <row r="27">
      <c r="A27" s="22" t="s">
        <v>98</v>
      </c>
      <c r="B27" s="24">
        <v>5.0</v>
      </c>
      <c r="C27" s="24">
        <v>2.0</v>
      </c>
      <c r="D27" s="23">
        <v>2.0</v>
      </c>
      <c r="E27" s="24">
        <v>4.0</v>
      </c>
    </row>
    <row r="28">
      <c r="A28" s="22" t="s">
        <v>112</v>
      </c>
      <c r="B28" s="26">
        <f t="shared" ref="B28:E28" si="5">round(((B23/B22)*100),2)</f>
        <v>83.92</v>
      </c>
      <c r="C28" s="26">
        <f t="shared" si="5"/>
        <v>84.09</v>
      </c>
      <c r="D28" s="26">
        <f t="shared" si="5"/>
        <v>83.24</v>
      </c>
      <c r="E28" s="26">
        <f t="shared" si="5"/>
        <v>83.83</v>
      </c>
    </row>
    <row r="29">
      <c r="A29" s="22" t="s">
        <v>100</v>
      </c>
      <c r="B29" s="24">
        <v>625.0</v>
      </c>
      <c r="C29" s="24">
        <v>625.0</v>
      </c>
      <c r="D29" s="24">
        <v>202.0</v>
      </c>
      <c r="E29" s="24">
        <v>628.0</v>
      </c>
    </row>
    <row r="30">
      <c r="A30" s="23" t="s">
        <v>1159</v>
      </c>
      <c r="B30" s="18" t="s">
        <v>984</v>
      </c>
      <c r="C30" s="18" t="s">
        <v>132</v>
      </c>
      <c r="D30" s="18" t="s">
        <v>1368</v>
      </c>
      <c r="E30" s="18" t="s">
        <v>983</v>
      </c>
    </row>
    <row r="31">
      <c r="A31" s="22" t="s">
        <v>178</v>
      </c>
      <c r="B31" s="24" t="s">
        <v>1384</v>
      </c>
      <c r="C31" s="24" t="s">
        <v>1244</v>
      </c>
      <c r="D31" s="18"/>
      <c r="E31" s="18"/>
    </row>
    <row r="32">
      <c r="A32" s="22" t="s">
        <v>103</v>
      </c>
      <c r="B32" s="32" t="s">
        <v>1391</v>
      </c>
      <c r="D32" s="24" t="s">
        <v>1392</v>
      </c>
    </row>
    <row r="35">
      <c r="A35" s="19" t="s">
        <v>50</v>
      </c>
      <c r="B35" s="29">
        <v>46087.0</v>
      </c>
    </row>
    <row r="36">
      <c r="B36" s="21" t="s">
        <v>4</v>
      </c>
      <c r="C36" s="21" t="s">
        <v>5</v>
      </c>
      <c r="D36" s="21" t="s">
        <v>6</v>
      </c>
      <c r="E36" s="21" t="s">
        <v>7</v>
      </c>
    </row>
    <row r="37">
      <c r="A37" s="22" t="s">
        <v>91</v>
      </c>
      <c r="B37" s="24">
        <v>96.6</v>
      </c>
      <c r="C37" s="24">
        <v>95.5</v>
      </c>
      <c r="D37" s="24">
        <v>101.5</v>
      </c>
      <c r="E37" s="24">
        <v>99.3</v>
      </c>
    </row>
    <row r="38">
      <c r="A38" s="22" t="s">
        <v>92</v>
      </c>
      <c r="B38" s="24">
        <v>12.0</v>
      </c>
      <c r="C38" s="24">
        <v>6.0</v>
      </c>
      <c r="D38" s="24">
        <v>2.0</v>
      </c>
      <c r="E38" s="24">
        <v>5.0</v>
      </c>
    </row>
    <row r="39">
      <c r="A39" s="22" t="s">
        <v>93</v>
      </c>
      <c r="B39" s="23">
        <f t="shared" ref="B39:E39" si="6">B22-B38</f>
        <v>22331</v>
      </c>
      <c r="C39" s="23">
        <f t="shared" si="6"/>
        <v>22292</v>
      </c>
      <c r="D39" s="23">
        <f t="shared" si="6"/>
        <v>7278</v>
      </c>
      <c r="E39" s="23">
        <f t="shared" si="6"/>
        <v>22470</v>
      </c>
    </row>
    <row r="40">
      <c r="A40" s="22" t="s">
        <v>94</v>
      </c>
      <c r="B40" s="23">
        <f t="shared" ref="B40:E40" si="7">B46*30</f>
        <v>18930</v>
      </c>
      <c r="C40" s="23">
        <f t="shared" si="7"/>
        <v>18750</v>
      </c>
      <c r="D40" s="23">
        <f t="shared" si="7"/>
        <v>6030</v>
      </c>
      <c r="E40" s="23">
        <f t="shared" si="7"/>
        <v>19110</v>
      </c>
    </row>
    <row r="41">
      <c r="A41" s="22" t="s">
        <v>95</v>
      </c>
      <c r="B41" s="24">
        <v>23.0</v>
      </c>
      <c r="C41" s="24">
        <v>40.0</v>
      </c>
      <c r="D41" s="24">
        <v>18.0</v>
      </c>
      <c r="E41" s="24">
        <v>10.0</v>
      </c>
    </row>
    <row r="42">
      <c r="A42" s="22" t="s">
        <v>96</v>
      </c>
      <c r="B42" s="24">
        <v>7.0</v>
      </c>
      <c r="C42" s="24">
        <v>13.0</v>
      </c>
      <c r="D42" s="24">
        <v>3.0</v>
      </c>
      <c r="E42" s="24">
        <v>24.0</v>
      </c>
    </row>
    <row r="43">
      <c r="A43" s="22" t="s">
        <v>111</v>
      </c>
      <c r="B43" s="18"/>
      <c r="C43" s="18"/>
      <c r="D43" s="18"/>
      <c r="E43" s="18"/>
    </row>
    <row r="44">
      <c r="A44" s="22" t="s">
        <v>98</v>
      </c>
      <c r="B44" s="24">
        <v>4.0</v>
      </c>
      <c r="C44" s="24">
        <v>2.0</v>
      </c>
      <c r="D44" s="23">
        <v>2.0</v>
      </c>
      <c r="E44" s="24">
        <v>3.0</v>
      </c>
    </row>
    <row r="45">
      <c r="A45" s="22" t="s">
        <v>112</v>
      </c>
      <c r="B45" s="26">
        <f t="shared" ref="B45:E45" si="8">round(((B40/B39)*100),2)</f>
        <v>84.77</v>
      </c>
      <c r="C45" s="26">
        <f t="shared" si="8"/>
        <v>84.11</v>
      </c>
      <c r="D45" s="26">
        <f t="shared" si="8"/>
        <v>82.85</v>
      </c>
      <c r="E45" s="26">
        <f t="shared" si="8"/>
        <v>85.05</v>
      </c>
    </row>
    <row r="46">
      <c r="A46" s="22" t="s">
        <v>100</v>
      </c>
      <c r="B46" s="24">
        <v>631.0</v>
      </c>
      <c r="C46" s="24">
        <v>625.0</v>
      </c>
      <c r="D46" s="24">
        <v>201.0</v>
      </c>
      <c r="E46" s="24">
        <v>637.0</v>
      </c>
    </row>
    <row r="47">
      <c r="A47" s="23" t="s">
        <v>1159</v>
      </c>
      <c r="B47" s="18" t="s">
        <v>984</v>
      </c>
      <c r="C47" s="18" t="s">
        <v>132</v>
      </c>
      <c r="D47" s="18" t="s">
        <v>1368</v>
      </c>
      <c r="E47" s="18" t="s">
        <v>983</v>
      </c>
    </row>
    <row r="48">
      <c r="A48" s="22" t="s">
        <v>178</v>
      </c>
      <c r="B48" s="24" t="s">
        <v>1393</v>
      </c>
      <c r="C48" s="24" t="s">
        <v>1194</v>
      </c>
      <c r="D48" s="18"/>
      <c r="E48" s="18"/>
    </row>
    <row r="49">
      <c r="A49" s="22" t="s">
        <v>103</v>
      </c>
      <c r="B49" s="32"/>
      <c r="D49" s="24" t="s">
        <v>1394</v>
      </c>
    </row>
    <row r="52">
      <c r="A52" s="19" t="s">
        <v>50</v>
      </c>
      <c r="B52" s="29">
        <v>46118.0</v>
      </c>
    </row>
    <row r="53">
      <c r="B53" s="21" t="s">
        <v>4</v>
      </c>
      <c r="C53" s="21" t="s">
        <v>5</v>
      </c>
      <c r="D53" s="21" t="s">
        <v>6</v>
      </c>
      <c r="E53" s="21" t="s">
        <v>7</v>
      </c>
    </row>
    <row r="54">
      <c r="A54" s="22" t="s">
        <v>91</v>
      </c>
      <c r="B54" s="24">
        <v>96.7</v>
      </c>
      <c r="C54" s="24">
        <v>95.6</v>
      </c>
      <c r="D54" s="24">
        <v>101.6</v>
      </c>
      <c r="E54" s="24">
        <v>99.4</v>
      </c>
    </row>
    <row r="55">
      <c r="A55" s="22" t="s">
        <v>92</v>
      </c>
      <c r="B55" s="24">
        <v>6.0</v>
      </c>
      <c r="C55" s="24">
        <v>6.0</v>
      </c>
      <c r="D55" s="24">
        <v>0.0</v>
      </c>
      <c r="E55" s="24">
        <v>5.0</v>
      </c>
    </row>
    <row r="56">
      <c r="A56" s="22" t="s">
        <v>93</v>
      </c>
      <c r="B56" s="23">
        <f t="shared" ref="B56:E56" si="9">B39-B55</f>
        <v>22325</v>
      </c>
      <c r="C56" s="23">
        <f t="shared" si="9"/>
        <v>22286</v>
      </c>
      <c r="D56" s="23">
        <f t="shared" si="9"/>
        <v>7278</v>
      </c>
      <c r="E56" s="23">
        <f t="shared" si="9"/>
        <v>22465</v>
      </c>
    </row>
    <row r="57">
      <c r="A57" s="22" t="s">
        <v>94</v>
      </c>
      <c r="B57" s="23">
        <f t="shared" ref="B57:E57" si="10">B63*30</f>
        <v>19020</v>
      </c>
      <c r="C57" s="23">
        <f t="shared" si="10"/>
        <v>18930</v>
      </c>
      <c r="D57" s="23">
        <f t="shared" si="10"/>
        <v>6090</v>
      </c>
      <c r="E57" s="23">
        <f t="shared" si="10"/>
        <v>18930</v>
      </c>
    </row>
    <row r="58">
      <c r="A58" s="22" t="s">
        <v>95</v>
      </c>
      <c r="B58" s="24">
        <v>28.0</v>
      </c>
      <c r="C58" s="24">
        <v>18.0</v>
      </c>
      <c r="D58" s="24">
        <v>6.0</v>
      </c>
      <c r="E58" s="24">
        <v>15.0</v>
      </c>
    </row>
    <row r="59">
      <c r="A59" s="22" t="s">
        <v>96</v>
      </c>
      <c r="B59" s="24">
        <v>11.0</v>
      </c>
      <c r="C59" s="24">
        <v>12.0</v>
      </c>
      <c r="D59" s="24">
        <v>2.0</v>
      </c>
      <c r="E59" s="24">
        <v>30.0</v>
      </c>
    </row>
    <row r="60">
      <c r="A60" s="22" t="s">
        <v>111</v>
      </c>
      <c r="B60" s="18"/>
      <c r="C60" s="18"/>
      <c r="D60" s="18"/>
      <c r="E60" s="18"/>
    </row>
    <row r="61">
      <c r="A61" s="22" t="s">
        <v>98</v>
      </c>
      <c r="B61" s="24">
        <v>4.0</v>
      </c>
      <c r="C61" s="24">
        <v>2.0</v>
      </c>
      <c r="D61" s="23">
        <v>2.0</v>
      </c>
      <c r="E61" s="24">
        <v>3.0</v>
      </c>
    </row>
    <row r="62">
      <c r="A62" s="22" t="s">
        <v>112</v>
      </c>
      <c r="B62" s="26">
        <f t="shared" ref="B62:E62" si="11">round(((B57/B56)*100),2)</f>
        <v>85.2</v>
      </c>
      <c r="C62" s="26">
        <f t="shared" si="11"/>
        <v>84.94</v>
      </c>
      <c r="D62" s="26">
        <f t="shared" si="11"/>
        <v>83.68</v>
      </c>
      <c r="E62" s="26">
        <f t="shared" si="11"/>
        <v>84.26</v>
      </c>
    </row>
    <row r="63">
      <c r="A63" s="22" t="s">
        <v>100</v>
      </c>
      <c r="B63" s="24">
        <v>634.0</v>
      </c>
      <c r="C63" s="24">
        <v>631.0</v>
      </c>
      <c r="D63" s="24">
        <v>203.0</v>
      </c>
      <c r="E63" s="24">
        <v>631.0</v>
      </c>
    </row>
    <row r="64">
      <c r="A64" s="23" t="s">
        <v>1159</v>
      </c>
      <c r="B64" s="18" t="s">
        <v>984</v>
      </c>
      <c r="C64" s="18" t="s">
        <v>132</v>
      </c>
      <c r="D64" s="32" t="s">
        <v>1178</v>
      </c>
      <c r="E64" s="18" t="s">
        <v>983</v>
      </c>
    </row>
    <row r="65">
      <c r="A65" s="22" t="s">
        <v>178</v>
      </c>
      <c r="B65" s="24" t="s">
        <v>1395</v>
      </c>
      <c r="C65" s="24" t="s">
        <v>909</v>
      </c>
      <c r="D65" s="18"/>
      <c r="E65" s="18"/>
    </row>
    <row r="66">
      <c r="A66" s="22" t="s">
        <v>103</v>
      </c>
      <c r="B66" s="32" t="s">
        <v>1396</v>
      </c>
      <c r="D66" s="24" t="s">
        <v>1397</v>
      </c>
    </row>
    <row r="69">
      <c r="A69" s="19" t="s">
        <v>50</v>
      </c>
      <c r="B69" s="29">
        <v>46148.0</v>
      </c>
    </row>
    <row r="70">
      <c r="B70" s="21" t="s">
        <v>4</v>
      </c>
      <c r="C70" s="21" t="s">
        <v>5</v>
      </c>
      <c r="D70" s="21" t="s">
        <v>6</v>
      </c>
      <c r="E70" s="21" t="s">
        <v>7</v>
      </c>
    </row>
    <row r="71">
      <c r="A71" s="22" t="s">
        <v>91</v>
      </c>
      <c r="B71" s="24">
        <v>97.1</v>
      </c>
      <c r="C71" s="24">
        <v>95.7</v>
      </c>
      <c r="D71" s="24">
        <v>101.7</v>
      </c>
      <c r="E71" s="24">
        <v>99.5</v>
      </c>
    </row>
    <row r="72">
      <c r="A72" s="22" t="s">
        <v>92</v>
      </c>
      <c r="B72" s="24">
        <v>4.0</v>
      </c>
      <c r="C72" s="24">
        <v>5.0</v>
      </c>
      <c r="D72" s="24">
        <v>0.0</v>
      </c>
      <c r="E72" s="24">
        <v>2.0</v>
      </c>
    </row>
    <row r="73">
      <c r="A73" s="22" t="s">
        <v>93</v>
      </c>
      <c r="B73" s="23">
        <f t="shared" ref="B73:E73" si="12">B56-B72</f>
        <v>22321</v>
      </c>
      <c r="C73" s="23">
        <f t="shared" si="12"/>
        <v>22281</v>
      </c>
      <c r="D73" s="23">
        <f t="shared" si="12"/>
        <v>7278</v>
      </c>
      <c r="E73" s="23">
        <f t="shared" si="12"/>
        <v>22463</v>
      </c>
    </row>
    <row r="74">
      <c r="A74" s="22" t="s">
        <v>94</v>
      </c>
      <c r="B74" s="23">
        <f t="shared" ref="B74:E74" si="13">B80*30</f>
        <v>18810</v>
      </c>
      <c r="C74" s="23">
        <f t="shared" si="13"/>
        <v>18900</v>
      </c>
      <c r="D74" s="23">
        <f t="shared" si="13"/>
        <v>6030</v>
      </c>
      <c r="E74" s="23">
        <f t="shared" si="13"/>
        <v>18750</v>
      </c>
    </row>
    <row r="75">
      <c r="A75" s="22" t="s">
        <v>95</v>
      </c>
      <c r="B75" s="24">
        <v>16.0</v>
      </c>
      <c r="C75" s="24">
        <v>20.0</v>
      </c>
      <c r="D75" s="24">
        <v>12.0</v>
      </c>
      <c r="E75" s="24">
        <v>28.0</v>
      </c>
    </row>
    <row r="76">
      <c r="A76" s="22" t="s">
        <v>96</v>
      </c>
      <c r="B76" s="24">
        <v>6.0</v>
      </c>
      <c r="C76" s="24">
        <v>18.0</v>
      </c>
      <c r="D76" s="24">
        <v>8.0</v>
      </c>
      <c r="E76" s="24">
        <v>15.0</v>
      </c>
    </row>
    <row r="77">
      <c r="A77" s="22" t="s">
        <v>111</v>
      </c>
      <c r="B77" s="18"/>
      <c r="C77" s="18"/>
      <c r="D77" s="18"/>
      <c r="E77" s="18"/>
    </row>
    <row r="78">
      <c r="A78" s="22" t="s">
        <v>98</v>
      </c>
      <c r="B78" s="24">
        <v>3.0</v>
      </c>
      <c r="C78" s="24">
        <v>2.0</v>
      </c>
      <c r="D78" s="24">
        <v>1.0</v>
      </c>
      <c r="E78" s="24">
        <v>2.0</v>
      </c>
    </row>
    <row r="79">
      <c r="A79" s="22" t="s">
        <v>112</v>
      </c>
      <c r="B79" s="26">
        <f t="shared" ref="B79:E79" si="14">round(((B74/B73)*100),2)</f>
        <v>84.27</v>
      </c>
      <c r="C79" s="26">
        <f t="shared" si="14"/>
        <v>84.83</v>
      </c>
      <c r="D79" s="26">
        <f t="shared" si="14"/>
        <v>82.85</v>
      </c>
      <c r="E79" s="26">
        <f t="shared" si="14"/>
        <v>83.47</v>
      </c>
    </row>
    <row r="80">
      <c r="A80" s="22" t="s">
        <v>100</v>
      </c>
      <c r="B80" s="24">
        <v>627.0</v>
      </c>
      <c r="C80" s="24">
        <v>630.0</v>
      </c>
      <c r="D80" s="24">
        <v>201.0</v>
      </c>
      <c r="E80" s="24">
        <v>625.0</v>
      </c>
    </row>
    <row r="81">
      <c r="A81" s="23" t="s">
        <v>1159</v>
      </c>
      <c r="B81" s="18" t="s">
        <v>984</v>
      </c>
      <c r="C81" s="18" t="s">
        <v>132</v>
      </c>
      <c r="D81" s="32" t="s">
        <v>1178</v>
      </c>
      <c r="E81" s="18" t="s">
        <v>983</v>
      </c>
    </row>
    <row r="82">
      <c r="A82" s="22" t="s">
        <v>178</v>
      </c>
      <c r="B82" s="24" t="s">
        <v>1398</v>
      </c>
      <c r="C82" s="24" t="s">
        <v>909</v>
      </c>
      <c r="D82" s="18"/>
      <c r="E82" s="18"/>
    </row>
    <row r="83">
      <c r="A83" s="22" t="s">
        <v>103</v>
      </c>
      <c r="B83" s="32" t="s">
        <v>1399</v>
      </c>
      <c r="D83" s="24" t="s">
        <v>1400</v>
      </c>
    </row>
  </sheetData>
  <mergeCells count="20">
    <mergeCell ref="A1:A2"/>
    <mergeCell ref="B1:E1"/>
    <mergeCell ref="B15:C15"/>
    <mergeCell ref="D15:E15"/>
    <mergeCell ref="A18:A19"/>
    <mergeCell ref="B18:E18"/>
    <mergeCell ref="D32:E32"/>
    <mergeCell ref="B66:C66"/>
    <mergeCell ref="D66:E66"/>
    <mergeCell ref="A69:A70"/>
    <mergeCell ref="B69:E69"/>
    <mergeCell ref="B83:C83"/>
    <mergeCell ref="D83:E83"/>
    <mergeCell ref="B32:C32"/>
    <mergeCell ref="A35:A36"/>
    <mergeCell ref="B35:E35"/>
    <mergeCell ref="B49:C49"/>
    <mergeCell ref="D49:E49"/>
    <mergeCell ref="A52:A53"/>
    <mergeCell ref="B52:E5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153</v>
      </c>
      <c r="B1" s="52" t="s">
        <v>1401</v>
      </c>
      <c r="C1" s="52" t="s">
        <v>1402</v>
      </c>
      <c r="D1" s="52" t="s">
        <v>1403</v>
      </c>
      <c r="E1" s="52" t="s">
        <v>1404</v>
      </c>
    </row>
    <row r="2">
      <c r="A2" s="53">
        <v>45788.0</v>
      </c>
      <c r="B2" s="3">
        <v>300.0</v>
      </c>
      <c r="C2" s="47">
        <f t="shared" ref="C2:C4" si="1">B2*30</f>
        <v>9000</v>
      </c>
      <c r="D2" s="3">
        <v>6.01</v>
      </c>
      <c r="E2" s="47">
        <f t="shared" ref="E2:E4" si="2">C2*D2</f>
        <v>54090</v>
      </c>
    </row>
    <row r="3">
      <c r="A3" s="53">
        <v>45789.0</v>
      </c>
      <c r="B3" s="3">
        <v>10.0</v>
      </c>
      <c r="C3" s="47">
        <f t="shared" si="1"/>
        <v>300</v>
      </c>
      <c r="D3" s="3">
        <v>4.16</v>
      </c>
      <c r="E3" s="47">
        <f t="shared" si="2"/>
        <v>1248</v>
      </c>
    </row>
    <row r="4">
      <c r="A4" s="53">
        <v>45790.0</v>
      </c>
      <c r="B4" s="3">
        <v>2500.0</v>
      </c>
      <c r="C4" s="47">
        <f t="shared" si="1"/>
        <v>75000</v>
      </c>
      <c r="D4" s="47">
        <f>6</f>
        <v>6</v>
      </c>
      <c r="E4" s="47">
        <f t="shared" si="2"/>
        <v>450000</v>
      </c>
      <c r="G4" s="3" t="s">
        <v>1401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153</v>
      </c>
      <c r="B1" s="3" t="s">
        <v>1401</v>
      </c>
      <c r="C1" s="3" t="s">
        <v>1402</v>
      </c>
      <c r="D1" s="3" t="s">
        <v>1405</v>
      </c>
    </row>
  </sheetData>
  <drawing r:id="rId1"/>
</worksheet>
</file>